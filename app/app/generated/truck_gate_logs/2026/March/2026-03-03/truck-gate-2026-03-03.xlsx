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1" autoFilterDateGrouping="1"/>
  </bookViews>
  <sheets>
    <sheet name="100% Insp" sheetId="1" state="visible" r:id="rId1"/>
    <sheet name="Normal Ops (Comm Veh.) (2)" sheetId="2" state="visible" r:id="rId2"/>
    <sheet name="DATA BASE" sheetId="3" state="visible" r:id="rId3"/>
    <sheet name="Daily Stat Report (2)" sheetId="4" state="visible" r:id="rId4"/>
    <sheet name="LOG DETAILS" sheetId="5" state="visible" r:id="rId5"/>
  </sheets>
  <externalReferences>
    <externalReference r:id="rId6"/>
  </externalReferences>
  <definedNames>
    <definedName name="_xlnm.Print_Area" localSheetId="0">'100% Insp'!$A$1:$N$60</definedName>
    <definedName name="_xlnm.Print_Titles" localSheetId="1">'Normal Ops (Comm Veh.) (2)'!$1:$8</definedName>
    <definedName name="_xlnm.Print_Area" localSheetId="3">'Daily Stat Report (2)'!$A$1:$K$26</definedName>
  </definedNames>
  <calcPr calcId="191029" fullCalcOnLoad="1"/>
</workbook>
</file>

<file path=xl/styles.xml><?xml version="1.0" encoding="utf-8"?>
<styleSheet xmlns="http://schemas.openxmlformats.org/spreadsheetml/2006/main">
  <numFmts count="1">
    <numFmt numFmtId="164" formatCode="0_);\(0\)"/>
  </numFmts>
  <fonts count="36">
    <font>
      <name val="Arial"/>
      <sz val="10"/>
    </font>
    <font>
      <name val="Arial"/>
      <family val="2"/>
      <b val="1"/>
      <sz val="10"/>
    </font>
    <font>
      <name val="Arial"/>
      <family val="2"/>
      <b val="1"/>
      <sz val="16"/>
    </font>
    <font>
      <name val="Arial"/>
      <family val="2"/>
      <sz val="8"/>
    </font>
    <font>
      <name val="Arial"/>
      <family val="2"/>
      <b val="1"/>
      <sz val="11"/>
    </font>
    <font>
      <name val="Arial"/>
      <family val="2"/>
      <b val="1"/>
      <sz val="12"/>
    </font>
    <font>
      <name val="Arial"/>
      <family val="2"/>
      <sz val="12"/>
    </font>
    <font>
      <name val="Arial"/>
      <family val="2"/>
      <b val="1"/>
      <sz val="12"/>
      <u val="single"/>
    </font>
    <font>
      <name val="Arial"/>
      <family val="2"/>
      <sz val="11"/>
    </font>
    <font>
      <name val="Verdana"/>
      <family val="2"/>
      <b val="1"/>
      <sz val="12"/>
    </font>
    <font>
      <name val="Verdana"/>
      <family val="2"/>
      <sz val="24"/>
    </font>
    <font>
      <name val="Arial"/>
      <family val="2"/>
      <sz val="24"/>
    </font>
    <font>
      <name val="Arial"/>
      <family val="2"/>
      <b val="1"/>
      <sz val="24"/>
    </font>
    <font>
      <name val="Arial"/>
      <family val="2"/>
      <sz val="10"/>
    </font>
    <font>
      <name val="Arial"/>
      <family val="2"/>
      <b val="1"/>
      <strike val="1"/>
      <sz val="12"/>
    </font>
    <font>
      <name val="Arial"/>
      <family val="2"/>
      <b val="1"/>
      <color indexed="10"/>
      <sz val="12"/>
    </font>
    <font>
      <name val="Arial"/>
      <family val="2"/>
      <b val="1"/>
      <strike val="1"/>
      <color indexed="10"/>
      <sz val="12"/>
    </font>
    <font>
      <name val="Arial"/>
      <family val="2"/>
      <b val="1"/>
      <sz val="8"/>
    </font>
    <font>
      <name val="Arial"/>
      <family val="2"/>
      <b val="1"/>
      <color indexed="10"/>
      <sz val="8"/>
    </font>
    <font>
      <name val="Arial"/>
      <family val="2"/>
      <b val="1"/>
      <color rgb="FF000118"/>
      <sz val="16"/>
    </font>
    <font>
      <name val="Arial"/>
      <family val="2"/>
      <color theme="10"/>
      <sz val="10"/>
      <u val="single"/>
    </font>
    <font>
      <name val="Arial"/>
      <family val="2"/>
      <b val="1"/>
      <color theme="1"/>
      <sz val="12"/>
    </font>
    <font>
      <name val="Arial"/>
      <family val="2"/>
      <color indexed="10"/>
      <sz val="10"/>
    </font>
    <font>
      <name val="Arial"/>
      <family val="2"/>
      <b val="1"/>
      <i val="1"/>
      <color indexed="10"/>
      <sz val="12"/>
    </font>
    <font>
      <name val="Arial"/>
      <family val="2"/>
      <b val="1"/>
      <i val="1"/>
      <sz val="12"/>
    </font>
    <font>
      <name val="Arial"/>
      <family val="2"/>
      <color indexed="9"/>
      <sz val="10"/>
    </font>
    <font>
      <name val="Arial"/>
      <family val="2"/>
      <color indexed="9"/>
      <sz val="14"/>
    </font>
    <font>
      <name val="Arial"/>
      <family val="2"/>
      <color theme="0"/>
      <sz val="14"/>
    </font>
    <font>
      <name val="Arial"/>
      <family val="2"/>
      <sz val="14"/>
    </font>
    <font>
      <name val="Arial"/>
      <family val="2"/>
      <sz val="22"/>
    </font>
    <font>
      <name val="Arial"/>
      <family val="2"/>
      <b val="1"/>
      <sz val="18"/>
    </font>
    <font>
      <name val="Arial"/>
      <family val="2"/>
      <b val="1"/>
      <strike val="1"/>
      <color rgb="FFFF0000"/>
      <sz val="12"/>
    </font>
    <font>
      <name val="Arial"/>
      <family val="2"/>
      <b val="1"/>
      <color rgb="FFFF0000"/>
      <sz val="12"/>
    </font>
    <font>
      <name val="Arial"/>
      <family val="2"/>
      <sz val="8"/>
    </font>
    <font>
      <name val="Arial"/>
      <family val="2"/>
      <b val="1"/>
      <color rgb="FFFF0000"/>
      <sz val="16"/>
    </font>
    <font>
      <name val="Arial"/>
      <family val="2"/>
      <b val="1"/>
      <color rgb="FFFF0000"/>
      <sz val="18"/>
    </font>
  </fonts>
  <fills count="8">
    <fill>
      <patternFill/>
    </fill>
    <fill>
      <patternFill patternType="gray125"/>
    </fill>
    <fill>
      <patternFill patternType="solid">
        <fgColor indexed="10"/>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indexed="17"/>
        <bgColor indexed="64"/>
      </patternFill>
    </fill>
    <fill>
      <patternFill patternType="solid">
        <fgColor indexed="8"/>
        <bgColor indexed="64"/>
      </patternFill>
    </fill>
  </fills>
  <borders count="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17"/>
      </left>
      <right/>
      <top/>
      <bottom style="medium">
        <color indexed="17"/>
      </bottom>
      <diagonal/>
    </border>
    <border>
      <left/>
      <right style="medium">
        <color indexed="17"/>
      </right>
      <top style="medium">
        <color indexed="17"/>
      </top>
      <bottom style="medium">
        <color indexed="17"/>
      </bottom>
      <diagonal/>
    </border>
    <border>
      <left/>
      <right/>
      <top style="medium">
        <color indexed="17"/>
      </top>
      <bottom style="medium">
        <color indexed="17"/>
      </bottom>
      <diagonal/>
    </border>
    <border>
      <left style="medium">
        <color indexed="17"/>
      </left>
      <right/>
      <top style="medium">
        <color indexed="17"/>
      </top>
      <bottom style="medium">
        <color indexed="17"/>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rgb="FF008000"/>
      </right>
      <top/>
      <bottom/>
      <diagonal/>
    </border>
    <border>
      <left/>
      <right style="thick">
        <color indexed="9"/>
      </right>
      <top style="medium">
        <color indexed="64"/>
      </top>
      <bottom style="medium">
        <color indexed="64"/>
      </bottom>
      <diagonal/>
    </border>
    <border>
      <left style="thick">
        <color indexed="9"/>
      </left>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ck">
        <color indexed="9"/>
      </left>
      <right style="thick">
        <color indexed="9"/>
      </right>
      <top style="medium">
        <color indexed="64"/>
      </top>
      <bottom style="medium">
        <color indexed="64"/>
      </bottom>
      <diagonal/>
    </border>
    <border>
      <left/>
      <right style="thick">
        <color indexed="9"/>
      </right>
      <top style="medium">
        <color indexed="64"/>
      </top>
      <bottom/>
      <diagonal/>
    </border>
    <border>
      <left style="medium">
        <color indexed="17"/>
      </left>
      <right style="medium">
        <color indexed="17"/>
      </right>
      <top style="medium">
        <color indexed="17"/>
      </top>
      <bottom style="medium">
        <color indexed="17"/>
      </bottom>
      <diagonal/>
    </border>
    <border>
      <left/>
      <right/>
      <top style="medium">
        <color indexed="17"/>
      </top>
      <bottom/>
      <diagonal/>
    </border>
    <border>
      <left/>
      <right style="medium">
        <color indexed="17"/>
      </right>
      <top style="medium">
        <color indexed="17"/>
      </top>
      <bottom/>
      <diagonal/>
    </border>
  </borders>
  <cellStyleXfs count="3">
    <xf numFmtId="0" fontId="0" fillId="0" borderId="0"/>
    <xf numFmtId="0" fontId="13" fillId="0" borderId="0"/>
    <xf numFmtId="0" fontId="20" fillId="0" borderId="0"/>
  </cellStyleXfs>
  <cellXfs count="254">
    <xf numFmtId="0" fontId="0" fillId="0" borderId="0" pivotButton="0" quotePrefix="0" xfId="0"/>
    <xf numFmtId="0" fontId="8" fillId="0" borderId="0" pivotButton="0" quotePrefix="0" xfId="0"/>
    <xf numFmtId="0" fontId="10" fillId="3" borderId="6" applyAlignment="1" pivotButton="0" quotePrefix="0" xfId="0">
      <alignment horizontal="left" vertical="top" shrinkToFit="1"/>
    </xf>
    <xf numFmtId="0" fontId="10" fillId="3" borderId="6" applyAlignment="1" pivotButton="0" quotePrefix="0" xfId="0">
      <alignment horizontal="right" vertical="top" shrinkToFit="1"/>
    </xf>
    <xf numFmtId="0" fontId="0" fillId="0" borderId="12" pivotButton="0" quotePrefix="0" xfId="0"/>
    <xf numFmtId="0" fontId="0" fillId="0" borderId="7" pivotButton="0" quotePrefix="0" xfId="0"/>
    <xf numFmtId="0" fontId="2" fillId="0" borderId="7" applyAlignment="1" pivotButton="0" quotePrefix="0" xfId="0">
      <alignment horizontal="center" vertical="center"/>
    </xf>
    <xf numFmtId="0" fontId="0" fillId="0" borderId="0" pivotButton="0" quotePrefix="0" xfId="0"/>
    <xf numFmtId="0" fontId="0" fillId="0" borderId="14" pivotButton="0" quotePrefix="0" xfId="0"/>
    <xf numFmtId="0" fontId="0" fillId="0" borderId="15" pivotButton="0" quotePrefix="0" xfId="0"/>
    <xf numFmtId="0" fontId="4" fillId="0" borderId="15" pivotButton="0" quotePrefix="0" xfId="0"/>
    <xf numFmtId="0" fontId="4" fillId="0" borderId="16" pivotButton="0" quotePrefix="0" xfId="0"/>
    <xf numFmtId="0" fontId="4" fillId="0" borderId="0" applyAlignment="1" pivotButton="0" quotePrefix="0" xfId="0">
      <alignment horizontal="left" vertical="center"/>
    </xf>
    <xf numFmtId="0" fontId="5" fillId="0" borderId="11" applyAlignment="1" pivotButton="0" quotePrefix="0" xfId="0">
      <alignment horizontal="left"/>
    </xf>
    <xf numFmtId="0" fontId="0" fillId="0" borderId="11" applyAlignment="1" pivotButton="0" quotePrefix="0" xfId="0">
      <alignment horizontal="left"/>
    </xf>
    <xf numFmtId="0" fontId="0" fillId="0" borderId="17" applyAlignment="1" pivotButton="0" quotePrefix="0" xfId="0">
      <alignment horizontal="left"/>
    </xf>
    <xf numFmtId="0" fontId="0" fillId="0" borderId="8" applyAlignment="1" pivotButton="0" quotePrefix="0" xfId="0">
      <alignment horizontal="left"/>
    </xf>
    <xf numFmtId="0" fontId="4" fillId="0" borderId="7" pivotButton="0" quotePrefix="0" xfId="0"/>
    <xf numFmtId="0" fontId="4" fillId="0" borderId="9" pivotButton="0" quotePrefix="0" xfId="0"/>
    <xf numFmtId="0" fontId="4" fillId="0" borderId="0" pivotButton="0" quotePrefix="0" xfId="0"/>
    <xf numFmtId="0" fontId="13" fillId="3" borderId="6" pivotButton="0" quotePrefix="0" xfId="0"/>
    <xf numFmtId="0" fontId="20" fillId="0" borderId="0" applyAlignment="1" applyProtection="1" pivotButton="0" quotePrefix="0" xfId="2">
      <alignment horizontal="center" vertical="center"/>
      <protection locked="0" hidden="0"/>
    </xf>
    <xf numFmtId="0" fontId="5" fillId="0" borderId="0" applyAlignment="1" pivotButton="0" quotePrefix="0" xfId="0">
      <alignment horizontal="left"/>
    </xf>
    <xf numFmtId="0" fontId="1" fillId="0" borderId="30" applyAlignment="1" pivotButton="0" quotePrefix="0" xfId="1">
      <alignment horizontal="center"/>
    </xf>
    <xf numFmtId="0" fontId="1" fillId="0" borderId="21" applyAlignment="1" pivotButton="0" quotePrefix="0" xfId="1">
      <alignment horizontal="center" vertical="center"/>
    </xf>
    <xf numFmtId="0" fontId="13" fillId="0" borderId="0" applyProtection="1" pivotButton="0" quotePrefix="0" xfId="1">
      <protection locked="0" hidden="0"/>
    </xf>
    <xf numFmtId="0" fontId="29" fillId="0" borderId="0" applyAlignment="1" applyProtection="1" pivotButton="0" quotePrefix="0" xfId="1">
      <alignment horizontal="center" vertical="center"/>
      <protection locked="0" hidden="0"/>
    </xf>
    <xf numFmtId="0" fontId="26" fillId="7" borderId="28" applyProtection="1" pivotButton="0" quotePrefix="0" xfId="1">
      <protection locked="0" hidden="0"/>
    </xf>
    <xf numFmtId="0" fontId="26" fillId="7" borderId="29" applyProtection="1" pivotButton="0" quotePrefix="0" xfId="1">
      <protection locked="0" hidden="0"/>
    </xf>
    <xf numFmtId="0" fontId="25" fillId="7" borderId="30" applyProtection="1" pivotButton="0" quotePrefix="0" xfId="1">
      <protection locked="0" hidden="0"/>
    </xf>
    <xf numFmtId="0" fontId="26" fillId="7" borderId="29" applyAlignment="1" applyProtection="1" pivotButton="0" quotePrefix="0" xfId="1">
      <alignment horizontal="center"/>
      <protection locked="0" hidden="0"/>
    </xf>
    <xf numFmtId="15" fontId="1" fillId="0" borderId="15" applyProtection="1" pivotButton="0" quotePrefix="0" xfId="1">
      <protection locked="0" hidden="0"/>
    </xf>
    <xf numFmtId="0" fontId="13" fillId="0" borderId="15" applyProtection="1" pivotButton="0" quotePrefix="0" xfId="1">
      <protection locked="0" hidden="0"/>
    </xf>
    <xf numFmtId="0" fontId="13" fillId="0" borderId="29" applyProtection="1" pivotButton="0" quotePrefix="0" xfId="1">
      <protection locked="0" hidden="0"/>
    </xf>
    <xf numFmtId="0" fontId="1" fillId="0" borderId="28" applyProtection="1" pivotButton="0" quotePrefix="0" xfId="1">
      <protection locked="0" hidden="0"/>
    </xf>
    <xf numFmtId="0" fontId="1" fillId="0" borderId="6" applyProtection="1" pivotButton="0" quotePrefix="0" xfId="1">
      <protection locked="0" hidden="0"/>
    </xf>
    <xf numFmtId="0" fontId="1" fillId="0" borderId="6" applyAlignment="1" applyProtection="1" pivotButton="0" quotePrefix="0" xfId="1">
      <alignment horizontal="center"/>
      <protection locked="0" hidden="0"/>
    </xf>
    <xf numFmtId="0" fontId="13" fillId="0" borderId="31" applyProtection="1" pivotButton="0" quotePrefix="0" xfId="1">
      <protection locked="0" hidden="0"/>
    </xf>
    <xf numFmtId="0" fontId="1" fillId="0" borderId="0" applyProtection="1" pivotButton="0" quotePrefix="0" xfId="1">
      <protection locked="0" hidden="0"/>
    </xf>
    <xf numFmtId="0" fontId="13" fillId="0" borderId="0" applyProtection="1" pivotButton="0" quotePrefix="0" xfId="1">
      <protection locked="0" hidden="0"/>
    </xf>
    <xf numFmtId="0" fontId="1" fillId="0" borderId="12" applyAlignment="1" applyProtection="1" pivotButton="0" quotePrefix="0" xfId="1">
      <alignment vertical="center"/>
      <protection locked="0" hidden="0"/>
    </xf>
    <xf numFmtId="0" fontId="1" fillId="4" borderId="5" applyAlignment="1" applyProtection="1" pivotButton="0" quotePrefix="0" xfId="1">
      <alignment vertical="center"/>
      <protection locked="0" hidden="0"/>
    </xf>
    <xf numFmtId="0" fontId="26" fillId="4" borderId="5" applyAlignment="1" applyProtection="1" pivotButton="0" quotePrefix="0" xfId="1">
      <alignment vertical="center"/>
      <protection locked="0" hidden="0"/>
    </xf>
    <xf numFmtId="0" fontId="1" fillId="0" borderId="34" applyAlignment="1" applyProtection="1" pivotButton="0" quotePrefix="0" xfId="1">
      <alignment vertical="center"/>
      <protection locked="0" hidden="0"/>
    </xf>
    <xf numFmtId="0" fontId="1" fillId="4" borderId="0" applyAlignment="1" applyProtection="1" pivotButton="0" quotePrefix="0" xfId="1">
      <alignment vertical="center"/>
      <protection locked="0" hidden="0"/>
    </xf>
    <xf numFmtId="0" fontId="26" fillId="4" borderId="0" applyAlignment="1" applyProtection="1" pivotButton="0" quotePrefix="0" xfId="1">
      <alignment horizontal="center" vertical="center"/>
      <protection locked="0" hidden="0"/>
    </xf>
    <xf numFmtId="0" fontId="1" fillId="0" borderId="0" applyAlignment="1" applyProtection="1" pivotButton="0" quotePrefix="0" xfId="1">
      <alignment horizontal="center" vertical="center"/>
      <protection locked="0" hidden="0"/>
    </xf>
    <xf numFmtId="0" fontId="1" fillId="4" borderId="0" applyAlignment="1" applyProtection="1" pivotButton="0" quotePrefix="0" xfId="1">
      <alignment horizontal="center" vertical="center"/>
      <protection locked="0" hidden="0"/>
    </xf>
    <xf numFmtId="0" fontId="13" fillId="4" borderId="0" applyProtection="1" pivotButton="0" quotePrefix="0" xfId="1">
      <protection locked="0" hidden="0"/>
    </xf>
    <xf numFmtId="0" fontId="5" fillId="0" borderId="11"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24" fillId="0" borderId="0" applyAlignment="1" applyProtection="1" pivotButton="0" quotePrefix="0" xfId="1">
      <alignment horizontal="left" vertical="center"/>
      <protection locked="0" hidden="0"/>
    </xf>
    <xf numFmtId="0" fontId="1" fillId="0" borderId="24" applyAlignment="1" pivotButton="0" quotePrefix="0" xfId="1">
      <alignment horizontal="center" vertical="center"/>
    </xf>
    <xf numFmtId="0" fontId="21" fillId="0" borderId="21" applyAlignment="1" applyProtection="1" pivotButton="0" quotePrefix="0" xfId="0">
      <alignment horizontal="center" vertical="center" wrapText="1"/>
      <protection locked="0" hidden="0"/>
    </xf>
    <xf numFmtId="0" fontId="21" fillId="0" borderId="21"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5" fillId="0" borderId="21"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1" hidden="1"/>
    </xf>
    <xf numFmtId="0" fontId="32" fillId="0" borderId="0" applyAlignment="1" applyProtection="1" pivotButton="0" quotePrefix="0" xfId="0">
      <alignment horizontal="center" vertical="center"/>
      <protection locked="0" hidden="0"/>
    </xf>
    <xf numFmtId="0" fontId="13" fillId="3" borderId="6" pivotButton="0" quotePrefix="0" xfId="0"/>
    <xf numFmtId="0" fontId="13" fillId="3" borderId="6" applyAlignment="1" pivotButton="0" quotePrefix="0" xfId="0">
      <alignment horizontal="center" vertical="center"/>
    </xf>
    <xf numFmtId="0" fontId="5" fillId="2" borderId="6" applyAlignment="1" pivotButton="0" quotePrefix="0" xfId="0">
      <alignment horizontal="center" vertical="center"/>
    </xf>
    <xf numFmtId="0" fontId="5" fillId="0" borderId="8"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xf>
    <xf numFmtId="0" fontId="0" fillId="0" borderId="13" applyAlignment="1" pivotButton="0" quotePrefix="0" xfId="0">
      <alignment horizontal="left"/>
    </xf>
    <xf numFmtId="0" fontId="5" fillId="0" borderId="1" applyAlignment="1" applyProtection="1" pivotButton="0" quotePrefix="0" xfId="0">
      <alignment horizontal="center" vertical="center"/>
      <protection locked="1" hidden="1"/>
    </xf>
    <xf numFmtId="0" fontId="5" fillId="0" borderId="2" applyAlignment="1" applyProtection="1" pivotButton="0" quotePrefix="0" xfId="0">
      <alignment horizontal="center" vertical="center"/>
      <protection locked="1" hidden="1"/>
    </xf>
    <xf numFmtId="0" fontId="5" fillId="0" borderId="3" applyAlignment="1" applyProtection="1" pivotButton="0" quotePrefix="0" xfId="0">
      <alignment horizontal="center" vertical="center"/>
      <protection locked="1" hidden="1"/>
    </xf>
    <xf numFmtId="0" fontId="5" fillId="0" borderId="0" applyAlignment="1" applyProtection="1" pivotButton="0" quotePrefix="0" xfId="0">
      <alignment horizontal="center" vertical="center"/>
      <protection locked="0" hidden="0"/>
    </xf>
    <xf numFmtId="0" fontId="5" fillId="0" borderId="5"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0" fontId="13" fillId="0" borderId="0" applyAlignment="1" applyProtection="1" pivotButton="0" quotePrefix="0" xfId="1">
      <alignment horizontal="center"/>
      <protection locked="0" hidden="0"/>
    </xf>
    <xf numFmtId="0" fontId="5" fillId="0" borderId="0" applyAlignment="1" applyProtection="1" pivotButton="0" quotePrefix="0" xfId="0">
      <alignment horizontal="center" vertical="center"/>
      <protection locked="0" hidden="0"/>
    </xf>
    <xf numFmtId="0" fontId="0" fillId="5" borderId="18" applyProtection="1" pivotButton="0" quotePrefix="0" xfId="0">
      <protection locked="0" hidden="0"/>
    </xf>
    <xf numFmtId="0" fontId="2" fillId="5" borderId="18" applyAlignment="1" applyProtection="1" pivotButton="0" quotePrefix="0" xfId="0">
      <alignment horizontal="center" vertical="center"/>
      <protection locked="0" hidden="0"/>
    </xf>
    <xf numFmtId="0" fontId="4" fillId="5" borderId="18" applyProtection="1" pivotButton="0" quotePrefix="0" xfId="0">
      <protection locked="0" hidden="0"/>
    </xf>
    <xf numFmtId="0" fontId="0" fillId="0" borderId="0" applyProtection="1" pivotButton="0" quotePrefix="0" xfId="0">
      <protection locked="0" hidden="0"/>
    </xf>
    <xf numFmtId="0" fontId="0" fillId="0" borderId="0" applyProtection="1" pivotButton="0" quotePrefix="0" xfId="0">
      <protection locked="0" hidden="0"/>
    </xf>
    <xf numFmtId="0" fontId="0" fillId="0" borderId="0" applyAlignment="1" applyProtection="1" pivotButton="0" quotePrefix="0" xfId="0">
      <alignment horizontal="center"/>
      <protection locked="0" hidden="0"/>
    </xf>
    <xf numFmtId="0" fontId="5" fillId="0" borderId="0" applyAlignment="1" applyProtection="1" pivotButton="0" quotePrefix="0" xfId="0">
      <alignment horizontal="left"/>
      <protection locked="0" hidden="0"/>
    </xf>
    <xf numFmtId="0" fontId="5" fillId="0" borderId="0" applyAlignment="1" applyProtection="1" pivotButton="0" quotePrefix="0" xfId="0">
      <alignment horizontal="left" vertical="center"/>
      <protection locked="0" hidden="0"/>
    </xf>
    <xf numFmtId="14" fontId="5" fillId="0" borderId="0" applyAlignment="1" applyProtection="1" pivotButton="0" quotePrefix="0" xfId="0">
      <alignment horizontal="left"/>
      <protection locked="0" hidden="0"/>
    </xf>
    <xf numFmtId="15" fontId="0" fillId="0" borderId="0" applyAlignment="1" applyProtection="1" pivotButton="0" quotePrefix="0" xfId="0">
      <alignment horizontal="center"/>
      <protection locked="0" hidden="0"/>
    </xf>
    <xf numFmtId="0" fontId="0" fillId="0" borderId="0" applyAlignment="1" applyProtection="1" pivotButton="0" quotePrefix="0" xfId="0">
      <alignment horizontal="left"/>
      <protection locked="0" hidden="0"/>
    </xf>
    <xf numFmtId="0" fontId="0" fillId="0" borderId="11" applyProtection="1" pivotButton="0" quotePrefix="0" xfId="0">
      <protection locked="0" hidden="0"/>
    </xf>
    <xf numFmtId="0" fontId="6" fillId="5" borderId="20" applyProtection="1" pivotButton="0" quotePrefix="0" xfId="0">
      <protection locked="0" hidden="0"/>
    </xf>
    <xf numFmtId="0" fontId="5" fillId="0" borderId="20" applyAlignment="1" applyProtection="1" pivotButton="0" quotePrefix="0" xfId="0">
      <alignment horizontal="center" vertical="center"/>
      <protection locked="0" hidden="0"/>
    </xf>
    <xf numFmtId="0" fontId="6" fillId="0" borderId="0" applyProtection="1" pivotButton="0" quotePrefix="0" xfId="0">
      <protection locked="0" hidden="0"/>
    </xf>
    <xf numFmtId="0" fontId="12" fillId="3" borderId="12" applyAlignment="1" pivotButton="0" quotePrefix="0" xfId="0">
      <alignment horizontal="center" vertical="center"/>
    </xf>
    <xf numFmtId="0" fontId="13" fillId="3" borderId="7" applyAlignment="1" pivotButton="0" quotePrefix="0" xfId="0">
      <alignment horizontal="center" vertical="center"/>
    </xf>
    <xf numFmtId="0" fontId="13" fillId="3" borderId="9"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12" fillId="3" borderId="22" pivotButton="0" quotePrefix="0" xfId="0"/>
    <xf numFmtId="0" fontId="1" fillId="3" borderId="22" pivotButton="0" quotePrefix="0" xfId="0"/>
    <xf numFmtId="0" fontId="11" fillId="3" borderId="12" applyAlignment="1" pivotButton="0" quotePrefix="0" xfId="0">
      <alignment horizontal="center" vertical="center"/>
    </xf>
    <xf numFmtId="0" fontId="12" fillId="3" borderId="23" pivotButton="0" quotePrefix="0" xfId="0"/>
    <xf numFmtId="0" fontId="1" fillId="3" borderId="23" pivotButton="0" quotePrefix="0" xfId="0"/>
    <xf numFmtId="0" fontId="13" fillId="3" borderId="6" pivotButton="0" quotePrefix="0" xfId="0"/>
    <xf numFmtId="0" fontId="13" fillId="3" borderId="6" applyAlignment="1" pivotButton="0" quotePrefix="0" xfId="0">
      <alignment horizontal="center" vertical="center"/>
    </xf>
    <xf numFmtId="0" fontId="5" fillId="3" borderId="6" applyAlignment="1" pivotButton="0" quotePrefix="0" xfId="0">
      <alignment horizontal="center" vertical="center"/>
    </xf>
    <xf numFmtId="0" fontId="6" fillId="3" borderId="6" applyAlignment="1" pivotButton="0" quotePrefix="0" xfId="0">
      <alignment horizontal="center" vertical="center"/>
    </xf>
    <xf numFmtId="0" fontId="5" fillId="2" borderId="6" applyAlignment="1" pivotButton="0" quotePrefix="0" xfId="0">
      <alignment horizontal="center" vertical="center"/>
    </xf>
    <xf numFmtId="0" fontId="5" fillId="2" borderId="6" applyAlignment="1" pivotButton="0" quotePrefix="0" xfId="0">
      <alignment horizontal="center"/>
    </xf>
    <xf numFmtId="0" fontId="13" fillId="2" borderId="6" applyAlignment="1" pivotButton="0" quotePrefix="0" xfId="0">
      <alignment horizontal="center"/>
    </xf>
    <xf numFmtId="0" fontId="13" fillId="2" borderId="6" applyAlignment="1" pivotButton="0" quotePrefix="0" xfId="0">
      <alignment horizontal="center" vertical="center"/>
    </xf>
    <xf numFmtId="0" fontId="13" fillId="2" borderId="6" pivotButton="0" quotePrefix="0" xfId="0"/>
    <xf numFmtId="0" fontId="6" fillId="2" borderId="6" applyAlignment="1" pivotButton="0" quotePrefix="0" xfId="0">
      <alignment horizontal="center" vertical="center"/>
    </xf>
    <xf numFmtId="0" fontId="6" fillId="2" borderId="6" pivotButton="0" quotePrefix="0" xfId="0"/>
    <xf numFmtId="0" fontId="1" fillId="3" borderId="6" applyAlignment="1" pivotButton="0" quotePrefix="0" xfId="0">
      <alignment horizontal="center" vertical="center"/>
    </xf>
    <xf numFmtId="0" fontId="6" fillId="3" borderId="6" pivotButton="0" quotePrefix="0" xfId="0"/>
    <xf numFmtId="0" fontId="5" fillId="0" borderId="8" applyAlignment="1" pivotButton="0" quotePrefix="0" xfId="0">
      <alignment horizontal="left" vertical="center"/>
    </xf>
    <xf numFmtId="0" fontId="5" fillId="0" borderId="0" applyAlignment="1" pivotButton="0" quotePrefix="0" xfId="0">
      <alignment horizontal="left" vertical="center"/>
    </xf>
    <xf numFmtId="0" fontId="1" fillId="0" borderId="0" applyAlignment="1" pivotButton="0" quotePrefix="0" xfId="0">
      <alignment horizontal="left"/>
    </xf>
    <xf numFmtId="0" fontId="1" fillId="0" borderId="13" applyAlignment="1" pivotButton="0" quotePrefix="0" xfId="0">
      <alignment horizontal="left"/>
    </xf>
    <xf numFmtId="0" fontId="5" fillId="0" borderId="8"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xf>
    <xf numFmtId="0" fontId="0" fillId="0" borderId="13" applyAlignment="1" pivotButton="0" quotePrefix="0" xfId="0">
      <alignment horizontal="left"/>
    </xf>
    <xf numFmtId="0" fontId="5" fillId="0" borderId="21" applyAlignment="1" applyProtection="1" pivotButton="0" quotePrefix="0" xfId="0">
      <alignment horizontal="center" vertical="center"/>
      <protection locked="0" hidden="1"/>
    </xf>
    <xf numFmtId="0" fontId="5" fillId="0" borderId="1" applyAlignment="1" applyProtection="1" pivotButton="0" quotePrefix="0" xfId="0">
      <alignment horizontal="center"/>
      <protection locked="0" hidden="0"/>
    </xf>
    <xf numFmtId="0" fontId="5" fillId="0" borderId="2" applyAlignment="1" applyProtection="1" pivotButton="0" quotePrefix="0" xfId="0">
      <alignment horizontal="center"/>
      <protection locked="0" hidden="0"/>
    </xf>
    <xf numFmtId="0" fontId="5" fillId="0" borderId="3" applyAlignment="1" applyProtection="1" pivotButton="0" quotePrefix="0" xfId="0">
      <alignment horizontal="center"/>
      <protection locked="0" hidden="0"/>
    </xf>
    <xf numFmtId="0" fontId="32" fillId="4" borderId="21" applyAlignment="1" applyProtection="1" pivotButton="0" quotePrefix="0" xfId="0">
      <alignment horizontal="center" vertical="center"/>
      <protection locked="0" hidden="1"/>
    </xf>
    <xf numFmtId="0" fontId="5" fillId="4" borderId="1" applyAlignment="1" applyProtection="1" pivotButton="0" quotePrefix="0" xfId="0">
      <alignment horizontal="center" vertical="center"/>
      <protection locked="0" hidden="1"/>
    </xf>
    <xf numFmtId="0" fontId="5" fillId="4" borderId="3" applyAlignment="1" applyProtection="1" pivotButton="0" quotePrefix="0" xfId="0">
      <alignment horizontal="center" vertical="center"/>
      <protection locked="0" hidden="1"/>
    </xf>
    <xf numFmtId="0" fontId="5" fillId="0" borderId="1" applyAlignment="1" applyProtection="1" pivotButton="0" quotePrefix="0" xfId="0">
      <alignment horizontal="center" vertical="center"/>
      <protection locked="0" hidden="1"/>
    </xf>
    <xf numFmtId="0" fontId="5" fillId="0" borderId="3" applyAlignment="1" applyProtection="1" pivotButton="0" quotePrefix="0" xfId="0">
      <alignment horizontal="center" vertical="center"/>
      <protection locked="0" hidden="1"/>
    </xf>
    <xf numFmtId="0" fontId="5" fillId="0" borderId="2" applyAlignment="1" applyProtection="1" pivotButton="0" quotePrefix="0" xfId="0">
      <alignment horizontal="center" vertical="center"/>
      <protection locked="0" hidden="1"/>
    </xf>
    <xf numFmtId="0" fontId="32" fillId="0" borderId="21" applyAlignment="1" applyProtection="1" pivotButton="0" quotePrefix="0" xfId="0">
      <alignment horizontal="center" vertical="center"/>
      <protection locked="0" hidden="1"/>
    </xf>
    <xf numFmtId="0" fontId="32" fillId="0" borderId="1" applyAlignment="1" applyProtection="1" pivotButton="0" quotePrefix="0" xfId="0">
      <alignment horizontal="center" vertical="center"/>
      <protection locked="0" hidden="1"/>
    </xf>
    <xf numFmtId="0" fontId="32" fillId="0" borderId="2" applyAlignment="1" applyProtection="1" pivotButton="0" quotePrefix="0" xfId="0">
      <alignment horizontal="center" vertical="center"/>
      <protection locked="0" hidden="1"/>
    </xf>
    <xf numFmtId="0" fontId="32" fillId="0" borderId="3" applyAlignment="1" applyProtection="1" pivotButton="0" quotePrefix="0" xfId="0">
      <alignment horizontal="center" vertical="center"/>
      <protection locked="0" hidden="1"/>
    </xf>
    <xf numFmtId="0" fontId="4" fillId="0" borderId="0" applyAlignment="1" applyProtection="1" pivotButton="0" quotePrefix="0" xfId="0">
      <alignment horizontal="center" vertical="center"/>
      <protection locked="0" hidden="0"/>
    </xf>
    <xf numFmtId="0" fontId="30" fillId="0" borderId="21" applyAlignment="1" applyProtection="1" pivotButton="0" quotePrefix="0" xfId="0">
      <alignment horizontal="center" vertical="center"/>
      <protection locked="0" hidden="0"/>
    </xf>
    <xf numFmtId="0" fontId="5" fillId="4" borderId="21" applyAlignment="1" applyProtection="1" pivotButton="0" quotePrefix="0" xfId="0">
      <alignment horizontal="center" vertical="center"/>
      <protection locked="0" hidden="1"/>
    </xf>
    <xf numFmtId="0" fontId="5" fillId="0" borderId="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0" fontId="4" fillId="0" borderId="11" applyAlignment="1" applyProtection="1" pivotButton="0" quotePrefix="0" xfId="0">
      <alignment horizontal="center"/>
      <protection locked="0" hidden="0"/>
    </xf>
    <xf numFmtId="0" fontId="5" fillId="0" borderId="18" applyAlignment="1" applyProtection="1" pivotButton="0" quotePrefix="0" xfId="0">
      <alignment horizontal="left" vertical="center"/>
      <protection locked="0" hidden="0"/>
    </xf>
    <xf numFmtId="0" fontId="5" fillId="0" borderId="2"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5" fillId="0" borderId="20" applyAlignment="1" applyProtection="1" pivotButton="0" quotePrefix="0" xfId="0">
      <alignment horizontal="center" vertical="center"/>
      <protection locked="0" hidden="0"/>
    </xf>
    <xf numFmtId="0" fontId="5" fillId="0" borderId="21" applyAlignment="1" applyProtection="1" pivotButton="0" quotePrefix="0" xfId="0">
      <alignment horizontal="center" vertical="center"/>
      <protection locked="0" hidden="0"/>
    </xf>
    <xf numFmtId="0" fontId="17" fillId="0" borderId="21" applyAlignment="1" applyProtection="1" pivotButton="0" quotePrefix="0" xfId="0">
      <alignment horizontal="center" vertical="center"/>
      <protection locked="0" hidden="0"/>
    </xf>
    <xf numFmtId="0" fontId="5" fillId="0" borderId="21" applyAlignment="1" applyProtection="1" pivotButton="0" quotePrefix="0" xfId="0">
      <alignment horizontal="center"/>
      <protection locked="0" hidden="0"/>
    </xf>
    <xf numFmtId="0" fontId="6" fillId="5" borderId="20" applyAlignment="1" applyProtection="1" pivotButton="0" quotePrefix="0" xfId="0">
      <alignment horizontal="center"/>
      <protection locked="0" hidden="0"/>
    </xf>
    <xf numFmtId="0" fontId="5" fillId="0" borderId="11" applyAlignment="1" applyProtection="1" pivotButton="0" quotePrefix="0" xfId="0">
      <alignment horizontal="center" vertical="center"/>
      <protection locked="0" hidden="0"/>
    </xf>
    <xf numFmtId="0" fontId="0" fillId="0" borderId="0" applyAlignment="1" applyProtection="1" pivotButton="0" quotePrefix="0" xfId="0">
      <alignment horizontal="center"/>
      <protection locked="0" hidden="0"/>
    </xf>
    <xf numFmtId="164" fontId="30" fillId="0" borderId="21" applyAlignment="1" applyProtection="1" pivotButton="0" quotePrefix="0" xfId="0">
      <alignment horizontal="center" vertical="center"/>
      <protection locked="0" hidden="0"/>
    </xf>
    <xf numFmtId="164" fontId="30" fillId="0" borderId="18" applyAlignment="1" applyProtection="1" pivotButton="0" quotePrefix="0" xfId="0">
      <alignment horizontal="center" vertical="center"/>
      <protection locked="0" hidden="0"/>
    </xf>
    <xf numFmtId="164" fontId="30" fillId="0" borderId="20" applyAlignment="1" applyProtection="1" pivotButton="0" quotePrefix="0" xfId="0">
      <alignment horizontal="center" vertical="center"/>
      <protection locked="0" hidden="0"/>
    </xf>
    <xf numFmtId="0" fontId="30" fillId="0" borderId="18" applyAlignment="1" applyProtection="1" pivotButton="0" quotePrefix="0" xfId="0">
      <alignment horizontal="center" vertical="center"/>
      <protection locked="0" hidden="0"/>
    </xf>
    <xf numFmtId="0" fontId="30" fillId="0" borderId="20" applyAlignment="1" applyProtection="1" pivotButton="0" quotePrefix="0" xfId="0">
      <alignment horizontal="center" vertical="center"/>
      <protection locked="0" hidden="0"/>
    </xf>
    <xf numFmtId="0" fontId="19" fillId="0" borderId="21" applyAlignment="1" applyProtection="1" pivotButton="0" quotePrefix="0" xfId="0">
      <alignment horizontal="center" vertical="center"/>
      <protection locked="0" hidden="0"/>
    </xf>
    <xf numFmtId="0" fontId="2" fillId="0" borderId="21" applyAlignment="1" applyProtection="1" pivotButton="0" quotePrefix="0" xfId="0">
      <alignment horizontal="center" vertical="center"/>
      <protection locked="0" hidden="0"/>
    </xf>
    <xf numFmtId="0" fontId="30" fillId="0" borderId="21" applyAlignment="1" applyProtection="1" pivotButton="0" quotePrefix="0" xfId="0">
      <alignment horizontal="center" vertical="center"/>
      <protection locked="0" hidden="0"/>
    </xf>
    <xf numFmtId="0" fontId="2" fillId="0" borderId="18" applyAlignment="1" applyProtection="1" pivotButton="0" quotePrefix="0" xfId="0">
      <alignment horizontal="center" vertical="center"/>
      <protection locked="0" hidden="0"/>
    </xf>
    <xf numFmtId="0" fontId="2" fillId="0" borderId="20" applyAlignment="1" applyProtection="1" pivotButton="0" quotePrefix="0" xfId="0">
      <alignment horizontal="center" vertical="center"/>
      <protection locked="0" hidden="0"/>
    </xf>
    <xf numFmtId="0" fontId="30" fillId="0" borderId="18" applyAlignment="1" applyProtection="1" pivotButton="0" quotePrefix="0" xfId="0">
      <alignment horizontal="center" vertical="center"/>
      <protection locked="0" hidden="0"/>
    </xf>
    <xf numFmtId="0" fontId="30" fillId="0" borderId="20" applyAlignment="1" applyProtection="1" pivotButton="0" quotePrefix="0" xfId="0">
      <alignment horizontal="center" vertical="center"/>
      <protection locked="0" hidden="0"/>
    </xf>
    <xf numFmtId="0" fontId="19" fillId="0" borderId="18" applyAlignment="1" applyProtection="1" pivotButton="0" quotePrefix="0" xfId="0">
      <alignment horizontal="center" vertical="center"/>
      <protection locked="0" hidden="0"/>
    </xf>
    <xf numFmtId="0" fontId="19" fillId="0" borderId="20" applyAlignment="1" applyProtection="1" pivotButton="0" quotePrefix="0" xfId="0">
      <alignment horizontal="center" vertical="center"/>
      <protection locked="0" hidden="0"/>
    </xf>
    <xf numFmtId="164" fontId="35" fillId="0" borderId="21" applyAlignment="1" applyProtection="1" pivotButton="0" quotePrefix="0" xfId="0">
      <alignment horizontal="center" vertical="center"/>
      <protection locked="0" hidden="0"/>
    </xf>
    <xf numFmtId="0" fontId="34" fillId="0" borderId="21" applyAlignment="1" applyProtection="1" pivotButton="0" quotePrefix="0" xfId="0">
      <alignment horizontal="center" vertical="center"/>
      <protection locked="0" hidden="0"/>
    </xf>
    <xf numFmtId="0" fontId="5" fillId="0" borderId="4" applyAlignment="1" applyProtection="1" pivotButton="0" quotePrefix="0" xfId="0">
      <alignment horizontal="center" vertical="center"/>
      <protection locked="0" hidden="0"/>
    </xf>
    <xf numFmtId="0" fontId="5" fillId="0" borderId="36" applyAlignment="1" applyProtection="1" pivotButton="0" quotePrefix="0" xfId="0">
      <alignment horizontal="center" vertical="center"/>
      <protection locked="0" hidden="0"/>
    </xf>
    <xf numFmtId="0" fontId="5" fillId="0" borderId="10" applyAlignment="1" applyProtection="1" pivotButton="0" quotePrefix="0" xfId="0">
      <alignment horizontal="center" vertical="center"/>
      <protection locked="0" hidden="0"/>
    </xf>
    <xf numFmtId="0" fontId="5" fillId="0" borderId="35" applyAlignment="1" applyProtection="1" pivotButton="0" quotePrefix="0" xfId="0">
      <alignment horizontal="center" vertical="center"/>
      <protection locked="0" hidden="0"/>
    </xf>
    <xf numFmtId="0" fontId="35" fillId="0" borderId="21" applyAlignment="1" applyProtection="1" pivotButton="0" quotePrefix="0" xfId="0">
      <alignment horizontal="center" vertical="center"/>
      <protection locked="0" hidden="0"/>
    </xf>
    <xf numFmtId="0" fontId="32" fillId="4" borderId="1" applyAlignment="1" applyProtection="1" pivotButton="0" quotePrefix="0" xfId="0">
      <alignment horizontal="center" vertical="center"/>
      <protection locked="0" hidden="1"/>
    </xf>
    <xf numFmtId="0" fontId="32" fillId="4" borderId="3" applyAlignment="1" applyProtection="1" pivotButton="0" quotePrefix="0" xfId="0">
      <alignment horizontal="center" vertical="center"/>
      <protection locked="0" hidden="1"/>
    </xf>
    <xf numFmtId="0" fontId="32" fillId="0" borderId="4" applyAlignment="1" applyProtection="1" pivotButton="0" quotePrefix="0" xfId="0">
      <alignment horizontal="center" vertical="center"/>
      <protection locked="0" hidden="0"/>
    </xf>
    <xf numFmtId="0" fontId="32" fillId="0" borderId="36" applyAlignment="1" applyProtection="1" pivotButton="0" quotePrefix="0" xfId="0">
      <alignment horizontal="center" vertical="center"/>
      <protection locked="0" hidden="0"/>
    </xf>
    <xf numFmtId="0" fontId="32" fillId="0" borderId="10" applyAlignment="1" applyProtection="1" pivotButton="0" quotePrefix="0" xfId="0">
      <alignment horizontal="center" vertical="center"/>
      <protection locked="0" hidden="0"/>
    </xf>
    <xf numFmtId="0" fontId="32" fillId="0" borderId="35" applyAlignment="1" applyProtection="1" pivotButton="0" quotePrefix="0" xfId="0">
      <alignment horizontal="center" vertical="center"/>
      <protection locked="0" hidden="0"/>
    </xf>
    <xf numFmtId="0" fontId="32" fillId="0" borderId="21" applyAlignment="1" applyProtection="1" pivotButton="0" quotePrefix="0" xfId="0">
      <alignment horizontal="center" vertical="center"/>
      <protection locked="0" hidden="0"/>
    </xf>
    <xf numFmtId="0" fontId="32" fillId="0" borderId="1" applyAlignment="1" applyProtection="1" pivotButton="0" quotePrefix="0" xfId="0">
      <alignment horizontal="center"/>
      <protection locked="0" hidden="0"/>
    </xf>
    <xf numFmtId="0" fontId="32" fillId="0" borderId="2" applyAlignment="1" applyProtection="1" pivotButton="0" quotePrefix="0" xfId="0">
      <alignment horizontal="center"/>
      <protection locked="0" hidden="0"/>
    </xf>
    <xf numFmtId="0" fontId="32" fillId="0" borderId="3" applyAlignment="1" applyProtection="1" pivotButton="0" quotePrefix="0" xfId="0">
      <alignment horizontal="center"/>
      <protection locked="0" hidden="0"/>
    </xf>
    <xf numFmtId="0" fontId="35" fillId="0" borderId="21" applyAlignment="1" applyProtection="1" pivotButton="0" quotePrefix="0" xfId="0">
      <alignment horizontal="center" vertical="center"/>
      <protection locked="0" hidden="0"/>
    </xf>
    <xf numFmtId="0" fontId="5" fillId="0" borderId="2" applyAlignment="1" applyProtection="1" pivotButton="0" quotePrefix="0" xfId="0">
      <alignment horizontal="center" vertical="center"/>
      <protection locked="1" hidden="1"/>
    </xf>
    <xf numFmtId="0" fontId="5" fillId="0" borderId="3" applyAlignment="1" applyProtection="1" pivotButton="0" quotePrefix="0" xfId="0">
      <alignment horizontal="center" vertical="center"/>
      <protection locked="1" hidden="1"/>
    </xf>
    <xf numFmtId="0" fontId="5" fillId="0" borderId="1" applyAlignment="1" applyProtection="1" pivotButton="0" quotePrefix="0" xfId="0">
      <alignment horizontal="center" vertical="center"/>
      <protection locked="1" hidden="1"/>
    </xf>
    <xf numFmtId="0" fontId="5" fillId="4" borderId="1" applyAlignment="1" applyProtection="1" pivotButton="0" quotePrefix="0" xfId="0">
      <alignment horizontal="center" vertical="center"/>
      <protection locked="1" hidden="1"/>
    </xf>
    <xf numFmtId="0" fontId="5" fillId="4" borderId="3" applyAlignment="1" applyProtection="1" pivotButton="0" quotePrefix="0" xfId="0">
      <alignment horizontal="center" vertical="center"/>
      <protection locked="1" hidden="1"/>
    </xf>
    <xf numFmtId="0" fontId="5" fillId="0" borderId="4" applyAlignment="1" applyProtection="1" pivotButton="0" quotePrefix="0" xfId="0">
      <alignment horizontal="center" vertical="center"/>
      <protection locked="1" hidden="1"/>
    </xf>
    <xf numFmtId="0" fontId="5" fillId="0" borderId="19" applyAlignment="1" applyProtection="1" pivotButton="0" quotePrefix="0" xfId="0">
      <alignment horizontal="center" vertical="center"/>
      <protection locked="1" hidden="1"/>
    </xf>
    <xf numFmtId="0" fontId="5" fillId="0" borderId="10" applyAlignment="1" applyProtection="1" pivotButton="0" quotePrefix="0" xfId="0">
      <alignment horizontal="center" vertical="center"/>
      <protection locked="1" hidden="1"/>
    </xf>
    <xf numFmtId="0" fontId="5" fillId="0" borderId="17" applyAlignment="1" applyProtection="1" pivotButton="0" quotePrefix="0" xfId="0">
      <alignment horizontal="center" vertical="center"/>
      <protection locked="1" hidden="1"/>
    </xf>
    <xf numFmtId="1" fontId="5" fillId="0" borderId="1" applyAlignment="1" applyProtection="1" pivotButton="0" quotePrefix="0" xfId="0">
      <alignment horizontal="center" vertical="center"/>
      <protection locked="1" hidden="1"/>
    </xf>
    <xf numFmtId="1" fontId="5" fillId="0" borderId="2" applyAlignment="1" applyProtection="1" pivotButton="0" quotePrefix="0" xfId="0">
      <alignment horizontal="center" vertical="center"/>
      <protection locked="1" hidden="1"/>
    </xf>
    <xf numFmtId="1" fontId="5" fillId="0" borderId="3" applyAlignment="1" applyProtection="1" pivotButton="0" quotePrefix="0" xfId="0">
      <alignment horizontal="center" vertical="center"/>
      <protection locked="1" hidden="1"/>
    </xf>
    <xf numFmtId="0" fontId="23" fillId="0" borderId="0" applyAlignment="1" applyProtection="1" pivotButton="0" quotePrefix="0" xfId="1">
      <alignment horizontal="center" vertical="center"/>
      <protection locked="0" hidden="0"/>
    </xf>
    <xf numFmtId="0" fontId="22" fillId="0" borderId="0" applyAlignment="1" applyProtection="1" pivotButton="0" quotePrefix="0" xfId="1">
      <alignment horizontal="center" vertical="center"/>
      <protection locked="0" hidden="0"/>
    </xf>
    <xf numFmtId="0" fontId="1" fillId="0" borderId="11" applyAlignment="1" applyProtection="1" pivotButton="0" quotePrefix="0" xfId="1">
      <alignment horizontal="center"/>
      <protection locked="0" hidden="0"/>
    </xf>
    <xf numFmtId="0" fontId="24" fillId="0" borderId="0" applyAlignment="1" applyProtection="1" pivotButton="0" quotePrefix="0" xfId="1">
      <alignment horizontal="center" vertical="center"/>
      <protection locked="0" hidden="0"/>
    </xf>
    <xf numFmtId="0" fontId="5" fillId="0" borderId="5" applyAlignment="1" applyProtection="1" pivotButton="0" quotePrefix="0" xfId="0">
      <alignment horizontal="center" vertical="center"/>
      <protection locked="0" hidden="0"/>
    </xf>
    <xf numFmtId="0" fontId="5" fillId="0" borderId="11" applyAlignment="1" applyProtection="1" pivotButton="0" quotePrefix="0" xfId="0">
      <alignment horizontal="center" vertical="top"/>
      <protection locked="0" hidden="0"/>
    </xf>
    <xf numFmtId="0" fontId="30" fillId="0" borderId="28" applyAlignment="1" applyProtection="1" pivotButton="0" quotePrefix="0" xfId="1">
      <alignment horizontal="center" vertical="center"/>
      <protection locked="0" hidden="0"/>
    </xf>
    <xf numFmtId="0" fontId="30" fillId="0" borderId="29" applyAlignment="1" applyProtection="1" pivotButton="0" quotePrefix="0" xfId="1">
      <alignment horizontal="center" vertical="center"/>
      <protection locked="0" hidden="0"/>
    </xf>
    <xf numFmtId="0" fontId="26" fillId="7" borderId="33" applyAlignment="1" applyProtection="1" pivotButton="0" quotePrefix="0" xfId="1">
      <alignment horizontal="center" vertical="center"/>
      <protection locked="0" hidden="0"/>
    </xf>
    <xf numFmtId="0" fontId="25" fillId="7" borderId="29" applyAlignment="1" applyProtection="1" pivotButton="0" quotePrefix="0" xfId="1">
      <alignment horizontal="center" vertical="center"/>
      <protection locked="0" hidden="0"/>
    </xf>
    <xf numFmtId="0" fontId="25" fillId="7" borderId="32" applyAlignment="1" applyProtection="1" pivotButton="0" quotePrefix="0" xfId="1">
      <alignment horizontal="center" vertical="center"/>
      <protection locked="0" hidden="0"/>
    </xf>
    <xf numFmtId="0" fontId="27" fillId="4" borderId="0" applyAlignment="1" applyProtection="1" pivotButton="0" quotePrefix="0" xfId="1">
      <alignment horizontal="center" vertical="center"/>
      <protection locked="0" hidden="0"/>
    </xf>
    <xf numFmtId="0" fontId="26" fillId="6" borderId="27" applyAlignment="1" applyProtection="1" pivotButton="0" quotePrefix="0" xfId="1">
      <alignment horizontal="right" vertical="center"/>
      <protection locked="0" hidden="0"/>
    </xf>
    <xf numFmtId="0" fontId="25" fillId="6" borderId="26" applyAlignment="1" applyProtection="1" pivotButton="0" quotePrefix="0" xfId="1">
      <alignment horizontal="right" vertical="center"/>
      <protection locked="0" hidden="0"/>
    </xf>
    <xf numFmtId="0" fontId="25" fillId="6" borderId="25" applyAlignment="1" applyProtection="1" pivotButton="0" quotePrefix="0" xfId="1">
      <alignment horizontal="right" vertical="center"/>
      <protection locked="0" hidden="0"/>
    </xf>
    <xf numFmtId="0" fontId="13" fillId="0" borderId="0" applyAlignment="1" applyProtection="1" pivotButton="0" quotePrefix="0" xfId="1">
      <alignment horizontal="center"/>
      <protection locked="0" hidden="0"/>
    </xf>
    <xf numFmtId="0" fontId="28" fillId="0" borderId="1" applyAlignment="1" applyProtection="1" pivotButton="0" quotePrefix="0" xfId="1">
      <alignment horizontal="center" vertical="center"/>
      <protection locked="0" hidden="0"/>
    </xf>
    <xf numFmtId="0" fontId="28" fillId="0" borderId="2" applyAlignment="1" applyProtection="1" pivotButton="0" quotePrefix="0" xfId="1">
      <alignment horizontal="center" vertical="center"/>
      <protection locked="0" hidden="0"/>
    </xf>
    <xf numFmtId="0" fontId="28" fillId="0" borderId="3" applyAlignment="1" applyProtection="1" pivotButton="0" quotePrefix="0" xfId="1">
      <alignment horizontal="center" vertical="center"/>
      <protection locked="0" hidden="0"/>
    </xf>
    <xf numFmtId="0" fontId="26" fillId="2" borderId="1" applyAlignment="1" applyProtection="1" pivotButton="0" quotePrefix="0" xfId="1">
      <alignment horizontal="center" vertical="center"/>
      <protection locked="0" hidden="0"/>
    </xf>
    <xf numFmtId="0" fontId="26" fillId="2" borderId="2" applyAlignment="1" applyProtection="1" pivotButton="0" quotePrefix="0" xfId="1">
      <alignment horizontal="center" vertical="center"/>
      <protection locked="0" hidden="0"/>
    </xf>
    <xf numFmtId="0" fontId="26" fillId="2" borderId="3" applyAlignment="1" applyProtection="1" pivotButton="0" quotePrefix="0" xfId="1">
      <alignment horizontal="center" vertical="center"/>
      <protection locked="0" hidden="0"/>
    </xf>
    <xf numFmtId="0" fontId="5" fillId="0" borderId="37" applyAlignment="1" pivotButton="0" quotePrefix="0" xfId="0">
      <alignment horizontal="left" vertical="center"/>
    </xf>
    <xf numFmtId="0" fontId="0" fillId="0" borderId="13" pivotButton="0" quotePrefix="0" xfId="0"/>
    <xf numFmtId="0" fontId="0" fillId="0" borderId="29" pivotButton="0" quotePrefix="0" xfId="0"/>
    <xf numFmtId="0" fontId="0" fillId="0" borderId="30" pivotButton="0" quotePrefix="0" xfId="0"/>
    <xf numFmtId="0" fontId="0" fillId="0" borderId="23" pivotButton="0" quotePrefix="0" xfId="0"/>
    <xf numFmtId="0" fontId="0" fillId="0" borderId="9" pivotButton="0" quotePrefix="0" xfId="0"/>
    <xf numFmtId="0" fontId="0" fillId="0" borderId="16" pivotButton="0" quotePrefix="0" xfId="0"/>
    <xf numFmtId="0" fontId="12" fillId="3" borderId="6" applyAlignment="1" pivotButton="0" quotePrefix="0" xfId="0">
      <alignment horizontal="center" vertical="center"/>
    </xf>
    <xf numFmtId="0" fontId="11" fillId="3" borderId="6" applyAlignment="1" pivotButton="0" quotePrefix="0" xfId="0">
      <alignment horizontal="center" vertical="center"/>
    </xf>
    <xf numFmtId="0" fontId="0" fillId="0" borderId="36" applyProtection="1" pivotButton="0" quotePrefix="0" xfId="0">
      <protection locked="0" hidden="0"/>
    </xf>
    <xf numFmtId="0" fontId="0" fillId="0" borderId="2" applyProtection="1" pivotButton="0" quotePrefix="0" xfId="0">
      <protection locked="0" hidden="0"/>
    </xf>
    <xf numFmtId="0" fontId="0" fillId="0" borderId="35" applyProtection="1" pivotButton="0" quotePrefix="0" xfId="0">
      <protection locked="0" hidden="0"/>
    </xf>
    <xf numFmtId="0" fontId="0" fillId="0" borderId="2" applyProtection="1" pivotButton="0" quotePrefix="0" xfId="0">
      <protection locked="1" hidden="1"/>
    </xf>
    <xf numFmtId="0" fontId="0" fillId="0" borderId="3" applyProtection="1" pivotButton="0" quotePrefix="0" xfId="0">
      <protection locked="1" hidden="1"/>
    </xf>
    <xf numFmtId="0" fontId="5" fillId="0" borderId="21" applyAlignment="1" applyProtection="1" pivotButton="0" quotePrefix="0" xfId="0">
      <alignment horizontal="center" vertical="center"/>
      <protection locked="1" hidden="1"/>
    </xf>
    <xf numFmtId="0" fontId="5" fillId="4" borderId="21" applyAlignment="1" applyProtection="1" pivotButton="0" quotePrefix="0" xfId="0">
      <alignment horizontal="center" vertical="center"/>
      <protection locked="1" hidden="1"/>
    </xf>
    <xf numFmtId="0" fontId="5" fillId="0" borderId="40" applyAlignment="1" applyProtection="1" pivotButton="0" quotePrefix="0" xfId="0">
      <alignment horizontal="center" vertical="center"/>
      <protection locked="1" hidden="1"/>
    </xf>
    <xf numFmtId="0" fontId="0" fillId="0" borderId="19" applyProtection="1" pivotButton="0" quotePrefix="0" xfId="0">
      <protection locked="1" hidden="1"/>
    </xf>
    <xf numFmtId="0" fontId="0" fillId="0" borderId="3" applyProtection="1" pivotButton="0" quotePrefix="0" xfId="0">
      <protection locked="0" hidden="0"/>
    </xf>
    <xf numFmtId="1" fontId="5" fillId="0" borderId="21" applyAlignment="1" applyProtection="1" pivotButton="0" quotePrefix="0" xfId="0">
      <alignment horizontal="center" vertical="center"/>
      <protection locked="1" hidden="1"/>
    </xf>
    <xf numFmtId="0" fontId="0" fillId="0" borderId="10" applyProtection="1" pivotButton="0" quotePrefix="0" xfId="0">
      <protection locked="1" hidden="1"/>
    </xf>
    <xf numFmtId="0" fontId="0" fillId="0" borderId="17" applyProtection="1" pivotButton="0" quotePrefix="0" xfId="0">
      <protection locked="1" hidden="1"/>
    </xf>
    <xf numFmtId="0" fontId="0" fillId="0" borderId="2" applyProtection="1" pivotButton="0" quotePrefix="0" xfId="0">
      <protection locked="0" hidden="1"/>
    </xf>
    <xf numFmtId="0" fontId="0" fillId="0" borderId="3" applyProtection="1" pivotButton="0" quotePrefix="0" xfId="0">
      <protection locked="0" hidden="1"/>
    </xf>
    <xf numFmtId="0" fontId="0" fillId="0" borderId="20" applyProtection="1" pivotButton="0" quotePrefix="0" xfId="0">
      <protection locked="0" hidden="0"/>
    </xf>
    <xf numFmtId="0" fontId="0" fillId="0" borderId="10" applyProtection="1" pivotButton="0" quotePrefix="0" xfId="0">
      <protection locked="0" hidden="0"/>
    </xf>
    <xf numFmtId="0" fontId="32" fillId="0" borderId="21" applyAlignment="1" applyProtection="1" pivotButton="0" quotePrefix="0" xfId="0">
      <alignment horizontal="center"/>
      <protection locked="0" hidden="0"/>
    </xf>
    <xf numFmtId="0" fontId="0" fillId="0" borderId="29" applyProtection="1" pivotButton="0" quotePrefix="0" xfId="0">
      <protection locked="0" hidden="0"/>
    </xf>
    <xf numFmtId="0" fontId="26" fillId="7" borderId="42" applyAlignment="1" applyProtection="1" pivotButton="0" quotePrefix="0" xfId="1">
      <alignment horizontal="center" vertical="center"/>
      <protection locked="0" hidden="0"/>
    </xf>
    <xf numFmtId="0" fontId="0" fillId="0" borderId="32" applyProtection="1" pivotButton="0" quotePrefix="0" xfId="0">
      <protection locked="0" hidden="0"/>
    </xf>
    <xf numFmtId="0" fontId="28" fillId="0" borderId="21" applyAlignment="1" applyProtection="1" pivotButton="0" quotePrefix="0" xfId="1">
      <alignment horizontal="center" vertical="center"/>
      <protection locked="0" hidden="0"/>
    </xf>
    <xf numFmtId="0" fontId="26" fillId="2" borderId="21" applyAlignment="1" applyProtection="1" pivotButton="0" quotePrefix="0" xfId="1">
      <alignment horizontal="center" vertical="center"/>
      <protection locked="0" hidden="0"/>
    </xf>
    <xf numFmtId="0" fontId="26" fillId="6" borderId="44" applyAlignment="1" applyProtection="1" pivotButton="0" quotePrefix="0" xfId="1">
      <alignment horizontal="right" vertical="center"/>
      <protection locked="0" hidden="0"/>
    </xf>
    <xf numFmtId="0" fontId="0" fillId="0" borderId="26" applyProtection="1" pivotButton="0" quotePrefix="0" xfId="0">
      <protection locked="0" hidden="0"/>
    </xf>
    <xf numFmtId="0" fontId="0" fillId="0" borderId="25" applyProtection="1" pivotButton="0" quotePrefix="0" xfId="0">
      <protection locked="0" hidden="0"/>
    </xf>
    <xf numFmtId="0" fontId="0" fillId="0" borderId="5" applyProtection="1" pivotButton="0" quotePrefix="0" xfId="0">
      <protection locked="0" hidden="0"/>
    </xf>
  </cellXfs>
  <cellStyles count="3">
    <cellStyle name="Normal" xfId="0" builtinId="0"/>
    <cellStyle name="Normal 2" xfId="1"/>
    <cellStyle name="Hyperlink" xfId="2" builtinId="8"/>
  </cellStyles>
  <dxfs count="25">
    <dxf>
      <font>
        <name val="Arial"/>
        <family val="2"/>
        <b val="1"/>
        <strike val="0"/>
        <outline val="0"/>
        <shadow val="0"/>
        <sz val="12"/>
        <vertAlign val="baseline"/>
      </font>
      <alignment horizontal="center" vertical="center"/>
      <protection locked="0" hidden="0"/>
    </dxf>
    <dxf>
      <border outline="0">
        <top style="thin">
          <color indexed="64"/>
        </top>
      </border>
    </dxf>
    <dxf>
      <font>
        <name val="Arial"/>
        <family val="2"/>
        <b val="1"/>
        <strike val="0"/>
        <outline val="0"/>
        <shadow val="0"/>
        <sz val="12"/>
        <vertAlign val="baseline"/>
      </font>
      <alignment horizontal="center" vertical="center"/>
      <protection locked="0" hidden="0"/>
    </dxf>
    <dxf>
      <border outline="0">
        <bottom style="thin">
          <color indexed="64"/>
        </bottom>
      </border>
    </dxf>
    <dxf>
      <font>
        <name val="Arial"/>
        <family val="2"/>
        <b val="1"/>
        <strike val="0"/>
        <outline val="0"/>
        <shadow val="0"/>
        <condense val="0"/>
        <color theme="1"/>
        <extend val="0"/>
        <sz val="12"/>
        <vertAlign val="baseline"/>
      </font>
      <alignment horizontal="center" vertical="cent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numFmt numFmtId="0" formatCode="General"/>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style="thin">
          <color indexed="64"/>
        </left>
        <right style="thin">
          <color indexed="64"/>
        </right>
        <top style="thin">
          <color indexed="64"/>
        </top>
        <bottom style="thin">
          <color indexed="64"/>
        </bottom>
      </border>
      <protection locked="0" hidden="0"/>
    </dxf>
    <dxf>
      <font>
        <name val="Arial"/>
        <family val="2"/>
        <b val="1"/>
        <strike val="0"/>
        <outline val="0"/>
        <shadow val="0"/>
        <condense val="0"/>
        <color theme="1"/>
        <extend val="0"/>
        <sz val="12"/>
        <vertAlign val="baseline"/>
      </font>
      <alignment horizontal="center" vertical="center"/>
      <border outline="0">
        <left/>
        <right style="thin">
          <color indexed="64"/>
        </right>
        <top style="thin">
          <color indexed="64"/>
        </top>
        <bottom style="thin">
          <color indexed="64"/>
        </bottom>
      </border>
      <protection locked="0" hidden="0"/>
    </dxf>
    <dxf>
      <font>
        <name val="Arial"/>
        <family val="2"/>
        <b val="1"/>
        <strike val="0"/>
        <outline val="0"/>
        <shadow val="0"/>
        <sz val="12"/>
        <vertAlign val="baseline"/>
      </font>
      <alignment horizontal="center" vertical="center"/>
      <border outline="0">
        <left style="thin">
          <color indexed="64"/>
        </left>
        <right style="thin">
          <color indexed="64"/>
        </right>
        <top/>
        <bottom/>
      </border>
      <protection locked="0" hidden="0"/>
    </dxf>
    <dxf>
      <font>
        <name val="Arial"/>
        <family val="2"/>
        <b val="1"/>
        <strike val="0"/>
        <outline val="0"/>
        <shadow val="0"/>
        <condense val="0"/>
        <color theme="1"/>
        <extend val="0"/>
        <sz val="12"/>
        <vertAlign val="baseline"/>
      </font>
      <alignment horizontal="center" vertical="center"/>
      <protection locked="0" hidden="0"/>
    </dxf>
    <dxf>
      <border>
        <bottom style="thin">
          <color indexed="64"/>
        </bottom>
      </border>
    </dxf>
    <dxf>
      <font>
        <name val="Arial"/>
        <family val="2"/>
        <b val="1"/>
        <strike val="0"/>
        <outline val="0"/>
        <shadow val="0"/>
        <sz val="12"/>
        <vertAlign val="baseline"/>
      </font>
      <alignment horizontal="center" vertical="center"/>
      <border outline="0">
        <left style="thin">
          <color indexed="64"/>
        </left>
        <right style="thin">
          <color indexed="64"/>
        </right>
        <top/>
        <bottom/>
      </border>
      <protection locked="0" hidden="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file:///C:\Users\robert.l.richards\AppData\Local\Microsoft\Windows\INetCache\Content.Outlook\FXFI2DI3\Copy%20of%20Copy%20of%20Copy%20of%20Copy%20of%20Copy%20of%20Copy%20of%20AUGUST%2015%202025.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DATA BASE"/>
      <sheetName val="Normal Ops (1)"/>
      <sheetName val="Normal Ops (2)"/>
      <sheetName val="Normal Ops (3)"/>
      <sheetName val="Normal Ops (4)"/>
      <sheetName val="Normal Ops (5)"/>
      <sheetName val="Normal Ops (EXTRA)"/>
      <sheetName val="100% Insp"/>
    </sheetNames>
    <sheetDataSet>
      <sheetData sheetId="0">
        <row r="1">
          <cell r="I1" t="str">
            <v>TYPE 2</v>
          </cell>
        </row>
        <row r="11">
          <cell r="I11" t="str">
            <v xml:space="preserve">CONTRACTOR </v>
          </cell>
        </row>
        <row r="12">
          <cell r="I12" t="str">
            <v xml:space="preserve">CONTRACTOR </v>
          </cell>
        </row>
        <row r="13">
          <cell r="I13" t="str">
            <v xml:space="preserve">CONTRACTOR </v>
          </cell>
        </row>
        <row r="14">
          <cell r="I14" t="str">
            <v xml:space="preserve">CONTRACTOR </v>
          </cell>
        </row>
        <row r="15">
          <cell r="I15" t="str">
            <v>COMMERCIAL</v>
          </cell>
        </row>
        <row r="16">
          <cell r="I16" t="str">
            <v>COMMERCIAL</v>
          </cell>
        </row>
        <row r="17">
          <cell r="I17" t="str">
            <v xml:space="preserve">CONTRACTOR </v>
          </cell>
        </row>
        <row r="18">
          <cell r="I18" t="str">
            <v xml:space="preserve">CONTRACTOR </v>
          </cell>
        </row>
        <row r="19">
          <cell r="I19" t="str">
            <v xml:space="preserve">CONTRACTOR </v>
          </cell>
        </row>
        <row r="20">
          <cell r="I20" t="str">
            <v xml:space="preserve">CONTRACTOR </v>
          </cell>
        </row>
        <row r="21">
          <cell r="I21" t="str">
            <v>COMMERCIAL</v>
          </cell>
        </row>
        <row r="22">
          <cell r="I22" t="str">
            <v xml:space="preserve">CONTRACTOR </v>
          </cell>
        </row>
        <row r="23">
          <cell r="I23" t="str">
            <v xml:space="preserve">CONTRACTOR </v>
          </cell>
        </row>
        <row r="24">
          <cell r="I24" t="str">
            <v xml:space="preserve">CONTRACTOR </v>
          </cell>
        </row>
        <row r="25">
          <cell r="I25" t="str">
            <v>COMMERCIAL</v>
          </cell>
        </row>
        <row r="26">
          <cell r="I26" t="str">
            <v xml:space="preserve">CONTRACTOR </v>
          </cell>
        </row>
        <row r="27">
          <cell r="I27" t="str">
            <v xml:space="preserve">CONTRACTOR </v>
          </cell>
        </row>
        <row r="28">
          <cell r="I28" t="str">
            <v>COMMERCIAL</v>
          </cell>
        </row>
        <row r="29">
          <cell r="I29" t="str">
            <v>COMMERCIAL</v>
          </cell>
        </row>
        <row r="30">
          <cell r="I30" t="str">
            <v>COMMERCIAL</v>
          </cell>
        </row>
        <row r="31">
          <cell r="I31" t="str">
            <v>COMMERCIAL</v>
          </cell>
        </row>
        <row r="32">
          <cell r="I32" t="str">
            <v>COMMERCIAL</v>
          </cell>
        </row>
        <row r="33">
          <cell r="I33" t="str">
            <v xml:space="preserve">CONTRACTOR </v>
          </cell>
        </row>
        <row r="34">
          <cell r="I34" t="str">
            <v xml:space="preserve">CONTRACTOR </v>
          </cell>
        </row>
        <row r="35">
          <cell r="I35" t="str">
            <v xml:space="preserve">CONTRACTOR </v>
          </cell>
        </row>
        <row r="36">
          <cell r="I36" t="str">
            <v xml:space="preserve">CONTRACTOR </v>
          </cell>
        </row>
        <row r="37">
          <cell r="I37" t="str">
            <v xml:space="preserve">CONTRACTOR </v>
          </cell>
        </row>
        <row r="38">
          <cell r="I38" t="str">
            <v>COMMERCIAL</v>
          </cell>
        </row>
        <row r="40">
          <cell r="I40" t="str">
            <v>COMMERCIAL</v>
          </cell>
        </row>
        <row r="41">
          <cell r="I41" t="str">
            <v xml:space="preserve">CONTRACTOR </v>
          </cell>
        </row>
        <row r="42">
          <cell r="I42" t="str">
            <v xml:space="preserve">CONTRACTOR </v>
          </cell>
        </row>
        <row r="43">
          <cell r="I43" t="str">
            <v xml:space="preserve">CONTRACTOR </v>
          </cell>
        </row>
        <row r="44">
          <cell r="I44" t="str">
            <v xml:space="preserve">CONTRACTOR </v>
          </cell>
        </row>
        <row r="45">
          <cell r="I45" t="str">
            <v xml:space="preserve">CONTRACTOR </v>
          </cell>
        </row>
        <row r="46">
          <cell r="I46" t="str">
            <v>COMMERCIAL</v>
          </cell>
        </row>
        <row r="47">
          <cell r="I47" t="str">
            <v>COMMERCIAL</v>
          </cell>
        </row>
        <row r="48">
          <cell r="I48" t="str">
            <v>COMMERCIAL</v>
          </cell>
        </row>
        <row r="49">
          <cell r="I49" t="str">
            <v xml:space="preserve">CONTRACTOR </v>
          </cell>
        </row>
        <row r="50">
          <cell r="I50" t="str">
            <v xml:space="preserve">CONTRACTOR </v>
          </cell>
        </row>
        <row r="51">
          <cell r="I51" t="str">
            <v xml:space="preserve">CONTRACTOR </v>
          </cell>
        </row>
        <row r="52">
          <cell r="I52" t="str">
            <v>COMMERCIAL</v>
          </cell>
        </row>
        <row r="53">
          <cell r="I53" t="str">
            <v xml:space="preserve">CONTRACTOR </v>
          </cell>
        </row>
        <row r="54">
          <cell r="I54" t="str">
            <v>COMMERCIAL</v>
          </cell>
        </row>
        <row r="55">
          <cell r="I55" t="str">
            <v xml:space="preserve">CONTRACTOR </v>
          </cell>
        </row>
        <row r="56">
          <cell r="I56" t="str">
            <v xml:space="preserve">CONTRACTOR </v>
          </cell>
        </row>
        <row r="57">
          <cell r="I57" t="str">
            <v>COMMERCIAL</v>
          </cell>
        </row>
        <row r="58">
          <cell r="I58" t="str">
            <v>COMMERCIAL</v>
          </cell>
        </row>
        <row r="59">
          <cell r="I59" t="str">
            <v xml:space="preserve">CONTRACTOR </v>
          </cell>
        </row>
        <row r="60">
          <cell r="I60" t="str">
            <v xml:space="preserve">CONTRACTOR </v>
          </cell>
        </row>
        <row r="61">
          <cell r="I61" t="str">
            <v xml:space="preserve">CONTRACTOR </v>
          </cell>
        </row>
        <row r="62">
          <cell r="I62" t="str">
            <v xml:space="preserve">CONTRACTOR </v>
          </cell>
        </row>
        <row r="63">
          <cell r="I63" t="str">
            <v xml:space="preserve">CONTRACTOR </v>
          </cell>
        </row>
        <row r="64">
          <cell r="I64" t="str">
            <v xml:space="preserve">CONTRACTOR </v>
          </cell>
        </row>
        <row r="65">
          <cell r="I65" t="str">
            <v xml:space="preserve">CONTRACTOR </v>
          </cell>
        </row>
        <row r="66">
          <cell r="I66" t="str">
            <v>COMMERCIAL</v>
          </cell>
        </row>
        <row r="67">
          <cell r="I67" t="str">
            <v>COMMERCIAL</v>
          </cell>
        </row>
        <row r="68">
          <cell r="I68" t="str">
            <v xml:space="preserve">CONTRACTOR </v>
          </cell>
        </row>
        <row r="69">
          <cell r="I69" t="str">
            <v xml:space="preserve">CONTRACTOR </v>
          </cell>
        </row>
        <row r="70">
          <cell r="I70" t="str">
            <v xml:space="preserve">CONTRACTOR </v>
          </cell>
        </row>
        <row r="71">
          <cell r="I71" t="str">
            <v xml:space="preserve">CONTRACTOR </v>
          </cell>
        </row>
        <row r="72">
          <cell r="I72" t="str">
            <v xml:space="preserve">CONTRACTOR </v>
          </cell>
        </row>
        <row r="73">
          <cell r="I73" t="str">
            <v xml:space="preserve">CONTRACTOR </v>
          </cell>
        </row>
        <row r="74">
          <cell r="I74" t="str">
            <v xml:space="preserve">CONTRACTOR </v>
          </cell>
        </row>
        <row r="75">
          <cell r="I75" t="str">
            <v xml:space="preserve">CONTRACTOR </v>
          </cell>
        </row>
        <row r="76">
          <cell r="I76" t="str">
            <v>COMMERCIAL</v>
          </cell>
        </row>
        <row r="77">
          <cell r="I77" t="str">
            <v xml:space="preserve">CONTRACTOR </v>
          </cell>
        </row>
        <row r="78">
          <cell r="I78" t="str">
            <v>COMMERCIAL</v>
          </cell>
        </row>
        <row r="79">
          <cell r="I79" t="str">
            <v>COMMERCIAL</v>
          </cell>
        </row>
        <row r="80">
          <cell r="I80" t="str">
            <v xml:space="preserve">CONTRACTOR </v>
          </cell>
        </row>
        <row r="81">
          <cell r="I81" t="str">
            <v xml:space="preserve">CONTRACTOR </v>
          </cell>
        </row>
        <row r="82">
          <cell r="I82" t="str">
            <v xml:space="preserve">CONTRACTOR </v>
          </cell>
        </row>
        <row r="83">
          <cell r="I83" t="str">
            <v>COMMERCIAL</v>
          </cell>
        </row>
        <row r="84">
          <cell r="I84" t="str">
            <v>COMMERCIAL</v>
          </cell>
        </row>
        <row r="85">
          <cell r="I85" t="str">
            <v xml:space="preserve">CONTRACTOR </v>
          </cell>
        </row>
        <row r="86">
          <cell r="I86" t="str">
            <v>COMMERCIAL</v>
          </cell>
        </row>
        <row r="87">
          <cell r="I87" t="str">
            <v>COMMERCIAL</v>
          </cell>
        </row>
        <row r="88">
          <cell r="I88" t="str">
            <v>COMMERCIAL</v>
          </cell>
        </row>
        <row r="89">
          <cell r="I89" t="str">
            <v xml:space="preserve">CONTRACTOR </v>
          </cell>
        </row>
        <row r="90">
          <cell r="I90" t="str">
            <v xml:space="preserve">CONTRACTOR </v>
          </cell>
        </row>
        <row r="91">
          <cell r="I91" t="str">
            <v xml:space="preserve">CONTRACTOR </v>
          </cell>
        </row>
        <row r="92">
          <cell r="I92" t="str">
            <v>COMMERCIAL</v>
          </cell>
        </row>
        <row r="93">
          <cell r="I93" t="str">
            <v xml:space="preserve">CONTRACTOR </v>
          </cell>
        </row>
        <row r="94">
          <cell r="I94" t="str">
            <v>COMMERCIAL</v>
          </cell>
        </row>
        <row r="95">
          <cell r="I95" t="str">
            <v>COMMERCIAL</v>
          </cell>
        </row>
        <row r="96">
          <cell r="I96" t="str">
            <v>COMMERCIAL</v>
          </cell>
        </row>
        <row r="97">
          <cell r="I97" t="str">
            <v xml:space="preserve">CONTRACTOR </v>
          </cell>
        </row>
        <row r="98">
          <cell r="I98" t="str">
            <v>COMMERCIAL</v>
          </cell>
        </row>
        <row r="99">
          <cell r="I99" t="str">
            <v xml:space="preserve">CONTRACTOR </v>
          </cell>
        </row>
        <row r="100">
          <cell r="I100" t="str">
            <v>COMMERCIAL</v>
          </cell>
        </row>
        <row r="101">
          <cell r="I101" t="str">
            <v>COMMERCIAL</v>
          </cell>
        </row>
        <row r="102">
          <cell r="I102" t="str">
            <v xml:space="preserve">CONTRACTOR </v>
          </cell>
        </row>
        <row r="103">
          <cell r="I103" t="str">
            <v>COMMERCIAL</v>
          </cell>
        </row>
        <row r="104">
          <cell r="I104" t="str">
            <v>COMMERCIAL</v>
          </cell>
        </row>
        <row r="105">
          <cell r="I105" t="str">
            <v xml:space="preserve">CONTRACTOR </v>
          </cell>
        </row>
        <row r="106">
          <cell r="I106" t="str">
            <v xml:space="preserve">CONTRACTOR </v>
          </cell>
        </row>
        <row r="107">
          <cell r="I107" t="str">
            <v xml:space="preserve">CONTRACTOR </v>
          </cell>
        </row>
        <row r="108">
          <cell r="I108" t="str">
            <v>COMMERCIAL</v>
          </cell>
        </row>
        <row r="109">
          <cell r="I109" t="str">
            <v>COMMERCIAL</v>
          </cell>
        </row>
        <row r="110">
          <cell r="I110" t="str">
            <v xml:space="preserve">CONTRACTOR </v>
          </cell>
        </row>
        <row r="111">
          <cell r="I111" t="str">
            <v xml:space="preserve">CONTRACTOR </v>
          </cell>
        </row>
        <row r="112">
          <cell r="I112" t="str">
            <v>COMMERCIAL</v>
          </cell>
        </row>
        <row r="113">
          <cell r="I113" t="str">
            <v>COMMERCIAL</v>
          </cell>
        </row>
        <row r="114">
          <cell r="I114" t="str">
            <v>COMMERCIAL</v>
          </cell>
        </row>
        <row r="115">
          <cell r="I115" t="str">
            <v>COMMERCIAL</v>
          </cell>
        </row>
        <row r="116">
          <cell r="I116" t="str">
            <v>COMMERCIAL</v>
          </cell>
        </row>
        <row r="117">
          <cell r="I117" t="str">
            <v>COMMERCIAL</v>
          </cell>
        </row>
        <row r="118">
          <cell r="I118" t="str">
            <v>COMMERCIAL</v>
          </cell>
        </row>
        <row r="119">
          <cell r="I119" t="str">
            <v>COMMERCIAL</v>
          </cell>
        </row>
        <row r="120">
          <cell r="I120" t="str">
            <v xml:space="preserve">CONTRACTOR </v>
          </cell>
        </row>
        <row r="121">
          <cell r="I121" t="str">
            <v>COMMERCIAL</v>
          </cell>
        </row>
        <row r="122">
          <cell r="I122" t="str">
            <v>COMMERCIAL</v>
          </cell>
        </row>
        <row r="123">
          <cell r="I123" t="str">
            <v xml:space="preserve">CONTRACTOR </v>
          </cell>
        </row>
        <row r="124">
          <cell r="I124" t="str">
            <v>COMMERCIAL</v>
          </cell>
        </row>
        <row r="125">
          <cell r="I125" t="str">
            <v>COMMERCIAL</v>
          </cell>
        </row>
        <row r="126">
          <cell r="I126" t="str">
            <v xml:space="preserve">CONTRACTOR </v>
          </cell>
        </row>
        <row r="127">
          <cell r="I127" t="str">
            <v>COMMERCIAL</v>
          </cell>
        </row>
        <row r="128">
          <cell r="I128" t="str">
            <v>COMMERCIAL</v>
          </cell>
        </row>
        <row r="129">
          <cell r="I129" t="str">
            <v xml:space="preserve">CONTRACTOR </v>
          </cell>
        </row>
        <row r="130">
          <cell r="I130" t="str">
            <v>COMMERCIAL</v>
          </cell>
        </row>
        <row r="131">
          <cell r="I131" t="str">
            <v>COMMERCIAL</v>
          </cell>
        </row>
        <row r="132">
          <cell r="I132" t="str">
            <v>COMMERCIAL</v>
          </cell>
        </row>
        <row r="133">
          <cell r="I133" t="str">
            <v xml:space="preserve">CONTRACTOR </v>
          </cell>
        </row>
        <row r="134">
          <cell r="I134" t="str">
            <v>COMMERCIAL</v>
          </cell>
        </row>
        <row r="135">
          <cell r="I135" t="str">
            <v>COMMERCIAL</v>
          </cell>
        </row>
        <row r="136">
          <cell r="I136" t="str">
            <v>COMMERCIAL</v>
          </cell>
        </row>
        <row r="137">
          <cell r="I137" t="str">
            <v>COMMERCIAL</v>
          </cell>
        </row>
        <row r="138">
          <cell r="I138" t="str">
            <v>COMMERCIAL</v>
          </cell>
        </row>
        <row r="139">
          <cell r="I139" t="str">
            <v xml:space="preserve">CONTRACTOR </v>
          </cell>
        </row>
        <row r="140">
          <cell r="I140" t="str">
            <v>COMMERCIAL</v>
          </cell>
        </row>
        <row r="141">
          <cell r="I141" t="str">
            <v xml:space="preserve">CONTRACTOR </v>
          </cell>
        </row>
        <row r="142">
          <cell r="I142" t="str">
            <v>COMMERCIAL</v>
          </cell>
        </row>
        <row r="143">
          <cell r="I143" t="str">
            <v>COMMERCIAL</v>
          </cell>
        </row>
        <row r="144">
          <cell r="I144" t="str">
            <v xml:space="preserve">CONTRACTOR </v>
          </cell>
        </row>
        <row r="145">
          <cell r="I145" t="str">
            <v xml:space="preserve">CONTRACTOR </v>
          </cell>
        </row>
        <row r="146">
          <cell r="I146" t="str">
            <v xml:space="preserve">CONTRACTOR </v>
          </cell>
        </row>
        <row r="147">
          <cell r="I147" t="str">
            <v>COMMERCIAL</v>
          </cell>
        </row>
        <row r="148">
          <cell r="I148" t="str">
            <v xml:space="preserve">CONTRACTOR </v>
          </cell>
        </row>
        <row r="149">
          <cell r="I149" t="str">
            <v xml:space="preserve">CONTRACTOR </v>
          </cell>
        </row>
        <row r="150">
          <cell r="I150" t="str">
            <v xml:space="preserve">CONTRACTOR </v>
          </cell>
        </row>
        <row r="151">
          <cell r="I151" t="str">
            <v>COMMERCIAL</v>
          </cell>
        </row>
        <row r="152">
          <cell r="I152" t="str">
            <v>COMMERCIAL</v>
          </cell>
        </row>
        <row r="153">
          <cell r="I153" t="str">
            <v>COMMERCIAL</v>
          </cell>
        </row>
        <row r="154">
          <cell r="I154" t="str">
            <v>COMMERCIAL</v>
          </cell>
        </row>
        <row r="155">
          <cell r="I155" t="str">
            <v xml:space="preserve">CONTRACTOR </v>
          </cell>
        </row>
        <row r="156">
          <cell r="I156" t="str">
            <v xml:space="preserve">CONTRACTOR </v>
          </cell>
        </row>
        <row r="157">
          <cell r="I157" t="str">
            <v>COMMERCIAL</v>
          </cell>
        </row>
        <row r="158">
          <cell r="I158" t="str">
            <v>COMMERCIAL</v>
          </cell>
        </row>
        <row r="159">
          <cell r="I159" t="str">
            <v>COMMERCIAL</v>
          </cell>
        </row>
        <row r="160">
          <cell r="I160" t="str">
            <v>COMMERCIAL</v>
          </cell>
        </row>
        <row r="161">
          <cell r="I161" t="str">
            <v xml:space="preserve">CONTRACTOR </v>
          </cell>
        </row>
        <row r="162">
          <cell r="I162" t="str">
            <v>COMMERCIAL</v>
          </cell>
        </row>
        <row r="163">
          <cell r="I163" t="str">
            <v xml:space="preserve">CONTRACTOR </v>
          </cell>
        </row>
        <row r="164">
          <cell r="I164" t="str">
            <v xml:space="preserve">CONTRACTOR </v>
          </cell>
        </row>
        <row r="165">
          <cell r="I165" t="str">
            <v>COMMERCIAL</v>
          </cell>
        </row>
        <row r="166">
          <cell r="I166" t="str">
            <v xml:space="preserve">CONTRACTOR </v>
          </cell>
        </row>
        <row r="167">
          <cell r="I167" t="str">
            <v>COMMERCIAL</v>
          </cell>
        </row>
        <row r="168">
          <cell r="I168" t="str">
            <v>COMMERCIAL</v>
          </cell>
        </row>
        <row r="169">
          <cell r="I169" t="str">
            <v xml:space="preserve">CONTRACTOR </v>
          </cell>
        </row>
        <row r="170">
          <cell r="I170" t="str">
            <v xml:space="preserve">CONTRACTOR </v>
          </cell>
        </row>
        <row r="171">
          <cell r="I171" t="str">
            <v>COMMERCIAL</v>
          </cell>
        </row>
        <row r="172">
          <cell r="I172" t="str">
            <v xml:space="preserve">CONTRACTOR </v>
          </cell>
        </row>
        <row r="173">
          <cell r="I173" t="str">
            <v>COMMERCIAL</v>
          </cell>
        </row>
        <row r="174">
          <cell r="I174" t="str">
            <v>COMMERCIAL</v>
          </cell>
        </row>
        <row r="175">
          <cell r="I175" t="str">
            <v xml:space="preserve">CONTRACTOR </v>
          </cell>
        </row>
        <row r="176">
          <cell r="I176" t="str">
            <v xml:space="preserve">CONTRACTOR </v>
          </cell>
        </row>
        <row r="177">
          <cell r="I177" t="str">
            <v>COMMERCIAL</v>
          </cell>
        </row>
        <row r="178">
          <cell r="I178" t="str">
            <v>COMMERCIAL</v>
          </cell>
        </row>
        <row r="179">
          <cell r="I179" t="str">
            <v>COMMERCIAL</v>
          </cell>
        </row>
        <row r="180">
          <cell r="I180" t="str">
            <v>COMMERCIAL</v>
          </cell>
        </row>
        <row r="181">
          <cell r="I181" t="str">
            <v>COMMERCIAL</v>
          </cell>
        </row>
        <row r="182">
          <cell r="I182" t="str">
            <v>COMMERCIAL</v>
          </cell>
        </row>
        <row r="183">
          <cell r="I183" t="str">
            <v>COMMERCIAL</v>
          </cell>
        </row>
        <row r="184">
          <cell r="I184" t="str">
            <v>COMMERCIAL</v>
          </cell>
        </row>
        <row r="185">
          <cell r="I185" t="str">
            <v>COMMERCIAL</v>
          </cell>
        </row>
        <row r="186">
          <cell r="I186" t="str">
            <v>COMMERCIAL</v>
          </cell>
        </row>
        <row r="187">
          <cell r="I187" t="str">
            <v xml:space="preserve">CONTRACTOR </v>
          </cell>
        </row>
        <row r="188">
          <cell r="I188" t="str">
            <v xml:space="preserve">CONTRACTOR </v>
          </cell>
        </row>
        <row r="189">
          <cell r="I189" t="str">
            <v>COMMERCIAL</v>
          </cell>
        </row>
        <row r="190">
          <cell r="I190" t="str">
            <v>COMMERCIAL</v>
          </cell>
        </row>
        <row r="191">
          <cell r="I191" t="str">
            <v>COMMERCIAL</v>
          </cell>
        </row>
        <row r="192">
          <cell r="I192" t="str">
            <v>COMMERCIAL</v>
          </cell>
        </row>
        <row r="193">
          <cell r="I193" t="str">
            <v xml:space="preserve">CONTRACTOR </v>
          </cell>
        </row>
        <row r="194">
          <cell r="I194" t="str">
            <v xml:space="preserve">CONTRACTOR </v>
          </cell>
        </row>
        <row r="195">
          <cell r="I195" t="str">
            <v xml:space="preserve">CONTRACTOR </v>
          </cell>
        </row>
        <row r="196">
          <cell r="I196" t="str">
            <v>COMMERCIAL</v>
          </cell>
        </row>
        <row r="197">
          <cell r="I197" t="str">
            <v xml:space="preserve">CONTRACTOR </v>
          </cell>
        </row>
        <row r="198">
          <cell r="I198" t="str">
            <v>COMMERCIAL</v>
          </cell>
        </row>
        <row r="199">
          <cell r="I199" t="str">
            <v>COMMERCIAL</v>
          </cell>
        </row>
        <row r="200">
          <cell r="I200" t="str">
            <v xml:space="preserve">CONTRACTOR </v>
          </cell>
        </row>
        <row r="201">
          <cell r="I201" t="str">
            <v>COMMERCIAL</v>
          </cell>
        </row>
        <row r="202">
          <cell r="I202" t="str">
            <v xml:space="preserve">CONTRACTOR </v>
          </cell>
        </row>
        <row r="203">
          <cell r="I203" t="str">
            <v>COMMERCIAL</v>
          </cell>
        </row>
        <row r="204">
          <cell r="I204" t="str">
            <v xml:space="preserve">CONTRACTOR </v>
          </cell>
        </row>
        <row r="205">
          <cell r="I205" t="str">
            <v xml:space="preserve">CONTRACTOR </v>
          </cell>
        </row>
        <row r="206">
          <cell r="I206" t="str">
            <v xml:space="preserve">CONTRACTOR </v>
          </cell>
        </row>
        <row r="207">
          <cell r="I207" t="str">
            <v>COMMERCIAL</v>
          </cell>
        </row>
        <row r="208">
          <cell r="I208" t="str">
            <v>COMMERCIAL</v>
          </cell>
        </row>
        <row r="209">
          <cell r="I209" t="str">
            <v>COMMERCIAL</v>
          </cell>
        </row>
        <row r="210">
          <cell r="I210" t="str">
            <v xml:space="preserve">CONTRACTOR </v>
          </cell>
        </row>
        <row r="211">
          <cell r="I211" t="str">
            <v>COMMERCIAL</v>
          </cell>
        </row>
        <row r="212">
          <cell r="I212" t="str">
            <v>COMMERCIAL</v>
          </cell>
        </row>
        <row r="213">
          <cell r="I213" t="str">
            <v>COMMERCIAL</v>
          </cell>
        </row>
        <row r="214">
          <cell r="I214" t="str">
            <v>COMMERCIAL</v>
          </cell>
        </row>
        <row r="215">
          <cell r="I215" t="str">
            <v>COMMERCIAL</v>
          </cell>
        </row>
        <row r="216">
          <cell r="I216" t="str">
            <v>COMMERCIAL</v>
          </cell>
        </row>
        <row r="217">
          <cell r="I217" t="str">
            <v>COMMERCIAL</v>
          </cell>
        </row>
        <row r="218">
          <cell r="I218" t="str">
            <v>COMMERCIAL</v>
          </cell>
        </row>
        <row r="219">
          <cell r="I219" t="str">
            <v>COMMERCIAL</v>
          </cell>
        </row>
        <row r="220">
          <cell r="I220" t="str">
            <v>COMMERCIAL</v>
          </cell>
        </row>
        <row r="221">
          <cell r="I221" t="str">
            <v>COMMERCIAL</v>
          </cell>
        </row>
        <row r="222">
          <cell r="I222" t="str">
            <v>COMMERCIAL</v>
          </cell>
        </row>
        <row r="223">
          <cell r="I223" t="str">
            <v>COMMERCIAL</v>
          </cell>
        </row>
        <row r="224">
          <cell r="I224" t="str">
            <v xml:space="preserve">CONTRACTOR </v>
          </cell>
        </row>
        <row r="225">
          <cell r="I225" t="str">
            <v>COMMERCIAL</v>
          </cell>
        </row>
        <row r="226">
          <cell r="I226" t="str">
            <v>COMMERCIAL</v>
          </cell>
        </row>
        <row r="227">
          <cell r="I227" t="str">
            <v>COMMERCIAL</v>
          </cell>
        </row>
        <row r="228">
          <cell r="I228" t="str">
            <v xml:space="preserve">CONTRACTOR </v>
          </cell>
        </row>
        <row r="229">
          <cell r="I229" t="str">
            <v xml:space="preserve">CONTRACTOR </v>
          </cell>
        </row>
        <row r="230">
          <cell r="I230" t="str">
            <v xml:space="preserve">CONTRACTOR </v>
          </cell>
        </row>
        <row r="231">
          <cell r="I231" t="str">
            <v>COMMERCIAL</v>
          </cell>
        </row>
        <row r="232">
          <cell r="I232" t="str">
            <v>COMMERCIAL</v>
          </cell>
        </row>
        <row r="233">
          <cell r="I233" t="str">
            <v xml:space="preserve">CONTRACTOR </v>
          </cell>
        </row>
        <row r="234">
          <cell r="I234" t="str">
            <v>COMMERCIAL</v>
          </cell>
        </row>
        <row r="235">
          <cell r="I235" t="str">
            <v>COMMERCIAL</v>
          </cell>
        </row>
        <row r="236">
          <cell r="I236" t="str">
            <v>COMMERCIAL</v>
          </cell>
        </row>
        <row r="237">
          <cell r="I237" t="str">
            <v>COMMERCIAL</v>
          </cell>
        </row>
        <row r="238">
          <cell r="I238" t="str">
            <v>COMMERCIAL</v>
          </cell>
        </row>
        <row r="239">
          <cell r="I239" t="str">
            <v>COMMERCIAL</v>
          </cell>
        </row>
        <row r="240">
          <cell r="I240" t="str">
            <v xml:space="preserve">CONTRACTOR </v>
          </cell>
        </row>
        <row r="241">
          <cell r="I241" t="str">
            <v xml:space="preserve">CONTRACTOR </v>
          </cell>
        </row>
        <row r="242">
          <cell r="I242" t="str">
            <v>COMMERCIAL</v>
          </cell>
        </row>
        <row r="243">
          <cell r="I243" t="str">
            <v>COMMERCIAL</v>
          </cell>
        </row>
        <row r="244">
          <cell r="I244" t="str">
            <v>COMMERCIAL</v>
          </cell>
        </row>
        <row r="245">
          <cell r="I245" t="str">
            <v>COMMERCIAL</v>
          </cell>
        </row>
        <row r="246">
          <cell r="I246" t="str">
            <v>COMMERCIAL</v>
          </cell>
        </row>
        <row r="247">
          <cell r="I247" t="str">
            <v>COMMERCIAL</v>
          </cell>
        </row>
        <row r="248">
          <cell r="I248" t="str">
            <v>COMMERCIAL</v>
          </cell>
        </row>
        <row r="249">
          <cell r="I249" t="str">
            <v>COMMERCIAL</v>
          </cell>
        </row>
        <row r="250">
          <cell r="I250" t="str">
            <v>COMMERCIAL</v>
          </cell>
        </row>
        <row r="251">
          <cell r="I251" t="str">
            <v>COMMERCIAL</v>
          </cell>
        </row>
        <row r="252">
          <cell r="I252" t="str">
            <v>COMMERCIAL</v>
          </cell>
        </row>
        <row r="253">
          <cell r="I253" t="str">
            <v>COMMERCIAL</v>
          </cell>
        </row>
        <row r="254">
          <cell r="I254" t="str">
            <v>COMMERCIAL</v>
          </cell>
        </row>
        <row r="255">
          <cell r="I255" t="str">
            <v>COMMERCIAL</v>
          </cell>
        </row>
        <row r="256">
          <cell r="I256" t="str">
            <v>COMMERCIAL</v>
          </cell>
        </row>
        <row r="257">
          <cell r="I257" t="str">
            <v>COMMERCIAL</v>
          </cell>
        </row>
        <row r="258">
          <cell r="I258" t="str">
            <v>COMMERCIAL</v>
          </cell>
        </row>
        <row r="259">
          <cell r="I259" t="str">
            <v>COMMERCIAL</v>
          </cell>
        </row>
        <row r="260">
          <cell r="I260" t="str">
            <v xml:space="preserve">CONTRACTOR </v>
          </cell>
        </row>
        <row r="261">
          <cell r="I261" t="str">
            <v>COMMERCIAL</v>
          </cell>
        </row>
        <row r="262">
          <cell r="I262" t="str">
            <v>COMMERCIAL</v>
          </cell>
        </row>
        <row r="263">
          <cell r="I263" t="str">
            <v>COMMERCIAL</v>
          </cell>
        </row>
        <row r="264">
          <cell r="I264" t="str">
            <v>COMMERCIAL</v>
          </cell>
        </row>
        <row r="265">
          <cell r="I265" t="str">
            <v>COMMERCIAL</v>
          </cell>
        </row>
        <row r="266">
          <cell r="I266" t="str">
            <v>COMMERCIAL</v>
          </cell>
        </row>
        <row r="267">
          <cell r="I267" t="str">
            <v xml:space="preserve">CONTRACTOR </v>
          </cell>
        </row>
        <row r="268">
          <cell r="I268" t="str">
            <v>COMMERCIAL</v>
          </cell>
        </row>
        <row r="269">
          <cell r="I269" t="str">
            <v>COMMERCIAL</v>
          </cell>
        </row>
        <row r="270">
          <cell r="I270" t="str">
            <v xml:space="preserve">CONTRACTOR </v>
          </cell>
        </row>
        <row r="271">
          <cell r="I271" t="str">
            <v xml:space="preserve">CONTRACTOR </v>
          </cell>
        </row>
        <row r="272">
          <cell r="I272" t="str">
            <v xml:space="preserve">CONTRACTOR </v>
          </cell>
        </row>
        <row r="273">
          <cell r="I273" t="str">
            <v>COMMERCIAL</v>
          </cell>
        </row>
        <row r="274">
          <cell r="I274" t="str">
            <v>COMMERCIAL</v>
          </cell>
        </row>
        <row r="275">
          <cell r="I275" t="str">
            <v xml:space="preserve">CONTRACTOR </v>
          </cell>
        </row>
        <row r="276">
          <cell r="I276" t="str">
            <v xml:space="preserve">CONTRACTOR </v>
          </cell>
        </row>
        <row r="277">
          <cell r="I277" t="str">
            <v>COMMERCIAL</v>
          </cell>
        </row>
        <row r="278">
          <cell r="I278" t="str">
            <v>COMMERCIAL</v>
          </cell>
        </row>
        <row r="279">
          <cell r="I279" t="str">
            <v>COMMERCIAL</v>
          </cell>
        </row>
        <row r="280">
          <cell r="I280" t="str">
            <v>COMMERCIAL</v>
          </cell>
        </row>
        <row r="281">
          <cell r="I281" t="str">
            <v xml:space="preserve">CONTRACTOR </v>
          </cell>
        </row>
        <row r="282">
          <cell r="I282" t="str">
            <v>COMMERCIAL</v>
          </cell>
        </row>
        <row r="283">
          <cell r="I283" t="str">
            <v>COMMERCIAL</v>
          </cell>
        </row>
        <row r="284">
          <cell r="I284" t="str">
            <v>COMMERCIAL</v>
          </cell>
        </row>
        <row r="285">
          <cell r="I285" t="str">
            <v>COMMERCIAL</v>
          </cell>
        </row>
        <row r="286">
          <cell r="I286" t="str">
            <v xml:space="preserve">CONTRACTOR </v>
          </cell>
        </row>
        <row r="287">
          <cell r="I287" t="str">
            <v>COMMERCIAL</v>
          </cell>
        </row>
        <row r="288">
          <cell r="I288" t="str">
            <v xml:space="preserve">CONTRACTOR </v>
          </cell>
        </row>
        <row r="289">
          <cell r="I289" t="str">
            <v>COMMERCIAL</v>
          </cell>
        </row>
        <row r="290">
          <cell r="I290" t="str">
            <v xml:space="preserve">CONTRACTOR </v>
          </cell>
        </row>
        <row r="291">
          <cell r="I291" t="str">
            <v xml:space="preserve">CONTRACTOR </v>
          </cell>
        </row>
        <row r="292">
          <cell r="I292" t="str">
            <v>COMMERCIAL</v>
          </cell>
        </row>
        <row r="293">
          <cell r="I293" t="str">
            <v>COMMERCIAL</v>
          </cell>
        </row>
        <row r="294">
          <cell r="I294" t="str">
            <v>COMMERCIAL</v>
          </cell>
        </row>
        <row r="295">
          <cell r="I295" t="str">
            <v>COMMERCIAL</v>
          </cell>
        </row>
        <row r="296">
          <cell r="I296" t="str">
            <v>COMMERCIAL</v>
          </cell>
        </row>
        <row r="297">
          <cell r="I297" t="str">
            <v>COMMERCIAL</v>
          </cell>
        </row>
        <row r="298">
          <cell r="I298" t="str">
            <v xml:space="preserve">CONTRACTOR </v>
          </cell>
        </row>
        <row r="299">
          <cell r="I299" t="str">
            <v xml:space="preserve">CONTRACTOR </v>
          </cell>
        </row>
        <row r="300">
          <cell r="I300" t="str">
            <v>COMMERCIAL</v>
          </cell>
        </row>
        <row r="301">
          <cell r="I301" t="str">
            <v xml:space="preserve">CONTRACTOR </v>
          </cell>
        </row>
        <row r="302">
          <cell r="I302" t="str">
            <v xml:space="preserve">CONTRACTOR </v>
          </cell>
        </row>
        <row r="303">
          <cell r="I303" t="str">
            <v xml:space="preserve">CONTRACTOR </v>
          </cell>
        </row>
        <row r="304">
          <cell r="I304" t="str">
            <v>COMMERCIAL</v>
          </cell>
        </row>
        <row r="305">
          <cell r="I305" t="str">
            <v xml:space="preserve">CONTRACTOR </v>
          </cell>
        </row>
        <row r="306">
          <cell r="I306" t="str">
            <v>COMMERCIAL</v>
          </cell>
        </row>
        <row r="307">
          <cell r="I307" t="str">
            <v xml:space="preserve">CONTRACTOR </v>
          </cell>
        </row>
        <row r="308">
          <cell r="I308" t="str">
            <v xml:space="preserve">CONTRACTOR </v>
          </cell>
        </row>
        <row r="309">
          <cell r="I309" t="str">
            <v>COMMERCIAL</v>
          </cell>
        </row>
        <row r="310">
          <cell r="I310" t="str">
            <v>COMMERCIAL</v>
          </cell>
        </row>
        <row r="311">
          <cell r="I311" t="str">
            <v xml:space="preserve">CONTRACTOR </v>
          </cell>
        </row>
        <row r="312">
          <cell r="I312" t="str">
            <v xml:space="preserve">CONTRACTOR </v>
          </cell>
        </row>
        <row r="313">
          <cell r="I313" t="str">
            <v xml:space="preserve">CONTRACTOR </v>
          </cell>
        </row>
        <row r="314">
          <cell r="I314" t="str">
            <v xml:space="preserve">CONTRACTOR </v>
          </cell>
        </row>
        <row r="315">
          <cell r="I315" t="str">
            <v xml:space="preserve">CONTRACTOR </v>
          </cell>
        </row>
        <row r="316">
          <cell r="I316" t="str">
            <v xml:space="preserve">CONTRACTOR </v>
          </cell>
        </row>
        <row r="317">
          <cell r="I317" t="str">
            <v>COMMERCIAL</v>
          </cell>
        </row>
        <row r="318">
          <cell r="I318" t="str">
            <v>COMMERCIAL</v>
          </cell>
        </row>
        <row r="319">
          <cell r="I319" t="str">
            <v>COMMERCIAL</v>
          </cell>
        </row>
        <row r="320">
          <cell r="I320" t="str">
            <v>COMMERCIAL</v>
          </cell>
        </row>
        <row r="321">
          <cell r="I321" t="str">
            <v xml:space="preserve">CONTRACTOR </v>
          </cell>
        </row>
        <row r="322">
          <cell r="I322" t="str">
            <v>COMMERCIAL</v>
          </cell>
        </row>
        <row r="323">
          <cell r="I323" t="str">
            <v>COMMERCIAL</v>
          </cell>
        </row>
        <row r="324">
          <cell r="I324" t="str">
            <v>COMMERCIAL</v>
          </cell>
        </row>
        <row r="325">
          <cell r="I325" t="str">
            <v xml:space="preserve">CONTRACTOR </v>
          </cell>
        </row>
        <row r="326">
          <cell r="I326" t="str">
            <v>COMMERCIAL</v>
          </cell>
        </row>
        <row r="327">
          <cell r="I327" t="str">
            <v>COMMERCIAL</v>
          </cell>
        </row>
        <row r="328">
          <cell r="I328" t="str">
            <v>COMMERCIAL</v>
          </cell>
        </row>
        <row r="329">
          <cell r="I329" t="str">
            <v>COMMERCIAL</v>
          </cell>
        </row>
        <row r="330">
          <cell r="I330" t="str">
            <v>COMMERCIAL</v>
          </cell>
        </row>
        <row r="331">
          <cell r="I331" t="str">
            <v>COMMERCIAL</v>
          </cell>
        </row>
        <row r="332">
          <cell r="I332" t="str">
            <v>COMMERCIAL</v>
          </cell>
        </row>
        <row r="333">
          <cell r="I333" t="str">
            <v>COMMERCIAL</v>
          </cell>
        </row>
        <row r="334">
          <cell r="I334" t="str">
            <v xml:space="preserve">CONTRACTOR </v>
          </cell>
        </row>
        <row r="335">
          <cell r="I335" t="str">
            <v xml:space="preserve">CONTRACTOR </v>
          </cell>
        </row>
        <row r="336">
          <cell r="I336" t="str">
            <v>COMMERCIAL</v>
          </cell>
        </row>
        <row r="337">
          <cell r="I337" t="str">
            <v xml:space="preserve">CONTRACTOR </v>
          </cell>
        </row>
        <row r="338">
          <cell r="I338" t="str">
            <v>COMMERCIAL</v>
          </cell>
        </row>
        <row r="339">
          <cell r="I339" t="str">
            <v xml:space="preserve">CONTRACTOR </v>
          </cell>
        </row>
        <row r="340">
          <cell r="I340" t="str">
            <v>COMMERCIAL</v>
          </cell>
        </row>
        <row r="341">
          <cell r="I341" t="str">
            <v>COMMERCIAL</v>
          </cell>
        </row>
        <row r="342">
          <cell r="I342" t="str">
            <v>COMMERCIAL</v>
          </cell>
        </row>
        <row r="343">
          <cell r="I343" t="str">
            <v xml:space="preserve">CONTRACTOR </v>
          </cell>
        </row>
        <row r="344">
          <cell r="I344" t="str">
            <v>COMMERCIAL</v>
          </cell>
        </row>
        <row r="345">
          <cell r="I345" t="str">
            <v>COMMERCIAL</v>
          </cell>
        </row>
        <row r="346">
          <cell r="I346" t="str">
            <v>COMMERCIAL</v>
          </cell>
        </row>
        <row r="347">
          <cell r="I347" t="str">
            <v>COMMERCIAL</v>
          </cell>
        </row>
        <row r="348">
          <cell r="I348" t="str">
            <v>COMMERCIAL</v>
          </cell>
        </row>
        <row r="349">
          <cell r="I349" t="str">
            <v>COMMERCIAL</v>
          </cell>
        </row>
        <row r="350">
          <cell r="I350" t="str">
            <v>COMMERCIAL</v>
          </cell>
        </row>
        <row r="351">
          <cell r="I351" t="str">
            <v xml:space="preserve">CONTRACTOR </v>
          </cell>
        </row>
        <row r="352">
          <cell r="I352" t="str">
            <v xml:space="preserve">CONTRACTOR </v>
          </cell>
        </row>
        <row r="353">
          <cell r="I353" t="str">
            <v>COMMERCIAL</v>
          </cell>
        </row>
        <row r="354">
          <cell r="I354" t="str">
            <v>COMMERCIAL</v>
          </cell>
        </row>
        <row r="355">
          <cell r="I355" t="str">
            <v>COMMERCIAL</v>
          </cell>
        </row>
        <row r="356">
          <cell r="I356" t="str">
            <v>COMMERCIAL</v>
          </cell>
        </row>
        <row r="357">
          <cell r="I357" t="str">
            <v xml:space="preserve">CONTRACTOR </v>
          </cell>
        </row>
        <row r="358">
          <cell r="I358" t="str">
            <v xml:space="preserve">CONTRACTOR </v>
          </cell>
        </row>
        <row r="359">
          <cell r="I359" t="str">
            <v>COMMERCIAL</v>
          </cell>
        </row>
        <row r="360">
          <cell r="I360" t="str">
            <v>COMMERCIAL</v>
          </cell>
        </row>
        <row r="361">
          <cell r="I361" t="str">
            <v xml:space="preserve">CONTRACTOR </v>
          </cell>
        </row>
        <row r="362">
          <cell r="I362" t="str">
            <v xml:space="preserve">CONTRACTOR </v>
          </cell>
        </row>
        <row r="363">
          <cell r="I363" t="str">
            <v>COMMERCIAL</v>
          </cell>
        </row>
        <row r="364">
          <cell r="I364" t="str">
            <v xml:space="preserve">CONTRACTOR </v>
          </cell>
        </row>
        <row r="365">
          <cell r="I365" t="str">
            <v>COMMERCIAL</v>
          </cell>
        </row>
        <row r="366">
          <cell r="I366" t="str">
            <v>COMMERCIAL</v>
          </cell>
        </row>
        <row r="367">
          <cell r="I367" t="str">
            <v xml:space="preserve">CONTRACTOR </v>
          </cell>
        </row>
        <row r="368">
          <cell r="I368" t="str">
            <v xml:space="preserve">CONTRACTOR </v>
          </cell>
        </row>
        <row r="369">
          <cell r="I369" t="str">
            <v xml:space="preserve">CONTRACTOR </v>
          </cell>
        </row>
        <row r="370">
          <cell r="I370" t="str">
            <v>COMMERCIAL</v>
          </cell>
        </row>
        <row r="371">
          <cell r="I371" t="str">
            <v xml:space="preserve">CONTRACTOR </v>
          </cell>
        </row>
        <row r="373">
          <cell r="I373" t="str">
            <v xml:space="preserve">CONTRACTOR </v>
          </cell>
        </row>
        <row r="374">
          <cell r="I374" t="str">
            <v>COMMERCIAL</v>
          </cell>
        </row>
        <row r="375">
          <cell r="I375" t="str">
            <v xml:space="preserve">CONTRACTOR </v>
          </cell>
        </row>
        <row r="376">
          <cell r="I376" t="str">
            <v xml:space="preserve">CONTRACTOR </v>
          </cell>
        </row>
        <row r="377">
          <cell r="I377" t="str">
            <v xml:space="preserve">CONTRACTOR </v>
          </cell>
        </row>
        <row r="378">
          <cell r="I378" t="str">
            <v>COMMERCIAL</v>
          </cell>
        </row>
        <row r="379">
          <cell r="I379" t="str">
            <v xml:space="preserve">CONTRACTOR </v>
          </cell>
        </row>
        <row r="380">
          <cell r="I380" t="str">
            <v>COMMERCIAL</v>
          </cell>
        </row>
        <row r="381">
          <cell r="I381" t="str">
            <v xml:space="preserve">CONTRACTOR </v>
          </cell>
        </row>
        <row r="382">
          <cell r="I382" t="str">
            <v>COMMERCIAL</v>
          </cell>
        </row>
        <row r="383">
          <cell r="I383" t="str">
            <v>COMMERCIAL</v>
          </cell>
        </row>
        <row r="384">
          <cell r="I384" t="str">
            <v xml:space="preserve">CONTRACTOR </v>
          </cell>
        </row>
        <row r="385">
          <cell r="I385" t="str">
            <v>COMMERCIAL</v>
          </cell>
        </row>
        <row r="386">
          <cell r="I386" t="str">
            <v xml:space="preserve">CONTRACTOR </v>
          </cell>
        </row>
        <row r="387">
          <cell r="I387" t="str">
            <v>COMMERCIAL</v>
          </cell>
        </row>
        <row r="388">
          <cell r="I388" t="str">
            <v xml:space="preserve">CONTRACTOR </v>
          </cell>
        </row>
        <row r="389">
          <cell r="I389" t="str">
            <v>COMMERCIAL</v>
          </cell>
        </row>
        <row r="390">
          <cell r="I390" t="str">
            <v>COMMERCIAL</v>
          </cell>
        </row>
        <row r="391">
          <cell r="I391" t="str">
            <v>COMMERCIAL</v>
          </cell>
        </row>
        <row r="392">
          <cell r="I392" t="str">
            <v xml:space="preserve">CONTRACTOR </v>
          </cell>
        </row>
        <row r="393">
          <cell r="I393" t="str">
            <v>COMMERCIAL</v>
          </cell>
        </row>
        <row r="394">
          <cell r="I394" t="str">
            <v>COMMERCIAL</v>
          </cell>
        </row>
        <row r="395">
          <cell r="I395" t="str">
            <v>COMMERCIAL</v>
          </cell>
        </row>
        <row r="396">
          <cell r="I396" t="str">
            <v>COMMERCIAL</v>
          </cell>
        </row>
        <row r="397">
          <cell r="I397" t="str">
            <v>COMMERCIAL</v>
          </cell>
        </row>
        <row r="398">
          <cell r="I398" t="str">
            <v xml:space="preserve">CONTRACTOR </v>
          </cell>
        </row>
        <row r="399">
          <cell r="I399" t="str">
            <v>COMMERCIAL</v>
          </cell>
        </row>
        <row r="400">
          <cell r="I400" t="str">
            <v>COMMERCIAL</v>
          </cell>
        </row>
        <row r="401">
          <cell r="I401" t="str">
            <v>COMMERCIAL</v>
          </cell>
        </row>
        <row r="402">
          <cell r="I402" t="str">
            <v>COMMERCIAL</v>
          </cell>
        </row>
        <row r="403">
          <cell r="I403" t="str">
            <v xml:space="preserve">CONTRACTOR </v>
          </cell>
        </row>
        <row r="404">
          <cell r="I404" t="str">
            <v xml:space="preserve">CONTRACTOR </v>
          </cell>
        </row>
        <row r="405">
          <cell r="I405" t="str">
            <v xml:space="preserve">CONTRACTOR </v>
          </cell>
        </row>
        <row r="406">
          <cell r="I406" t="str">
            <v xml:space="preserve">CONTRACTOR </v>
          </cell>
        </row>
        <row r="407">
          <cell r="I407" t="str">
            <v>COMMERCIAL</v>
          </cell>
        </row>
        <row r="408">
          <cell r="I408" t="str">
            <v>COMMERCIAL</v>
          </cell>
        </row>
        <row r="409">
          <cell r="I409" t="str">
            <v>COMMERCIAL</v>
          </cell>
        </row>
        <row r="410">
          <cell r="I410" t="str">
            <v>COMMERCIAL</v>
          </cell>
        </row>
        <row r="411">
          <cell r="I411" t="str">
            <v xml:space="preserve">CONTRACTOR </v>
          </cell>
        </row>
        <row r="412">
          <cell r="I412" t="str">
            <v>COMMERCIAL</v>
          </cell>
        </row>
        <row r="413">
          <cell r="I413" t="str">
            <v>COMMERCIAL</v>
          </cell>
        </row>
        <row r="414">
          <cell r="I414" t="str">
            <v xml:space="preserve">CONTRACTOR </v>
          </cell>
        </row>
        <row r="415">
          <cell r="I415" t="str">
            <v xml:space="preserve">CONTRACTOR </v>
          </cell>
        </row>
        <row r="416">
          <cell r="I416" t="str">
            <v>COMMERCIAL</v>
          </cell>
        </row>
        <row r="417">
          <cell r="I417" t="str">
            <v>COMMERCIAL</v>
          </cell>
        </row>
        <row r="418">
          <cell r="I418" t="str">
            <v xml:space="preserve">CONTRACTOR </v>
          </cell>
        </row>
        <row r="419">
          <cell r="I419" t="str">
            <v xml:space="preserve">CONTRACTOR </v>
          </cell>
        </row>
        <row r="420">
          <cell r="I420" t="str">
            <v>COMMERCIAL</v>
          </cell>
        </row>
        <row r="421">
          <cell r="I421" t="str">
            <v>COMMERCIAL</v>
          </cell>
        </row>
        <row r="422">
          <cell r="I422" t="str">
            <v xml:space="preserve">CONTRACTOR </v>
          </cell>
        </row>
        <row r="423">
          <cell r="I423" t="str">
            <v>COMMERCIAL</v>
          </cell>
        </row>
        <row r="424">
          <cell r="I424" t="str">
            <v xml:space="preserve">CONTRACTOR </v>
          </cell>
        </row>
        <row r="425">
          <cell r="I425" t="str">
            <v>COMMERCIAL</v>
          </cell>
        </row>
        <row r="426">
          <cell r="I426" t="str">
            <v>COMMERCIAL</v>
          </cell>
        </row>
        <row r="427">
          <cell r="I427" t="str">
            <v>COMMERCIAL</v>
          </cell>
        </row>
        <row r="428">
          <cell r="I428" t="str">
            <v>COMMERCIAL</v>
          </cell>
        </row>
        <row r="429">
          <cell r="I429" t="str">
            <v>COMMERCIAL</v>
          </cell>
        </row>
        <row r="430">
          <cell r="I430" t="str">
            <v>COMMERCIAL</v>
          </cell>
        </row>
        <row r="431">
          <cell r="I431" t="str">
            <v>COMMERCIAL</v>
          </cell>
        </row>
        <row r="432">
          <cell r="I432" t="str">
            <v>COMMERCIAL</v>
          </cell>
        </row>
        <row r="433">
          <cell r="I433" t="str">
            <v xml:space="preserve">CONTRACTOR </v>
          </cell>
        </row>
        <row r="434">
          <cell r="I434" t="str">
            <v>COMMERCIAL</v>
          </cell>
        </row>
        <row r="435">
          <cell r="I435" t="str">
            <v>COMMERCIAL</v>
          </cell>
        </row>
        <row r="436">
          <cell r="I436" t="str">
            <v>COMMERCIAL</v>
          </cell>
        </row>
        <row r="437">
          <cell r="I437" t="str">
            <v xml:space="preserve">CONTRACTOR </v>
          </cell>
        </row>
        <row r="438">
          <cell r="I438" t="str">
            <v>COMMERCIAL</v>
          </cell>
        </row>
        <row r="439">
          <cell r="I439" t="str">
            <v>COMMERCIAL</v>
          </cell>
        </row>
        <row r="440">
          <cell r="I440" t="str">
            <v xml:space="preserve">CONTRACTOR </v>
          </cell>
        </row>
        <row r="441">
          <cell r="I441" t="str">
            <v>COMMERCIAL</v>
          </cell>
        </row>
        <row r="442">
          <cell r="I442" t="str">
            <v>COMMERCIAL</v>
          </cell>
        </row>
        <row r="443">
          <cell r="I443" t="str">
            <v>COMMERCIAL</v>
          </cell>
        </row>
        <row r="444">
          <cell r="I444" t="str">
            <v>COMMERCIAL</v>
          </cell>
        </row>
        <row r="445">
          <cell r="I445" t="str">
            <v>COMMERCIAL</v>
          </cell>
        </row>
        <row r="446">
          <cell r="I446" t="str">
            <v>COMMERCIAL</v>
          </cell>
        </row>
        <row r="447">
          <cell r="I447" t="str">
            <v xml:space="preserve">CONTRACTOR </v>
          </cell>
        </row>
        <row r="448">
          <cell r="I448" t="str">
            <v>COMMERCIAL</v>
          </cell>
        </row>
        <row r="449">
          <cell r="I449" t="str">
            <v>COMMERCIAL</v>
          </cell>
        </row>
        <row r="450">
          <cell r="I450" t="str">
            <v xml:space="preserve">CONTRACTOR </v>
          </cell>
        </row>
        <row r="451">
          <cell r="I451" t="str">
            <v xml:space="preserve">CONTRACTOR </v>
          </cell>
        </row>
        <row r="452">
          <cell r="I452" t="str">
            <v xml:space="preserve">CONTRACTOR </v>
          </cell>
        </row>
        <row r="453">
          <cell r="I453" t="str">
            <v>COMMERCIAL</v>
          </cell>
        </row>
        <row r="454">
          <cell r="I454" t="str">
            <v>COMMERCIAL</v>
          </cell>
        </row>
        <row r="455">
          <cell r="I455" t="str">
            <v>COMMERCIAL</v>
          </cell>
        </row>
        <row r="456">
          <cell r="I456" t="str">
            <v>COMMERCIAL</v>
          </cell>
        </row>
        <row r="457">
          <cell r="I457" t="str">
            <v xml:space="preserve">CONTRACTOR </v>
          </cell>
        </row>
        <row r="458">
          <cell r="I458" t="str">
            <v xml:space="preserve">CONTRACTOR </v>
          </cell>
        </row>
        <row r="459">
          <cell r="I459" t="str">
            <v>COMMERCIAL</v>
          </cell>
        </row>
        <row r="460">
          <cell r="I460" t="str">
            <v xml:space="preserve">CONTRACTOR </v>
          </cell>
        </row>
        <row r="461">
          <cell r="I461" t="str">
            <v>COMMERCIAL</v>
          </cell>
        </row>
        <row r="462">
          <cell r="I462" t="str">
            <v>COMMERCIAL</v>
          </cell>
        </row>
        <row r="463">
          <cell r="I463" t="str">
            <v>COMMERCIAL</v>
          </cell>
        </row>
        <row r="464">
          <cell r="I464" t="str">
            <v>COMMERCIAL</v>
          </cell>
        </row>
        <row r="465">
          <cell r="I465" t="str">
            <v>COMMERCIAL</v>
          </cell>
        </row>
        <row r="466">
          <cell r="I466" t="str">
            <v>COMMERCIAL</v>
          </cell>
        </row>
        <row r="467">
          <cell r="I467" t="str">
            <v>COMMERCIAL</v>
          </cell>
        </row>
        <row r="468">
          <cell r="I468" t="str">
            <v>COMMERCIAL</v>
          </cell>
        </row>
        <row r="469">
          <cell r="I469" t="str">
            <v>COMMERCIAL</v>
          </cell>
        </row>
        <row r="470">
          <cell r="I470" t="str">
            <v>COMMERCIAL</v>
          </cell>
        </row>
        <row r="471">
          <cell r="I471" t="str">
            <v>COMMERCIAL</v>
          </cell>
        </row>
        <row r="472">
          <cell r="I472" t="str">
            <v>COMMERCIAL</v>
          </cell>
        </row>
        <row r="473">
          <cell r="I473" t="str">
            <v xml:space="preserve">CONTRACTOR </v>
          </cell>
        </row>
        <row r="474">
          <cell r="I474" t="str">
            <v>COMMERCIAL</v>
          </cell>
        </row>
        <row r="475">
          <cell r="I475" t="str">
            <v>COMMERCIAL</v>
          </cell>
        </row>
        <row r="476">
          <cell r="I476" t="str">
            <v xml:space="preserve">CONTRACTOR </v>
          </cell>
        </row>
        <row r="477">
          <cell r="I477" t="str">
            <v>COMMERCIAL</v>
          </cell>
        </row>
        <row r="478">
          <cell r="I478" t="str">
            <v xml:space="preserve">CONTRACTOR </v>
          </cell>
        </row>
        <row r="479">
          <cell r="I479" t="str">
            <v>COMMERCIAL</v>
          </cell>
        </row>
        <row r="480">
          <cell r="I480" t="str">
            <v>COMMERCIAL</v>
          </cell>
        </row>
        <row r="481">
          <cell r="I481" t="str">
            <v>COMMERCIAL</v>
          </cell>
        </row>
        <row r="482">
          <cell r="I482" t="str">
            <v>COMMERCIAL</v>
          </cell>
        </row>
        <row r="483">
          <cell r="I483" t="str">
            <v xml:space="preserve">CONTRACTOR </v>
          </cell>
        </row>
        <row r="484">
          <cell r="I484" t="str">
            <v>COMMERCIAL</v>
          </cell>
        </row>
        <row r="485">
          <cell r="I485" t="str">
            <v xml:space="preserve">CONTRACTOR </v>
          </cell>
        </row>
        <row r="486">
          <cell r="I486" t="str">
            <v xml:space="preserve">CONTRACTOR </v>
          </cell>
        </row>
        <row r="487">
          <cell r="I487" t="str">
            <v>COMMERCIAL</v>
          </cell>
        </row>
        <row r="488">
          <cell r="I488" t="str">
            <v>COMMERCIAL</v>
          </cell>
        </row>
        <row r="489">
          <cell r="I489" t="str">
            <v xml:space="preserve">CONTRACTOR </v>
          </cell>
        </row>
        <row r="490">
          <cell r="I490" t="str">
            <v>COMMERCIAL</v>
          </cell>
        </row>
        <row r="491">
          <cell r="I491" t="str">
            <v xml:space="preserve">CONTRACTOR </v>
          </cell>
        </row>
        <row r="492">
          <cell r="I492" t="str">
            <v>COMMERCIAL</v>
          </cell>
        </row>
        <row r="493">
          <cell r="I493" t="str">
            <v>COMMERCIAL</v>
          </cell>
        </row>
        <row r="494">
          <cell r="I494" t="str">
            <v>COMMERCIAL</v>
          </cell>
        </row>
        <row r="495">
          <cell r="I495" t="str">
            <v>COMMERCIAL</v>
          </cell>
        </row>
        <row r="496">
          <cell r="I496" t="str">
            <v>COMMERCIAL</v>
          </cell>
        </row>
        <row r="497">
          <cell r="I497" t="str">
            <v xml:space="preserve">CONTRACTOR </v>
          </cell>
        </row>
        <row r="498">
          <cell r="I498" t="str">
            <v>COMMERCIAL</v>
          </cell>
        </row>
        <row r="499">
          <cell r="I499" t="str">
            <v>COMMERCIAL</v>
          </cell>
        </row>
        <row r="500">
          <cell r="I500" t="str">
            <v>COMMERCIAL</v>
          </cell>
        </row>
        <row r="501">
          <cell r="I501" t="str">
            <v>COMMERCIAL</v>
          </cell>
        </row>
        <row r="502">
          <cell r="I502" t="str">
            <v>COMMERCIAL</v>
          </cell>
        </row>
        <row r="503">
          <cell r="I503" t="str">
            <v>COMMERCIAL</v>
          </cell>
        </row>
        <row r="504">
          <cell r="I504" t="str">
            <v>COMMERCIAL</v>
          </cell>
        </row>
        <row r="505">
          <cell r="I505" t="str">
            <v>COMMERCIAL</v>
          </cell>
        </row>
        <row r="506">
          <cell r="I506" t="str">
            <v>COMMERCIAL</v>
          </cell>
        </row>
        <row r="507">
          <cell r="I507" t="str">
            <v>COMMERCIAL</v>
          </cell>
        </row>
        <row r="508">
          <cell r="I508" t="str">
            <v>COMMERCIAL</v>
          </cell>
        </row>
        <row r="509">
          <cell r="I509" t="str">
            <v>COMMERCIAL</v>
          </cell>
        </row>
        <row r="510">
          <cell r="I510" t="str">
            <v>COMMERCIAL</v>
          </cell>
        </row>
        <row r="511">
          <cell r="I511" t="str">
            <v>COMMERCIAL</v>
          </cell>
        </row>
        <row r="512">
          <cell r="I512" t="str">
            <v>COMMERCIAL</v>
          </cell>
        </row>
        <row r="513">
          <cell r="I513" t="str">
            <v>COMMERCIAL</v>
          </cell>
        </row>
        <row r="514">
          <cell r="I514" t="str">
            <v>COMMERCIAL</v>
          </cell>
        </row>
        <row r="515">
          <cell r="I515" t="str">
            <v>COMMERCIAL</v>
          </cell>
        </row>
        <row r="516">
          <cell r="I516" t="str">
            <v>COMMERCIAL</v>
          </cell>
        </row>
        <row r="517">
          <cell r="I517" t="str">
            <v>COMMERCIAL</v>
          </cell>
        </row>
        <row r="518">
          <cell r="I518" t="str">
            <v>COMMERCIAL</v>
          </cell>
        </row>
        <row r="519">
          <cell r="I519" t="str">
            <v>COMMERCIAL</v>
          </cell>
        </row>
        <row r="520">
          <cell r="I520" t="str">
            <v xml:space="preserve">CONTRACTOR </v>
          </cell>
        </row>
        <row r="521">
          <cell r="I521" t="str">
            <v>COMMERCIAL</v>
          </cell>
        </row>
        <row r="522">
          <cell r="I522" t="str">
            <v>COMMERCIAL</v>
          </cell>
        </row>
        <row r="523">
          <cell r="I523" t="str">
            <v>COMMERCIAL</v>
          </cell>
        </row>
        <row r="524">
          <cell r="I524" t="str">
            <v>COMMERCIAL</v>
          </cell>
        </row>
        <row r="525">
          <cell r="I525" t="str">
            <v>COMMERCIAL</v>
          </cell>
        </row>
        <row r="526">
          <cell r="I526" t="str">
            <v>COMMERCIAL</v>
          </cell>
        </row>
        <row r="527">
          <cell r="I527" t="str">
            <v>COMMERCIAL</v>
          </cell>
        </row>
        <row r="528">
          <cell r="I528" t="str">
            <v>COMMERCIAL</v>
          </cell>
        </row>
        <row r="529">
          <cell r="I529" t="str">
            <v>COMMERCIAL</v>
          </cell>
        </row>
        <row r="530">
          <cell r="I530" t="str">
            <v>COMMERCIAL</v>
          </cell>
        </row>
        <row r="531">
          <cell r="I531" t="str">
            <v>COMMERCIAL</v>
          </cell>
        </row>
        <row r="532">
          <cell r="I532" t="str">
            <v>COMMERCIAL</v>
          </cell>
        </row>
        <row r="533">
          <cell r="I533" t="str">
            <v xml:space="preserve">CONTRACTOR </v>
          </cell>
        </row>
        <row r="534">
          <cell r="I534" t="str">
            <v>COMMERCIAL</v>
          </cell>
        </row>
        <row r="535">
          <cell r="I535" t="str">
            <v xml:space="preserve">CONTRACTOR </v>
          </cell>
        </row>
        <row r="536">
          <cell r="I536" t="str">
            <v>COMMERCIAL</v>
          </cell>
        </row>
        <row r="537">
          <cell r="I537" t="str">
            <v xml:space="preserve">CONTRACTOR </v>
          </cell>
        </row>
        <row r="538">
          <cell r="I538" t="str">
            <v>COMMERCIAL</v>
          </cell>
        </row>
        <row r="539">
          <cell r="I539" t="str">
            <v xml:space="preserve">CONTRACTOR </v>
          </cell>
        </row>
        <row r="540">
          <cell r="I540" t="str">
            <v xml:space="preserve">CONTRACTOR </v>
          </cell>
        </row>
        <row r="541">
          <cell r="I541" t="str">
            <v xml:space="preserve">CONTRACTOR </v>
          </cell>
        </row>
        <row r="542">
          <cell r="I542" t="str">
            <v xml:space="preserve">CONTRACTOR </v>
          </cell>
        </row>
        <row r="543">
          <cell r="I543" t="str">
            <v xml:space="preserve">CONTRACTOR </v>
          </cell>
        </row>
        <row r="544">
          <cell r="I544" t="str">
            <v xml:space="preserve">CONTRACTOR </v>
          </cell>
        </row>
        <row r="545">
          <cell r="I545" t="str">
            <v xml:space="preserve">CONTRACTOR </v>
          </cell>
        </row>
        <row r="546">
          <cell r="I546" t="str">
            <v>COMMERCIAL</v>
          </cell>
        </row>
        <row r="547">
          <cell r="I547" t="str">
            <v>COMMERCIAL</v>
          </cell>
        </row>
        <row r="548">
          <cell r="I548" t="str">
            <v>COMMERCIAL</v>
          </cell>
        </row>
        <row r="549">
          <cell r="I549" t="str">
            <v>COMMERCIAL</v>
          </cell>
        </row>
        <row r="550">
          <cell r="I550" t="str">
            <v xml:space="preserve">CONTRACTOR </v>
          </cell>
        </row>
        <row r="551">
          <cell r="I551" t="str">
            <v>COMMERCIAL</v>
          </cell>
        </row>
        <row r="552">
          <cell r="I552" t="str">
            <v>COMMERCIAL</v>
          </cell>
        </row>
        <row r="553">
          <cell r="I553" t="str">
            <v>COMMERCIAL</v>
          </cell>
        </row>
        <row r="554">
          <cell r="I554" t="str">
            <v xml:space="preserve">CONTRACTOR </v>
          </cell>
        </row>
        <row r="555">
          <cell r="I555" t="str">
            <v>COMMERCIAL</v>
          </cell>
        </row>
        <row r="556">
          <cell r="I556" t="str">
            <v>COMMERCIAL</v>
          </cell>
        </row>
        <row r="557">
          <cell r="I557" t="str">
            <v xml:space="preserve">CONTRACTOR </v>
          </cell>
        </row>
        <row r="558">
          <cell r="I558" t="str">
            <v>COMMERCIAL</v>
          </cell>
        </row>
        <row r="559">
          <cell r="I559" t="str">
            <v>COMMERCIAL</v>
          </cell>
        </row>
        <row r="560">
          <cell r="I560" t="str">
            <v>COMMERCIAL</v>
          </cell>
        </row>
        <row r="561">
          <cell r="I561" t="str">
            <v>COMMERCIAL</v>
          </cell>
        </row>
        <row r="562">
          <cell r="I562" t="str">
            <v>COMMERCIAL</v>
          </cell>
        </row>
        <row r="563">
          <cell r="I563" t="str">
            <v>COMMERCIAL</v>
          </cell>
        </row>
        <row r="564">
          <cell r="I564" t="str">
            <v>COMMERCIAL</v>
          </cell>
        </row>
        <row r="565">
          <cell r="I565" t="str">
            <v xml:space="preserve">CONTRACTOR </v>
          </cell>
        </row>
        <row r="566">
          <cell r="I566" t="str">
            <v>COMMERCIAL</v>
          </cell>
        </row>
        <row r="567">
          <cell r="I567" t="str">
            <v>COMMERCIAL</v>
          </cell>
        </row>
        <row r="568">
          <cell r="I568" t="str">
            <v>COMMERCIAL</v>
          </cell>
        </row>
        <row r="569">
          <cell r="I569" t="str">
            <v>COMMERCIAL</v>
          </cell>
        </row>
        <row r="570">
          <cell r="I570" t="str">
            <v>COMMERCIAL</v>
          </cell>
        </row>
        <row r="571">
          <cell r="I571" t="str">
            <v>COMMERCIAL</v>
          </cell>
        </row>
        <row r="572">
          <cell r="I572" t="str">
            <v xml:space="preserve">CONTRACTOR </v>
          </cell>
        </row>
        <row r="573">
          <cell r="I573" t="str">
            <v>COMMERCIAL</v>
          </cell>
        </row>
        <row r="574">
          <cell r="I574" t="str">
            <v>COMMERCIAL</v>
          </cell>
        </row>
        <row r="575">
          <cell r="I575" t="str">
            <v>COMMERCIAL</v>
          </cell>
        </row>
        <row r="576">
          <cell r="I576" t="str">
            <v>COMMERCIAL</v>
          </cell>
        </row>
        <row r="577">
          <cell r="I577" t="str">
            <v>COMMERCIAL</v>
          </cell>
        </row>
        <row r="578">
          <cell r="I578" t="str">
            <v>COMMERCIAL</v>
          </cell>
        </row>
        <row r="579">
          <cell r="I579" t="str">
            <v>COMMERCIAL</v>
          </cell>
        </row>
        <row r="580">
          <cell r="I580" t="str">
            <v xml:space="preserve">CONTRACTOR </v>
          </cell>
        </row>
        <row r="581">
          <cell r="I581" t="str">
            <v xml:space="preserve">CONTRACTOR </v>
          </cell>
        </row>
        <row r="582">
          <cell r="I582" t="str">
            <v xml:space="preserve">CONTRACTOR </v>
          </cell>
        </row>
        <row r="583">
          <cell r="I583" t="str">
            <v>COMMERCIAL</v>
          </cell>
        </row>
        <row r="584">
          <cell r="I584" t="str">
            <v>COMMERCIAL</v>
          </cell>
        </row>
        <row r="585">
          <cell r="I585" t="str">
            <v xml:space="preserve">CONTRACTOR </v>
          </cell>
        </row>
        <row r="586">
          <cell r="I586" t="str">
            <v>COMMERCIAL</v>
          </cell>
        </row>
        <row r="587">
          <cell r="I587" t="str">
            <v xml:space="preserve">CONTRACTOR </v>
          </cell>
        </row>
        <row r="588">
          <cell r="I588" t="str">
            <v xml:space="preserve">CONTRACTOR </v>
          </cell>
        </row>
        <row r="589">
          <cell r="I589" t="str">
            <v>COMMERCIAL</v>
          </cell>
        </row>
        <row r="590">
          <cell r="I590" t="str">
            <v xml:space="preserve">CONTRACTOR </v>
          </cell>
        </row>
        <row r="591">
          <cell r="I591" t="str">
            <v>COMMERCIAL</v>
          </cell>
        </row>
        <row r="592">
          <cell r="I592" t="str">
            <v>COMMERCIAL</v>
          </cell>
        </row>
        <row r="593">
          <cell r="I593" t="str">
            <v>COMMERCIAL</v>
          </cell>
        </row>
        <row r="594">
          <cell r="I594" t="str">
            <v>COMMERCIAL</v>
          </cell>
        </row>
        <row r="595">
          <cell r="I595" t="str">
            <v>COMMERCIAL</v>
          </cell>
        </row>
        <row r="596">
          <cell r="I596" t="str">
            <v>COMMERCIAL</v>
          </cell>
        </row>
        <row r="597">
          <cell r="I597" t="str">
            <v>COMMERCIAL</v>
          </cell>
        </row>
        <row r="598">
          <cell r="I598" t="str">
            <v>COMMERCIAL</v>
          </cell>
        </row>
        <row r="599">
          <cell r="I599" t="str">
            <v>COMMERCIAL</v>
          </cell>
        </row>
        <row r="600">
          <cell r="I600" t="str">
            <v>COMMERCIAL</v>
          </cell>
        </row>
        <row r="601">
          <cell r="I601" t="str">
            <v>COMMERCIAL</v>
          </cell>
        </row>
        <row r="602">
          <cell r="I602" t="str">
            <v>COMMERCIAL</v>
          </cell>
        </row>
        <row r="603">
          <cell r="I603" t="str">
            <v>COMMERCIAL</v>
          </cell>
        </row>
        <row r="604">
          <cell r="I604" t="str">
            <v>COMMERCIAL</v>
          </cell>
        </row>
        <row r="605">
          <cell r="I605" t="str">
            <v>COMMERCIAL</v>
          </cell>
        </row>
        <row r="606">
          <cell r="I606" t="str">
            <v>COMMERCIAL</v>
          </cell>
        </row>
        <row r="607">
          <cell r="I607" t="str">
            <v>COMMERCIAL</v>
          </cell>
        </row>
        <row r="608">
          <cell r="I608" t="str">
            <v>COMMERCIAL</v>
          </cell>
        </row>
        <row r="609">
          <cell r="I609" t="str">
            <v xml:space="preserve">CONTRACTOR </v>
          </cell>
        </row>
        <row r="610">
          <cell r="I610" t="str">
            <v>COMMERCIAL</v>
          </cell>
        </row>
        <row r="611">
          <cell r="I611" t="str">
            <v>COMMERCIAL</v>
          </cell>
        </row>
        <row r="612">
          <cell r="I612" t="str">
            <v>COMMERCIAL</v>
          </cell>
        </row>
        <row r="613">
          <cell r="I613" t="str">
            <v>COMMERCIAL</v>
          </cell>
        </row>
        <row r="614">
          <cell r="I614" t="str">
            <v>COMMERCIAL</v>
          </cell>
        </row>
        <row r="615">
          <cell r="I615" t="str">
            <v>COMMERCIAL</v>
          </cell>
        </row>
        <row r="616">
          <cell r="I616" t="str">
            <v>COMMERCIAL</v>
          </cell>
        </row>
        <row r="617">
          <cell r="I617" t="str">
            <v>COMMERCIAL</v>
          </cell>
        </row>
        <row r="618">
          <cell r="I618" t="str">
            <v xml:space="preserve">CONTRACTOR </v>
          </cell>
        </row>
        <row r="619">
          <cell r="I619" t="str">
            <v>COMMERCIAL</v>
          </cell>
        </row>
        <row r="620">
          <cell r="I620" t="str">
            <v xml:space="preserve">CONTRACTOR </v>
          </cell>
        </row>
        <row r="621">
          <cell r="I621" t="str">
            <v>COMMERCIAL</v>
          </cell>
        </row>
        <row r="622">
          <cell r="I622" t="str">
            <v>COMMERCIAL</v>
          </cell>
        </row>
        <row r="623">
          <cell r="I623" t="str">
            <v xml:space="preserve">CONTRACTOR </v>
          </cell>
        </row>
        <row r="624">
          <cell r="I624" t="str">
            <v xml:space="preserve">CONTRACTOR </v>
          </cell>
        </row>
        <row r="625">
          <cell r="I625" t="str">
            <v xml:space="preserve">CONTRACTOR </v>
          </cell>
        </row>
        <row r="626">
          <cell r="I626" t="str">
            <v>COMMERCIAL</v>
          </cell>
        </row>
        <row r="627">
          <cell r="I627" t="str">
            <v xml:space="preserve">CONTRACTOR </v>
          </cell>
        </row>
        <row r="628">
          <cell r="I628" t="str">
            <v>COMMERCIAL</v>
          </cell>
        </row>
        <row r="629">
          <cell r="I629" t="str">
            <v xml:space="preserve">CONTRACTOR </v>
          </cell>
        </row>
        <row r="630">
          <cell r="I630" t="str">
            <v>COMMERCIAL</v>
          </cell>
        </row>
        <row r="631">
          <cell r="I631" t="str">
            <v xml:space="preserve">CONTRACTOR </v>
          </cell>
        </row>
        <row r="632">
          <cell r="I632" t="str">
            <v>COMMERCIAL</v>
          </cell>
        </row>
        <row r="633">
          <cell r="I633" t="str">
            <v xml:space="preserve">CONTRACTOR </v>
          </cell>
        </row>
        <row r="634">
          <cell r="I634" t="str">
            <v xml:space="preserve">CONTRACTOR </v>
          </cell>
        </row>
        <row r="635">
          <cell r="I635" t="str">
            <v xml:space="preserve">CONTRACTOR </v>
          </cell>
        </row>
        <row r="636">
          <cell r="I636" t="str">
            <v>COMMERCIAL</v>
          </cell>
        </row>
        <row r="637">
          <cell r="I637" t="str">
            <v>COMMERCIAL</v>
          </cell>
        </row>
        <row r="638">
          <cell r="I638" t="str">
            <v xml:space="preserve">CONTRACTOR </v>
          </cell>
        </row>
        <row r="639">
          <cell r="I639" t="str">
            <v>COMMERCIAL</v>
          </cell>
        </row>
        <row r="640">
          <cell r="I640" t="str">
            <v xml:space="preserve">CONTRACTOR </v>
          </cell>
        </row>
        <row r="641">
          <cell r="I641" t="str">
            <v xml:space="preserve">CONTRACTOR </v>
          </cell>
        </row>
        <row r="642">
          <cell r="I642" t="str">
            <v xml:space="preserve">CONTRACTOR </v>
          </cell>
        </row>
        <row r="643">
          <cell r="I643" t="str">
            <v xml:space="preserve">CONTRACTOR </v>
          </cell>
        </row>
        <row r="644">
          <cell r="I644" t="str">
            <v xml:space="preserve">CONTRACTOR </v>
          </cell>
        </row>
        <row r="645">
          <cell r="I645" t="str">
            <v xml:space="preserve">CONTRACTOR </v>
          </cell>
        </row>
        <row r="646">
          <cell r="I646" t="str">
            <v>COMMERCIAL</v>
          </cell>
        </row>
        <row r="647">
          <cell r="I647" t="str">
            <v>COMMERCIAL</v>
          </cell>
        </row>
        <row r="648">
          <cell r="I648" t="str">
            <v>COMMERCIAL</v>
          </cell>
        </row>
        <row r="649">
          <cell r="I649" t="str">
            <v>COMMERCIAL</v>
          </cell>
        </row>
        <row r="650">
          <cell r="I650" t="str">
            <v>COMMERCIAL</v>
          </cell>
        </row>
        <row r="651">
          <cell r="I651" t="str">
            <v>COMMERCIAL</v>
          </cell>
        </row>
        <row r="652">
          <cell r="I652" t="str">
            <v>COMMERCIAL</v>
          </cell>
        </row>
        <row r="653">
          <cell r="I653" t="str">
            <v>COMMERCIAL</v>
          </cell>
        </row>
        <row r="654">
          <cell r="I654" t="str">
            <v>COMMERCIAL</v>
          </cell>
        </row>
        <row r="655">
          <cell r="I655" t="str">
            <v xml:space="preserve">CONTRACTOR </v>
          </cell>
        </row>
        <row r="656">
          <cell r="I656" t="str">
            <v xml:space="preserve">CONTRACTOR </v>
          </cell>
        </row>
        <row r="657">
          <cell r="I657" t="str">
            <v>COMMERCIAL</v>
          </cell>
        </row>
        <row r="658">
          <cell r="I658" t="str">
            <v xml:space="preserve">CONTRACTOR </v>
          </cell>
        </row>
        <row r="659">
          <cell r="I659" t="str">
            <v>COMMERCIAL</v>
          </cell>
        </row>
        <row r="660">
          <cell r="I660" t="str">
            <v>COMMERCIAL</v>
          </cell>
        </row>
        <row r="661">
          <cell r="I661" t="str">
            <v>COMMERCIAL</v>
          </cell>
        </row>
        <row r="662">
          <cell r="I662" t="str">
            <v>COMMERCIAL</v>
          </cell>
        </row>
        <row r="663">
          <cell r="I663" t="str">
            <v>COMMERCIAL</v>
          </cell>
        </row>
        <row r="664">
          <cell r="I664" t="str">
            <v>COMMERCIAL</v>
          </cell>
        </row>
        <row r="665">
          <cell r="I665" t="str">
            <v>COMMERCIAL</v>
          </cell>
        </row>
        <row r="666">
          <cell r="I666" t="str">
            <v>COMMERCIAL</v>
          </cell>
        </row>
        <row r="667">
          <cell r="I667" t="str">
            <v xml:space="preserve">CONTRACTOR </v>
          </cell>
        </row>
        <row r="668">
          <cell r="I668" t="str">
            <v>COMMERCIAL</v>
          </cell>
        </row>
        <row r="669">
          <cell r="I669" t="str">
            <v>COMMERCIAL</v>
          </cell>
        </row>
        <row r="670">
          <cell r="I670" t="str">
            <v>COMMERCIAL</v>
          </cell>
        </row>
        <row r="671">
          <cell r="I671" t="str">
            <v>COMMERCIAL</v>
          </cell>
        </row>
        <row r="672">
          <cell r="I672" t="str">
            <v>COMMERCIAL</v>
          </cell>
        </row>
        <row r="673">
          <cell r="I673" t="str">
            <v>COMMERCIAL</v>
          </cell>
        </row>
        <row r="674">
          <cell r="I674" t="str">
            <v>COMMERCIAL</v>
          </cell>
        </row>
        <row r="675">
          <cell r="I675" t="str">
            <v>COMMERCIAL</v>
          </cell>
        </row>
        <row r="676">
          <cell r="I676" t="str">
            <v>COMMERCIAL</v>
          </cell>
        </row>
        <row r="677">
          <cell r="I677" t="str">
            <v>COMMERCIAL</v>
          </cell>
        </row>
        <row r="678">
          <cell r="I678" t="str">
            <v>COMMERCIAL</v>
          </cell>
        </row>
        <row r="679">
          <cell r="I679" t="str">
            <v>COMMERCIAL</v>
          </cell>
        </row>
        <row r="680">
          <cell r="I680" t="str">
            <v>COMMERCIAL</v>
          </cell>
        </row>
        <row r="681">
          <cell r="I681" t="str">
            <v xml:space="preserve">CONTRACTOR </v>
          </cell>
        </row>
        <row r="682">
          <cell r="I682" t="str">
            <v xml:space="preserve">CONTRACTOR </v>
          </cell>
        </row>
        <row r="683">
          <cell r="I683" t="str">
            <v xml:space="preserve">CONTRACTOR </v>
          </cell>
        </row>
        <row r="684">
          <cell r="I684" t="str">
            <v>COMMERCIAL</v>
          </cell>
        </row>
        <row r="685">
          <cell r="I685" t="str">
            <v>COMMERCIAL</v>
          </cell>
        </row>
        <row r="686">
          <cell r="I686" t="str">
            <v>COMMERCIAL</v>
          </cell>
        </row>
        <row r="687">
          <cell r="I687" t="str">
            <v>COMMERCIAL</v>
          </cell>
        </row>
        <row r="688">
          <cell r="I688" t="str">
            <v>COMMERCIAL</v>
          </cell>
        </row>
        <row r="689">
          <cell r="I689" t="str">
            <v>COMMERCIAL</v>
          </cell>
        </row>
        <row r="690">
          <cell r="I690" t="str">
            <v xml:space="preserve">CONTRACTOR </v>
          </cell>
        </row>
        <row r="691">
          <cell r="I691" t="str">
            <v>COMMERCIAL</v>
          </cell>
        </row>
        <row r="692">
          <cell r="I692" t="str">
            <v>COMMERCIAL</v>
          </cell>
        </row>
        <row r="693">
          <cell r="I693" t="str">
            <v>COMMERCIAL</v>
          </cell>
        </row>
        <row r="694">
          <cell r="I694" t="str">
            <v>COMMERCIAL</v>
          </cell>
        </row>
        <row r="695">
          <cell r="I695" t="str">
            <v>COMMERCIAL</v>
          </cell>
        </row>
        <row r="696">
          <cell r="I696" t="str">
            <v>COMMERCIAL</v>
          </cell>
        </row>
        <row r="697">
          <cell r="I697" t="str">
            <v xml:space="preserve">CONTRACTOR </v>
          </cell>
        </row>
        <row r="698">
          <cell r="I698" t="str">
            <v xml:space="preserve">CONTRACTOR </v>
          </cell>
        </row>
        <row r="699">
          <cell r="I699" t="str">
            <v>COMMERCIAL</v>
          </cell>
        </row>
        <row r="700">
          <cell r="I700" t="str">
            <v xml:space="preserve">CONTRACTOR </v>
          </cell>
        </row>
        <row r="701">
          <cell r="I701" t="str">
            <v>COMMERCIAL</v>
          </cell>
        </row>
        <row r="702">
          <cell r="I702" t="str">
            <v>COMMERCIAL</v>
          </cell>
        </row>
        <row r="703">
          <cell r="I703" t="str">
            <v xml:space="preserve">CONTRACTOR </v>
          </cell>
        </row>
        <row r="704">
          <cell r="I704" t="str">
            <v xml:space="preserve">CONTRACTOR </v>
          </cell>
        </row>
        <row r="705">
          <cell r="I705" t="str">
            <v xml:space="preserve">CONTRACTOR </v>
          </cell>
        </row>
        <row r="706">
          <cell r="I706" t="str">
            <v>COMMERCIAL</v>
          </cell>
        </row>
        <row r="707">
          <cell r="I707" t="str">
            <v>COMMERCIAL</v>
          </cell>
        </row>
        <row r="708">
          <cell r="I708" t="str">
            <v>COMMERCIAL</v>
          </cell>
        </row>
        <row r="709">
          <cell r="I709" t="str">
            <v>COMMERCIAL</v>
          </cell>
        </row>
        <row r="710">
          <cell r="I710" t="str">
            <v>COMMERCIAL</v>
          </cell>
        </row>
        <row r="711">
          <cell r="I711" t="str">
            <v>COMMERCIAL</v>
          </cell>
        </row>
        <row r="712">
          <cell r="I712" t="str">
            <v>COMMERCIAL</v>
          </cell>
        </row>
        <row r="713">
          <cell r="I713" t="str">
            <v xml:space="preserve">CONTRACTOR </v>
          </cell>
        </row>
        <row r="714">
          <cell r="I714" t="str">
            <v>COMMERCIAL</v>
          </cell>
        </row>
        <row r="715">
          <cell r="I715" t="str">
            <v>COMMERCIAL</v>
          </cell>
        </row>
        <row r="716">
          <cell r="I716" t="str">
            <v xml:space="preserve">CONTRACTOR </v>
          </cell>
        </row>
        <row r="717">
          <cell r="I717" t="str">
            <v>COMMERCIAL</v>
          </cell>
        </row>
        <row r="718">
          <cell r="I718" t="str">
            <v xml:space="preserve">CONTRACTOR </v>
          </cell>
        </row>
        <row r="719">
          <cell r="I719" t="str">
            <v>COMMERCIAL</v>
          </cell>
        </row>
        <row r="720">
          <cell r="I720" t="str">
            <v>COMMERCIAL</v>
          </cell>
        </row>
        <row r="721">
          <cell r="I721" t="str">
            <v>COMMERCIAL</v>
          </cell>
        </row>
        <row r="722">
          <cell r="I722" t="str">
            <v>COMMERCIAL</v>
          </cell>
        </row>
        <row r="723">
          <cell r="I723" t="str">
            <v>COMMERCIAL</v>
          </cell>
        </row>
        <row r="724">
          <cell r="I724" t="str">
            <v>COMMERCIAL</v>
          </cell>
        </row>
        <row r="725">
          <cell r="I725" t="str">
            <v xml:space="preserve">CONTRACTOR </v>
          </cell>
        </row>
        <row r="726">
          <cell r="I726" t="str">
            <v>COMMERCIAL</v>
          </cell>
        </row>
        <row r="727">
          <cell r="I727" t="str">
            <v xml:space="preserve">CONTRACTOR </v>
          </cell>
        </row>
        <row r="728">
          <cell r="I728" t="str">
            <v>COMMERCIAL</v>
          </cell>
        </row>
        <row r="729">
          <cell r="I729" t="str">
            <v xml:space="preserve">CONTRACTOR </v>
          </cell>
        </row>
        <row r="730">
          <cell r="I730" t="str">
            <v xml:space="preserve">CONTRACTOR </v>
          </cell>
        </row>
        <row r="731">
          <cell r="I731" t="str">
            <v>COMMERCIAL</v>
          </cell>
        </row>
        <row r="732">
          <cell r="I732" t="str">
            <v xml:space="preserve">CONTRACTOR </v>
          </cell>
        </row>
        <row r="733">
          <cell r="I733" t="str">
            <v>COMMERCIAL</v>
          </cell>
        </row>
        <row r="734">
          <cell r="I734" t="str">
            <v>COMMERCIAL</v>
          </cell>
        </row>
        <row r="735">
          <cell r="I735" t="str">
            <v xml:space="preserve">CONTRACTOR </v>
          </cell>
        </row>
        <row r="736">
          <cell r="I736" t="str">
            <v>COMMERCIAL</v>
          </cell>
        </row>
        <row r="737">
          <cell r="I737" t="str">
            <v>COMMERCIAL</v>
          </cell>
        </row>
        <row r="738">
          <cell r="I738" t="str">
            <v xml:space="preserve">CONTRACTOR </v>
          </cell>
        </row>
        <row r="739">
          <cell r="I739" t="str">
            <v>COMMERCIAL</v>
          </cell>
        </row>
        <row r="740">
          <cell r="I740" t="str">
            <v>COMMERCIAL</v>
          </cell>
        </row>
        <row r="741">
          <cell r="I741" t="str">
            <v>COMMERCIAL</v>
          </cell>
        </row>
        <row r="742">
          <cell r="I742" t="str">
            <v>COMMERCIAL</v>
          </cell>
        </row>
        <row r="743">
          <cell r="I743" t="str">
            <v>COMMERCIAL</v>
          </cell>
        </row>
        <row r="744">
          <cell r="I744" t="str">
            <v xml:space="preserve">CONTRACTOR </v>
          </cell>
        </row>
        <row r="745">
          <cell r="I745" t="str">
            <v>COMMERCIAL</v>
          </cell>
        </row>
        <row r="746">
          <cell r="I746" t="str">
            <v>COMMERCIAL</v>
          </cell>
        </row>
        <row r="747">
          <cell r="I747" t="str">
            <v xml:space="preserve">CONTRACTOR </v>
          </cell>
        </row>
        <row r="748">
          <cell r="I748" t="str">
            <v>COMMERCIAL</v>
          </cell>
        </row>
        <row r="749">
          <cell r="I749" t="str">
            <v>COMMERCIAL</v>
          </cell>
        </row>
        <row r="750">
          <cell r="I750" t="str">
            <v>COMMERCIAL</v>
          </cell>
        </row>
        <row r="751">
          <cell r="I751" t="str">
            <v>COMMERCIAL</v>
          </cell>
        </row>
        <row r="752">
          <cell r="I752" t="str">
            <v>COMMERCIAL</v>
          </cell>
        </row>
        <row r="753">
          <cell r="I753" t="str">
            <v>COMMERCIAL</v>
          </cell>
        </row>
        <row r="754">
          <cell r="I754" t="str">
            <v xml:space="preserve">CONTRACTOR </v>
          </cell>
        </row>
        <row r="755">
          <cell r="I755" t="str">
            <v xml:space="preserve">CONTRACTOR </v>
          </cell>
        </row>
        <row r="756">
          <cell r="I756" t="str">
            <v xml:space="preserve">CONTRACTOR </v>
          </cell>
        </row>
        <row r="757">
          <cell r="I757" t="str">
            <v xml:space="preserve">CONTRACTOR </v>
          </cell>
        </row>
        <row r="758">
          <cell r="I758" t="str">
            <v xml:space="preserve">CONTRACTOR </v>
          </cell>
        </row>
        <row r="759">
          <cell r="I759" t="str">
            <v xml:space="preserve">CONTRACTOR </v>
          </cell>
        </row>
        <row r="760">
          <cell r="I760" t="str">
            <v>COMMERCIAL</v>
          </cell>
        </row>
        <row r="761">
          <cell r="I761" t="str">
            <v xml:space="preserve">CONTRACTOR </v>
          </cell>
        </row>
        <row r="762">
          <cell r="I762" t="str">
            <v xml:space="preserve">CONTRACTOR </v>
          </cell>
        </row>
        <row r="763">
          <cell r="I763" t="str">
            <v>COMMERCIAL</v>
          </cell>
        </row>
        <row r="764">
          <cell r="I764" t="str">
            <v xml:space="preserve">CONTRACTOR </v>
          </cell>
        </row>
        <row r="765">
          <cell r="I765" t="str">
            <v xml:space="preserve">CONTRACTOR </v>
          </cell>
        </row>
        <row r="766">
          <cell r="I766" t="str">
            <v xml:space="preserve">CONTRACTOR </v>
          </cell>
        </row>
        <row r="767">
          <cell r="I767" t="str">
            <v>COMMERCIAL</v>
          </cell>
        </row>
        <row r="768">
          <cell r="I768" t="str">
            <v>COMMERCIAL</v>
          </cell>
        </row>
        <row r="769">
          <cell r="I769" t="str">
            <v>COMMERCIAL</v>
          </cell>
        </row>
        <row r="770">
          <cell r="I770" t="str">
            <v xml:space="preserve">CONTRACTOR </v>
          </cell>
        </row>
        <row r="771">
          <cell r="I771" t="str">
            <v>COMMERCIAL</v>
          </cell>
        </row>
        <row r="772">
          <cell r="I772" t="str">
            <v>COMMERCIAL</v>
          </cell>
        </row>
        <row r="773">
          <cell r="I773" t="str">
            <v xml:space="preserve">CONTRACTOR </v>
          </cell>
        </row>
        <row r="774">
          <cell r="I774" t="str">
            <v xml:space="preserve">CONTRACTOR </v>
          </cell>
        </row>
        <row r="775">
          <cell r="I775" t="str">
            <v xml:space="preserve">CONTRACTOR </v>
          </cell>
        </row>
        <row r="776">
          <cell r="I776" t="str">
            <v>COMMERCIAL</v>
          </cell>
        </row>
        <row r="777">
          <cell r="I777" t="str">
            <v xml:space="preserve">CONTRACTOR </v>
          </cell>
        </row>
        <row r="778">
          <cell r="I778" t="str">
            <v>COMMERCIAL</v>
          </cell>
        </row>
        <row r="779">
          <cell r="I779" t="str">
            <v>COMMERCIAL</v>
          </cell>
        </row>
        <row r="780">
          <cell r="I780" t="str">
            <v>COMMERCIAL</v>
          </cell>
        </row>
        <row r="781">
          <cell r="I781" t="str">
            <v>COMMERCIAL</v>
          </cell>
        </row>
        <row r="782">
          <cell r="I782" t="str">
            <v>COMMERCIAL</v>
          </cell>
        </row>
        <row r="783">
          <cell r="I783" t="str">
            <v>COMMERCIAL</v>
          </cell>
        </row>
        <row r="784">
          <cell r="I784" t="str">
            <v>COMMERCIAL</v>
          </cell>
        </row>
        <row r="785">
          <cell r="I785" t="str">
            <v>COMMERCIAL</v>
          </cell>
        </row>
        <row r="786">
          <cell r="I786" t="str">
            <v xml:space="preserve">CONTRACTOR </v>
          </cell>
        </row>
        <row r="787">
          <cell r="I787" t="str">
            <v>COMMERCIAL</v>
          </cell>
        </row>
        <row r="788">
          <cell r="I788" t="str">
            <v>COMMERCIAL</v>
          </cell>
        </row>
        <row r="789">
          <cell r="I789" t="str">
            <v>COMMERCIAL</v>
          </cell>
        </row>
        <row r="790">
          <cell r="I790" t="str">
            <v>COMMERCIAL</v>
          </cell>
        </row>
        <row r="791">
          <cell r="I791" t="str">
            <v xml:space="preserve">CONTRACTOR </v>
          </cell>
        </row>
        <row r="792">
          <cell r="I792" t="str">
            <v xml:space="preserve">CONTRACTOR </v>
          </cell>
        </row>
        <row r="793">
          <cell r="I793" t="str">
            <v xml:space="preserve">CONTRACTOR </v>
          </cell>
        </row>
        <row r="794">
          <cell r="I794" t="str">
            <v>COMMERCIAL</v>
          </cell>
        </row>
        <row r="795">
          <cell r="I795" t="str">
            <v>COMMERCIAL</v>
          </cell>
        </row>
        <row r="796">
          <cell r="I796" t="str">
            <v>COMMERCIAL</v>
          </cell>
        </row>
        <row r="797">
          <cell r="I797" t="str">
            <v>COMMERCIAL</v>
          </cell>
        </row>
        <row r="798">
          <cell r="I798" t="str">
            <v>COMMERCIAL</v>
          </cell>
        </row>
        <row r="799">
          <cell r="I799" t="str">
            <v>COMMERCIAL</v>
          </cell>
        </row>
        <row r="800">
          <cell r="I800" t="str">
            <v>COMMERCIAL</v>
          </cell>
        </row>
        <row r="801">
          <cell r="I801" t="str">
            <v>COMMERCIAL</v>
          </cell>
        </row>
        <row r="802">
          <cell r="I802" t="str">
            <v>COMMERCIAL</v>
          </cell>
        </row>
        <row r="803">
          <cell r="I803" t="str">
            <v>COMMERCIAL</v>
          </cell>
        </row>
        <row r="804">
          <cell r="I804" t="str">
            <v xml:space="preserve">CONTRACTOR </v>
          </cell>
        </row>
        <row r="805">
          <cell r="I805" t="str">
            <v xml:space="preserve">CONTRACTOR </v>
          </cell>
        </row>
        <row r="806">
          <cell r="I806" t="str">
            <v xml:space="preserve">CONTRACTOR </v>
          </cell>
        </row>
        <row r="807">
          <cell r="I807" t="str">
            <v>COMMERCIAL</v>
          </cell>
        </row>
        <row r="808">
          <cell r="I808" t="str">
            <v xml:space="preserve">CONTRACTOR </v>
          </cell>
        </row>
        <row r="809">
          <cell r="I809" t="str">
            <v>COMMERCIAL</v>
          </cell>
        </row>
        <row r="810">
          <cell r="I810" t="str">
            <v>COMMERCIAL</v>
          </cell>
        </row>
        <row r="811">
          <cell r="I811" t="str">
            <v>COMMERCIAL</v>
          </cell>
        </row>
        <row r="812">
          <cell r="I812" t="str">
            <v>COMMERCIAL</v>
          </cell>
        </row>
        <row r="813">
          <cell r="I813" t="str">
            <v>COMMERCIAL</v>
          </cell>
        </row>
        <row r="814">
          <cell r="I814" t="str">
            <v>COMMERCIAL</v>
          </cell>
        </row>
        <row r="815">
          <cell r="I815" t="str">
            <v>COMMERCIAL</v>
          </cell>
        </row>
        <row r="816">
          <cell r="I816" t="str">
            <v xml:space="preserve">CONTRACTOR </v>
          </cell>
        </row>
        <row r="817">
          <cell r="I817" t="str">
            <v xml:space="preserve">CONTRACTOR </v>
          </cell>
        </row>
        <row r="818">
          <cell r="I818" t="str">
            <v xml:space="preserve">CONTRACTOR </v>
          </cell>
        </row>
        <row r="819">
          <cell r="I819" t="str">
            <v>COMMERCIAL</v>
          </cell>
        </row>
        <row r="820">
          <cell r="I820" t="str">
            <v>COMMERCIAL</v>
          </cell>
        </row>
        <row r="821">
          <cell r="I821" t="str">
            <v>COMMERCIAL</v>
          </cell>
        </row>
        <row r="822">
          <cell r="I822" t="str">
            <v xml:space="preserve">CONTRACTOR </v>
          </cell>
        </row>
        <row r="823">
          <cell r="I823" t="str">
            <v xml:space="preserve">CONTRACTOR </v>
          </cell>
        </row>
        <row r="824">
          <cell r="I824" t="str">
            <v>COMMERCIAL</v>
          </cell>
        </row>
        <row r="825">
          <cell r="I825" t="str">
            <v xml:space="preserve">CONTRACTOR </v>
          </cell>
        </row>
        <row r="826">
          <cell r="I826" t="str">
            <v xml:space="preserve">CONTRACTOR </v>
          </cell>
        </row>
        <row r="827">
          <cell r="I827" t="str">
            <v xml:space="preserve">CONTRACTOR </v>
          </cell>
        </row>
        <row r="828">
          <cell r="I828" t="str">
            <v xml:space="preserve">CONTRACTOR </v>
          </cell>
        </row>
        <row r="829">
          <cell r="I829" t="str">
            <v xml:space="preserve">CONTRACTOR </v>
          </cell>
        </row>
        <row r="830">
          <cell r="I830" t="str">
            <v>COMMERCIAL</v>
          </cell>
        </row>
        <row r="831">
          <cell r="I831" t="str">
            <v>COMMERCIAL</v>
          </cell>
        </row>
        <row r="832">
          <cell r="I832" t="str">
            <v>COMMERCIAL</v>
          </cell>
        </row>
        <row r="833">
          <cell r="I833" t="str">
            <v>COMMERCIAL</v>
          </cell>
        </row>
        <row r="834">
          <cell r="I834" t="str">
            <v xml:space="preserve">CONTRACTOR </v>
          </cell>
        </row>
        <row r="835">
          <cell r="I835" t="str">
            <v xml:space="preserve">CONTRACTOR </v>
          </cell>
        </row>
        <row r="836">
          <cell r="I836" t="str">
            <v>COMMERCIAL</v>
          </cell>
        </row>
        <row r="837">
          <cell r="I837" t="str">
            <v xml:space="preserve">CONTRACTOR </v>
          </cell>
        </row>
        <row r="838">
          <cell r="I838" t="str">
            <v>COMMERCIAL</v>
          </cell>
        </row>
        <row r="839">
          <cell r="I839" t="str">
            <v>COMMERCIAL</v>
          </cell>
        </row>
        <row r="840">
          <cell r="I840" t="str">
            <v>COMMERCIAL</v>
          </cell>
        </row>
        <row r="841">
          <cell r="I841" t="str">
            <v>COMMERCIAL</v>
          </cell>
        </row>
        <row r="842">
          <cell r="I842" t="str">
            <v xml:space="preserve">CONTRACTOR </v>
          </cell>
        </row>
        <row r="843">
          <cell r="I843" t="str">
            <v xml:space="preserve">CONTRACTOR </v>
          </cell>
        </row>
        <row r="844">
          <cell r="I844" t="str">
            <v>COMMERCIAL</v>
          </cell>
        </row>
        <row r="845">
          <cell r="I845" t="str">
            <v>COMMERCIAL</v>
          </cell>
        </row>
        <row r="846">
          <cell r="I846" t="str">
            <v xml:space="preserve">CONTRACTOR </v>
          </cell>
        </row>
        <row r="847">
          <cell r="I847" t="str">
            <v>COMMERCIAL</v>
          </cell>
        </row>
        <row r="848">
          <cell r="I848" t="str">
            <v>COMMERCIAL</v>
          </cell>
        </row>
        <row r="849">
          <cell r="I849" t="str">
            <v>COMMERCIAL</v>
          </cell>
        </row>
        <row r="850">
          <cell r="I850" t="str">
            <v xml:space="preserve">CONTRACTOR </v>
          </cell>
        </row>
        <row r="851">
          <cell r="I851" t="str">
            <v xml:space="preserve">CONTRACTOR </v>
          </cell>
        </row>
        <row r="852">
          <cell r="I852" t="str">
            <v>COMMERCIAL</v>
          </cell>
        </row>
        <row r="853">
          <cell r="I853" t="str">
            <v xml:space="preserve">CONTRACTOR </v>
          </cell>
        </row>
        <row r="854">
          <cell r="I854" t="str">
            <v xml:space="preserve">CONTRACTOR </v>
          </cell>
        </row>
        <row r="855">
          <cell r="I855" t="str">
            <v>COMMERCIAL</v>
          </cell>
        </row>
        <row r="856">
          <cell r="I856" t="str">
            <v xml:space="preserve">CONTRACTOR </v>
          </cell>
        </row>
        <row r="857">
          <cell r="I857" t="str">
            <v>COMMERCIAL</v>
          </cell>
        </row>
        <row r="858">
          <cell r="I858" t="str">
            <v>COMMERCIAL</v>
          </cell>
        </row>
        <row r="859">
          <cell r="I859" t="str">
            <v xml:space="preserve">CONTRACTOR </v>
          </cell>
        </row>
        <row r="860">
          <cell r="I860" t="str">
            <v xml:space="preserve">CONTRACTOR </v>
          </cell>
        </row>
        <row r="861">
          <cell r="I861" t="str">
            <v>COMMERCIAL</v>
          </cell>
        </row>
        <row r="862">
          <cell r="I862" t="str">
            <v xml:space="preserve">CONTRACTOR </v>
          </cell>
        </row>
        <row r="863">
          <cell r="I863" t="str">
            <v xml:space="preserve">CONTRACTOR </v>
          </cell>
        </row>
        <row r="864">
          <cell r="I864" t="str">
            <v xml:space="preserve">CONTRACTOR </v>
          </cell>
        </row>
        <row r="865">
          <cell r="I865" t="str">
            <v>COMMERCIAL</v>
          </cell>
        </row>
        <row r="866">
          <cell r="I866" t="str">
            <v>COMMERCIAL</v>
          </cell>
        </row>
        <row r="867">
          <cell r="I867" t="str">
            <v>COMMERCIAL</v>
          </cell>
        </row>
        <row r="868">
          <cell r="I868" t="str">
            <v>COMMERCIAL</v>
          </cell>
        </row>
        <row r="869">
          <cell r="I869" t="str">
            <v>COMMERCIAL</v>
          </cell>
        </row>
        <row r="870">
          <cell r="I870" t="str">
            <v>COMMERCIAL</v>
          </cell>
        </row>
        <row r="871">
          <cell r="I871" t="str">
            <v>COMMERCIAL</v>
          </cell>
        </row>
        <row r="872">
          <cell r="I872" t="str">
            <v>COMMERCIAL</v>
          </cell>
        </row>
        <row r="873">
          <cell r="I873" t="str">
            <v xml:space="preserve">CONTRACTOR </v>
          </cell>
        </row>
        <row r="874">
          <cell r="I874" t="str">
            <v>COMMERCIAL</v>
          </cell>
        </row>
        <row r="875">
          <cell r="I875" t="str">
            <v>COMMERCIAL</v>
          </cell>
        </row>
        <row r="876">
          <cell r="I876" t="str">
            <v>COMMERCIAL</v>
          </cell>
        </row>
        <row r="877">
          <cell r="I877" t="str">
            <v>COMMERCIAL</v>
          </cell>
        </row>
        <row r="878">
          <cell r="I878" t="str">
            <v xml:space="preserve">CONTRACTOR </v>
          </cell>
        </row>
        <row r="879">
          <cell r="I879" t="str">
            <v>COMMERCIAL</v>
          </cell>
        </row>
        <row r="880">
          <cell r="I880" t="str">
            <v>COMMERCIAL</v>
          </cell>
        </row>
        <row r="881">
          <cell r="I881" t="str">
            <v>COMMERCIAL</v>
          </cell>
        </row>
        <row r="882">
          <cell r="I882" t="str">
            <v>COMMERCIAL</v>
          </cell>
        </row>
        <row r="883">
          <cell r="I883" t="str">
            <v>COMMERCIAL</v>
          </cell>
        </row>
        <row r="884">
          <cell r="I884" t="str">
            <v>COMMERCIAL</v>
          </cell>
        </row>
        <row r="885">
          <cell r="I885" t="str">
            <v>COMMERCIAL</v>
          </cell>
        </row>
        <row r="886">
          <cell r="I886" t="str">
            <v>COMMERCIAL</v>
          </cell>
        </row>
        <row r="887">
          <cell r="I887" t="str">
            <v>COMMERCIAL</v>
          </cell>
        </row>
        <row r="888">
          <cell r="I888" t="str">
            <v>COMMERCIAL</v>
          </cell>
        </row>
        <row r="889">
          <cell r="I889" t="str">
            <v>COMMERCIAL</v>
          </cell>
        </row>
        <row r="890">
          <cell r="I890" t="str">
            <v>COMMERCIAL</v>
          </cell>
        </row>
        <row r="891">
          <cell r="I891" t="str">
            <v>COMMERCIAL</v>
          </cell>
        </row>
        <row r="892">
          <cell r="I892" t="str">
            <v>COMMERCIAL</v>
          </cell>
        </row>
        <row r="893">
          <cell r="I893" t="str">
            <v>COMMERCIAL</v>
          </cell>
        </row>
        <row r="894">
          <cell r="I894" t="str">
            <v>COMMERCIAL</v>
          </cell>
        </row>
        <row r="895">
          <cell r="I895" t="str">
            <v>COMMERCIAL</v>
          </cell>
        </row>
        <row r="896">
          <cell r="I896" t="str">
            <v>COMMERCIAL</v>
          </cell>
        </row>
        <row r="897">
          <cell r="I897" t="str">
            <v>COMMERCIAL</v>
          </cell>
        </row>
        <row r="898">
          <cell r="I898" t="str">
            <v xml:space="preserve">CONTRACTOR </v>
          </cell>
        </row>
        <row r="899">
          <cell r="I899" t="str">
            <v xml:space="preserve">CONTRACTOR </v>
          </cell>
        </row>
        <row r="900">
          <cell r="I900" t="str">
            <v xml:space="preserve">CONTRACTOR </v>
          </cell>
        </row>
        <row r="901">
          <cell r="I901" t="str">
            <v>COMMERCIAL</v>
          </cell>
        </row>
        <row r="902">
          <cell r="I902" t="str">
            <v>COMMERCIAL</v>
          </cell>
        </row>
        <row r="903">
          <cell r="I903" t="str">
            <v>COMMERCIAL</v>
          </cell>
        </row>
        <row r="904">
          <cell r="I904" t="str">
            <v xml:space="preserve">CONTRACTOR </v>
          </cell>
        </row>
        <row r="905">
          <cell r="I905" t="str">
            <v>COMMERCIAL</v>
          </cell>
        </row>
        <row r="906">
          <cell r="I906" t="str">
            <v>COMMERCIAL</v>
          </cell>
        </row>
        <row r="907">
          <cell r="I907" t="str">
            <v>COMMERCIAL</v>
          </cell>
        </row>
        <row r="908">
          <cell r="I908" t="str">
            <v>COMMERCIAL</v>
          </cell>
        </row>
        <row r="909">
          <cell r="I909" t="str">
            <v>COMMERCIAL</v>
          </cell>
        </row>
        <row r="910">
          <cell r="I910" t="str">
            <v>COMMERCIAL</v>
          </cell>
        </row>
        <row r="911">
          <cell r="I911" t="str">
            <v>COMMERCIAL</v>
          </cell>
        </row>
        <row r="912">
          <cell r="I912" t="str">
            <v>COMMERCIAL</v>
          </cell>
        </row>
        <row r="913">
          <cell r="I913" t="str">
            <v>COMMERCIAL</v>
          </cell>
        </row>
        <row r="914">
          <cell r="I914" t="str">
            <v>COMMERCIAL</v>
          </cell>
        </row>
        <row r="915">
          <cell r="I915" t="str">
            <v xml:space="preserve">CONTRACTOR </v>
          </cell>
        </row>
        <row r="916">
          <cell r="I916" t="str">
            <v>COMMERCIAL</v>
          </cell>
        </row>
        <row r="917">
          <cell r="I917" t="str">
            <v>COMMERCIAL</v>
          </cell>
        </row>
        <row r="918">
          <cell r="I918" t="str">
            <v>COMMERCIAL</v>
          </cell>
        </row>
        <row r="919">
          <cell r="I919" t="str">
            <v>COMMERCIAL</v>
          </cell>
        </row>
        <row r="920">
          <cell r="I920" t="str">
            <v xml:space="preserve">CONTRACTOR </v>
          </cell>
        </row>
        <row r="921">
          <cell r="I921" t="str">
            <v>COMMERCIAL</v>
          </cell>
        </row>
        <row r="922">
          <cell r="I922" t="str">
            <v>COMMERCIAL</v>
          </cell>
        </row>
        <row r="923">
          <cell r="I923" t="str">
            <v>COMMERCIAL</v>
          </cell>
        </row>
        <row r="924">
          <cell r="I924" t="str">
            <v>COMMERCIAL</v>
          </cell>
        </row>
        <row r="925">
          <cell r="I925" t="str">
            <v>COMMERCIAL</v>
          </cell>
        </row>
        <row r="926">
          <cell r="I926" t="str">
            <v>COMMERCIAL</v>
          </cell>
        </row>
        <row r="927">
          <cell r="I927" t="str">
            <v xml:space="preserve">CONTRACTOR </v>
          </cell>
        </row>
        <row r="928">
          <cell r="I928" t="str">
            <v xml:space="preserve">CONTRACTOR </v>
          </cell>
        </row>
        <row r="929">
          <cell r="I929" t="str">
            <v>COMMERCIAL</v>
          </cell>
        </row>
        <row r="930">
          <cell r="I930" t="str">
            <v>COMMERCIAL</v>
          </cell>
        </row>
        <row r="931">
          <cell r="I931" t="str">
            <v>COMMERCIAL</v>
          </cell>
        </row>
        <row r="932">
          <cell r="I932" t="str">
            <v>COMMERCIAL</v>
          </cell>
        </row>
        <row r="933">
          <cell r="I933" t="str">
            <v>COMMERCIAL</v>
          </cell>
        </row>
        <row r="934">
          <cell r="I934" t="str">
            <v>COMMERCIAL</v>
          </cell>
        </row>
        <row r="935">
          <cell r="I935" t="str">
            <v xml:space="preserve">CONTRACTOR </v>
          </cell>
        </row>
        <row r="936">
          <cell r="I936" t="str">
            <v>COMMERCIAL</v>
          </cell>
        </row>
        <row r="937">
          <cell r="I937" t="str">
            <v>COMMERCIAL</v>
          </cell>
        </row>
        <row r="938">
          <cell r="I938" t="str">
            <v>COMMERCIAL</v>
          </cell>
        </row>
        <row r="939">
          <cell r="I939" t="str">
            <v>COMMERCIAL</v>
          </cell>
        </row>
        <row r="940">
          <cell r="I940" t="str">
            <v>COMMERCIAL</v>
          </cell>
        </row>
        <row r="941">
          <cell r="I941" t="str">
            <v xml:space="preserve">CONTRACTOR </v>
          </cell>
        </row>
        <row r="942">
          <cell r="I942" t="str">
            <v xml:space="preserve">CONTRACTOR </v>
          </cell>
        </row>
        <row r="943">
          <cell r="I943" t="str">
            <v>COMMERCIAL</v>
          </cell>
        </row>
        <row r="944">
          <cell r="I944" t="str">
            <v>COMMERCIAL</v>
          </cell>
        </row>
        <row r="945">
          <cell r="I945" t="str">
            <v>COMMERCIAL</v>
          </cell>
        </row>
        <row r="946">
          <cell r="I946" t="str">
            <v>COMMERCIAL</v>
          </cell>
        </row>
        <row r="947">
          <cell r="I947" t="str">
            <v xml:space="preserve">CONTRACTOR </v>
          </cell>
        </row>
        <row r="948">
          <cell r="I948" t="str">
            <v>COMMERCIAL</v>
          </cell>
        </row>
        <row r="949">
          <cell r="I949" t="str">
            <v>COMMERCIAL</v>
          </cell>
        </row>
        <row r="950">
          <cell r="I950" t="str">
            <v>COMMERCIAL</v>
          </cell>
        </row>
        <row r="951">
          <cell r="I951" t="str">
            <v>COMMERCIAL</v>
          </cell>
        </row>
        <row r="952">
          <cell r="I952" t="str">
            <v>COMMERCIAL</v>
          </cell>
        </row>
        <row r="953">
          <cell r="I953" t="str">
            <v>COMMERCIAL</v>
          </cell>
        </row>
        <row r="954">
          <cell r="I954" t="str">
            <v xml:space="preserve">CONTRACTOR </v>
          </cell>
        </row>
        <row r="955">
          <cell r="I955" t="str">
            <v xml:space="preserve">CONTRACTOR </v>
          </cell>
        </row>
        <row r="956">
          <cell r="I956" t="str">
            <v>COMMERCIAL</v>
          </cell>
        </row>
        <row r="957">
          <cell r="I957" t="str">
            <v>COMMERCIAL</v>
          </cell>
        </row>
        <row r="958">
          <cell r="I958" t="str">
            <v xml:space="preserve">CONTRACTOR </v>
          </cell>
        </row>
        <row r="959">
          <cell r="I959" t="str">
            <v xml:space="preserve">CONTRACTOR </v>
          </cell>
        </row>
        <row r="960">
          <cell r="I960" t="str">
            <v xml:space="preserve">CONTRACTOR </v>
          </cell>
        </row>
        <row r="961">
          <cell r="I961" t="str">
            <v>COMMERCIAL</v>
          </cell>
        </row>
        <row r="962">
          <cell r="I962" t="str">
            <v xml:space="preserve">CONTRACTOR </v>
          </cell>
        </row>
        <row r="963">
          <cell r="I963" t="str">
            <v>COMMERCIAL</v>
          </cell>
        </row>
        <row r="964">
          <cell r="I964" t="str">
            <v>COMMERCIAL</v>
          </cell>
        </row>
        <row r="965">
          <cell r="I965" t="str">
            <v xml:space="preserve">CONTRACTOR </v>
          </cell>
        </row>
        <row r="966">
          <cell r="I966" t="str">
            <v>COMMERCIAL</v>
          </cell>
        </row>
        <row r="967">
          <cell r="I967" t="str">
            <v xml:space="preserve">CONTRACTOR </v>
          </cell>
        </row>
        <row r="968">
          <cell r="I968" t="str">
            <v xml:space="preserve">CONTRACTOR </v>
          </cell>
        </row>
        <row r="969">
          <cell r="I969" t="str">
            <v xml:space="preserve">CONTRACTOR </v>
          </cell>
        </row>
        <row r="970">
          <cell r="I970" t="str">
            <v xml:space="preserve">CONTRACTOR </v>
          </cell>
        </row>
        <row r="971">
          <cell r="I971" t="str">
            <v xml:space="preserve">CONTRACTOR </v>
          </cell>
        </row>
        <row r="972">
          <cell r="I972" t="str">
            <v xml:space="preserve">CONTRACTOR </v>
          </cell>
        </row>
        <row r="973">
          <cell r="I973" t="str">
            <v>COMMERCIAL</v>
          </cell>
        </row>
        <row r="974">
          <cell r="I974" t="str">
            <v xml:space="preserve">CONTRACTOR </v>
          </cell>
        </row>
        <row r="975">
          <cell r="I975" t="str">
            <v>COMMERCIAL</v>
          </cell>
        </row>
        <row r="976">
          <cell r="I976" t="str">
            <v>COMMERCIAL</v>
          </cell>
        </row>
        <row r="977">
          <cell r="I977" t="str">
            <v>COMMERCIAL</v>
          </cell>
        </row>
        <row r="978">
          <cell r="I978" t="str">
            <v>COMMERCIAL</v>
          </cell>
        </row>
        <row r="979">
          <cell r="I979" t="str">
            <v>COMMERCIAL</v>
          </cell>
        </row>
        <row r="980">
          <cell r="I980" t="str">
            <v>COMMERCIAL</v>
          </cell>
        </row>
        <row r="981">
          <cell r="I981" t="str">
            <v>COMMERCIAL</v>
          </cell>
        </row>
        <row r="982">
          <cell r="I982" t="str">
            <v>COMMERCIAL</v>
          </cell>
        </row>
        <row r="983">
          <cell r="I983" t="str">
            <v>COMMERCIAL</v>
          </cell>
        </row>
        <row r="984">
          <cell r="I984" t="str">
            <v>COMMERCIAL</v>
          </cell>
        </row>
        <row r="985">
          <cell r="I985" t="str">
            <v>COMMERCIAL</v>
          </cell>
        </row>
        <row r="986">
          <cell r="I986" t="str">
            <v>COMMERCIAL</v>
          </cell>
        </row>
        <row r="987">
          <cell r="I987" t="str">
            <v>COMMERCIAL</v>
          </cell>
        </row>
        <row r="988">
          <cell r="I988" t="str">
            <v>COMMERCIAL</v>
          </cell>
        </row>
        <row r="989">
          <cell r="I989" t="str">
            <v xml:space="preserve">CONTRACTOR </v>
          </cell>
        </row>
        <row r="990">
          <cell r="I990" t="str">
            <v>COMMERCIAL</v>
          </cell>
        </row>
        <row r="991">
          <cell r="I991" t="str">
            <v xml:space="preserve">CONTRACTOR </v>
          </cell>
        </row>
        <row r="992">
          <cell r="I992" t="str">
            <v>COMMERCIAL</v>
          </cell>
        </row>
        <row r="993">
          <cell r="I993" t="str">
            <v>COMMERCIAL</v>
          </cell>
        </row>
        <row r="994">
          <cell r="I994" t="str">
            <v>COMMERCIAL</v>
          </cell>
        </row>
        <row r="995">
          <cell r="I995" t="str">
            <v xml:space="preserve">CONTRACTOR </v>
          </cell>
        </row>
        <row r="996">
          <cell r="I996" t="str">
            <v>COMMERCIAL</v>
          </cell>
        </row>
        <row r="997">
          <cell r="I997" t="str">
            <v>COMMERCIAL</v>
          </cell>
        </row>
        <row r="998">
          <cell r="I998" t="str">
            <v>COMMERCIAL</v>
          </cell>
        </row>
        <row r="999">
          <cell r="I999" t="str">
            <v>COMMERCIAL</v>
          </cell>
        </row>
        <row r="1000">
          <cell r="I1000" t="str">
            <v>COMMERCIAL</v>
          </cell>
        </row>
        <row r="1001">
          <cell r="I1001" t="str">
            <v xml:space="preserve">CONTRACTOR </v>
          </cell>
        </row>
        <row r="1002">
          <cell r="I1002" t="str">
            <v>COMMERCIAL</v>
          </cell>
        </row>
        <row r="1003">
          <cell r="I1003" t="str">
            <v xml:space="preserve">CONTRACTOR </v>
          </cell>
        </row>
        <row r="1004">
          <cell r="I1004" t="str">
            <v>COMMERCIAL</v>
          </cell>
        </row>
        <row r="1005">
          <cell r="I1005" t="str">
            <v>COMMERCIAL</v>
          </cell>
        </row>
        <row r="1006">
          <cell r="I1006" t="str">
            <v>COMMERCIAL</v>
          </cell>
        </row>
        <row r="1007">
          <cell r="I1007" t="str">
            <v>COMMERCIAL</v>
          </cell>
        </row>
        <row r="1008">
          <cell r="I1008" t="str">
            <v xml:space="preserve">CONTRACTOR </v>
          </cell>
        </row>
        <row r="1009">
          <cell r="I1009" t="str">
            <v xml:space="preserve">CONTRACTOR </v>
          </cell>
        </row>
        <row r="1010">
          <cell r="I1010" t="str">
            <v>COMMERCIAL</v>
          </cell>
        </row>
        <row r="1011">
          <cell r="I1011" t="str">
            <v>COMMERCIAL</v>
          </cell>
        </row>
        <row r="1012">
          <cell r="I1012" t="str">
            <v xml:space="preserve">CONTRACTOR </v>
          </cell>
        </row>
        <row r="1013">
          <cell r="I1013" t="str">
            <v>COMMERCIAL</v>
          </cell>
        </row>
        <row r="1014">
          <cell r="I1014" t="str">
            <v xml:space="preserve">CONTRACTOR </v>
          </cell>
        </row>
        <row r="1015">
          <cell r="I1015" t="str">
            <v>COMMERCIAL</v>
          </cell>
        </row>
        <row r="1016">
          <cell r="I1016" t="str">
            <v>COMMERCIAL</v>
          </cell>
        </row>
        <row r="1017">
          <cell r="I1017" t="str">
            <v>COMMERCIAL</v>
          </cell>
        </row>
        <row r="1018">
          <cell r="I1018" t="str">
            <v>COMMERCIAL</v>
          </cell>
        </row>
        <row r="1019">
          <cell r="I1019" t="str">
            <v>COMMERCIAL</v>
          </cell>
        </row>
        <row r="1020">
          <cell r="I1020" t="str">
            <v>COMMERCIAL</v>
          </cell>
        </row>
        <row r="1021">
          <cell r="I1021" t="str">
            <v>COMMERCIAL</v>
          </cell>
        </row>
        <row r="1022">
          <cell r="I1022" t="str">
            <v>CONTRACTOR</v>
          </cell>
        </row>
        <row r="1023">
          <cell r="I1023" t="str">
            <v>COMMERCIAL</v>
          </cell>
        </row>
        <row r="1024">
          <cell r="I1024" t="str">
            <v>COMMERCIAL</v>
          </cell>
        </row>
        <row r="1025">
          <cell r="I1025" t="str">
            <v>COMMERCIAL</v>
          </cell>
        </row>
        <row r="1026">
          <cell r="I1026" t="str">
            <v>COMMERCIAL</v>
          </cell>
        </row>
        <row r="1027">
          <cell r="I1027" t="str">
            <v xml:space="preserve">CONTRACTOR </v>
          </cell>
        </row>
        <row r="1028">
          <cell r="I1028" t="str">
            <v>COMMERCIAL</v>
          </cell>
        </row>
        <row r="1029">
          <cell r="I1029" t="str">
            <v>COMMERCIAL</v>
          </cell>
        </row>
        <row r="1030">
          <cell r="I1030" t="str">
            <v xml:space="preserve">CONTRACTOR </v>
          </cell>
        </row>
        <row r="1031">
          <cell r="I1031" t="str">
            <v>COMMERCIAL</v>
          </cell>
        </row>
        <row r="1032">
          <cell r="I1032" t="str">
            <v>COMMERCIAL</v>
          </cell>
        </row>
        <row r="1033">
          <cell r="I1033" t="str">
            <v>COMMERCIAL</v>
          </cell>
        </row>
        <row r="1034">
          <cell r="I1034" t="str">
            <v>COMMERCIAL</v>
          </cell>
        </row>
        <row r="1035">
          <cell r="I1035" t="str">
            <v xml:space="preserve">CONTRACTOR </v>
          </cell>
        </row>
        <row r="1036">
          <cell r="I1036" t="str">
            <v>COMMERCIAL</v>
          </cell>
        </row>
        <row r="1037">
          <cell r="I1037" t="str">
            <v>COMMERCIAL</v>
          </cell>
        </row>
        <row r="1038">
          <cell r="I1038" t="str">
            <v>COMMERCIAL</v>
          </cell>
        </row>
        <row r="1039">
          <cell r="I1039" t="str">
            <v>COMMERCIAL</v>
          </cell>
        </row>
        <row r="1040">
          <cell r="I1040" t="str">
            <v xml:space="preserve">CONTRACTOR </v>
          </cell>
        </row>
        <row r="1041">
          <cell r="I1041" t="str">
            <v xml:space="preserve">CONTRACTOR </v>
          </cell>
        </row>
        <row r="1042">
          <cell r="I1042" t="str">
            <v>COMMERCIAL</v>
          </cell>
        </row>
        <row r="1043">
          <cell r="I1043" t="str">
            <v>COMMERCIAL</v>
          </cell>
        </row>
        <row r="1044">
          <cell r="I1044" t="str">
            <v>COMMERCIAL</v>
          </cell>
        </row>
        <row r="1045">
          <cell r="I1045" t="str">
            <v xml:space="preserve">CONTRACTOR </v>
          </cell>
        </row>
        <row r="1046">
          <cell r="I1046" t="str">
            <v xml:space="preserve">CONTRACTOR </v>
          </cell>
        </row>
        <row r="1047">
          <cell r="I1047" t="str">
            <v>COMMERCIAL</v>
          </cell>
        </row>
        <row r="1048">
          <cell r="I1048" t="str">
            <v xml:space="preserve">CONTRACTOR </v>
          </cell>
        </row>
        <row r="1049">
          <cell r="I1049" t="str">
            <v>COMMERCIAL</v>
          </cell>
        </row>
        <row r="1050">
          <cell r="I1050" t="str">
            <v>COMMERCIAL</v>
          </cell>
        </row>
        <row r="1051">
          <cell r="I1051" t="str">
            <v>COMMERCIAL</v>
          </cell>
        </row>
        <row r="1052">
          <cell r="I1052" t="str">
            <v>COMMERCIAL</v>
          </cell>
        </row>
        <row r="1053">
          <cell r="I1053" t="str">
            <v>COMMERCIAL</v>
          </cell>
        </row>
        <row r="1054">
          <cell r="I1054" t="str">
            <v>COMMERCIAL</v>
          </cell>
        </row>
        <row r="1055">
          <cell r="I1055" t="str">
            <v>COMMERCIAL</v>
          </cell>
        </row>
        <row r="1056">
          <cell r="I1056" t="str">
            <v xml:space="preserve">CONTRACTOR </v>
          </cell>
        </row>
        <row r="1057">
          <cell r="I1057" t="str">
            <v>COMMERCIAL</v>
          </cell>
        </row>
        <row r="1058">
          <cell r="I1058" t="str">
            <v>COMMERCIAL</v>
          </cell>
        </row>
        <row r="1059">
          <cell r="I1059" t="str">
            <v>COMMERCIAL</v>
          </cell>
        </row>
        <row r="1060">
          <cell r="I1060" t="str">
            <v>COMMERCIAL</v>
          </cell>
        </row>
        <row r="1061">
          <cell r="I1061" t="str">
            <v>COMMERCIAL</v>
          </cell>
        </row>
        <row r="1062">
          <cell r="I1062" t="str">
            <v>COMMERCIAL</v>
          </cell>
        </row>
        <row r="1063">
          <cell r="I1063" t="str">
            <v xml:space="preserve">CONTRACTOR </v>
          </cell>
        </row>
        <row r="1064">
          <cell r="I1064" t="str">
            <v>COMMERCIAL</v>
          </cell>
        </row>
        <row r="1065">
          <cell r="I1065" t="str">
            <v xml:space="preserve">CONTRACTOR </v>
          </cell>
        </row>
        <row r="1066">
          <cell r="I1066" t="str">
            <v xml:space="preserve">CONTRACTOR </v>
          </cell>
        </row>
        <row r="1067">
          <cell r="I1067" t="str">
            <v>COMMERCIAL</v>
          </cell>
        </row>
        <row r="1068">
          <cell r="I1068" t="str">
            <v>COMMERCIAL</v>
          </cell>
        </row>
        <row r="1069">
          <cell r="I1069" t="str">
            <v xml:space="preserve">CONTRACTOR </v>
          </cell>
        </row>
        <row r="1070">
          <cell r="I1070" t="str">
            <v>COMMERCIAL</v>
          </cell>
        </row>
        <row r="1071">
          <cell r="I1071" t="str">
            <v>COMMERCIAL</v>
          </cell>
        </row>
        <row r="1072">
          <cell r="I1072" t="str">
            <v>COMMERCIAL</v>
          </cell>
        </row>
        <row r="1073">
          <cell r="I1073" t="str">
            <v>COMMERCIAL</v>
          </cell>
        </row>
        <row r="1074">
          <cell r="I1074" t="str">
            <v xml:space="preserve">CONTRACTOR </v>
          </cell>
        </row>
        <row r="1075">
          <cell r="I1075" t="str">
            <v>COMMERCIAL</v>
          </cell>
        </row>
        <row r="1076">
          <cell r="I1076" t="str">
            <v>COMMERCIAL</v>
          </cell>
        </row>
        <row r="1077">
          <cell r="I1077" t="str">
            <v>COMMERCIAL</v>
          </cell>
        </row>
        <row r="1078">
          <cell r="I1078" t="str">
            <v>COMMERCIAL</v>
          </cell>
        </row>
        <row r="1079">
          <cell r="I1079" t="str">
            <v>COMMERCIAL</v>
          </cell>
        </row>
        <row r="1080">
          <cell r="I1080" t="str">
            <v>COMMERCIAL</v>
          </cell>
        </row>
        <row r="1081">
          <cell r="I1081" t="str">
            <v>COMMERCIAL</v>
          </cell>
        </row>
        <row r="1082">
          <cell r="I1082" t="str">
            <v>COMMERCIAL</v>
          </cell>
        </row>
        <row r="1083">
          <cell r="I1083" t="str">
            <v xml:space="preserve">CONTRACTOR </v>
          </cell>
        </row>
        <row r="1084">
          <cell r="I1084" t="str">
            <v xml:space="preserve">CONTRACTOR </v>
          </cell>
        </row>
        <row r="1085">
          <cell r="I1085" t="str">
            <v xml:space="preserve">CONTRACTOR </v>
          </cell>
        </row>
        <row r="1086">
          <cell r="I1086" t="str">
            <v xml:space="preserve">CONTRACTOR </v>
          </cell>
        </row>
        <row r="1087">
          <cell r="I1087" t="str">
            <v xml:space="preserve">CONTRACTOR </v>
          </cell>
        </row>
        <row r="1088">
          <cell r="I1088" t="str">
            <v xml:space="preserve">CONTRACTOR </v>
          </cell>
        </row>
        <row r="1089">
          <cell r="I1089" t="str">
            <v xml:space="preserve">CONTRACTOR </v>
          </cell>
        </row>
        <row r="1090">
          <cell r="I1090" t="str">
            <v xml:space="preserve">CONTRACTOR </v>
          </cell>
        </row>
        <row r="1091">
          <cell r="I1091" t="str">
            <v>COMMERCIAL</v>
          </cell>
        </row>
        <row r="1092">
          <cell r="I1092" t="str">
            <v>COMMERCIAL</v>
          </cell>
        </row>
        <row r="1093">
          <cell r="I1093" t="str">
            <v>COMMERCIAL</v>
          </cell>
        </row>
        <row r="1094">
          <cell r="I1094" t="str">
            <v xml:space="preserve">CONTRACTOR </v>
          </cell>
        </row>
        <row r="1095">
          <cell r="I1095" t="str">
            <v xml:space="preserve">CONTRACTOR </v>
          </cell>
        </row>
        <row r="1096">
          <cell r="I1096" t="str">
            <v xml:space="preserve">CONTRACTOR </v>
          </cell>
        </row>
        <row r="1097">
          <cell r="I1097" t="str">
            <v>COMMERCIAL</v>
          </cell>
        </row>
        <row r="1098">
          <cell r="I1098" t="str">
            <v>COMMERCIAL</v>
          </cell>
        </row>
        <row r="1099">
          <cell r="I1099" t="str">
            <v>COMMERCIAL</v>
          </cell>
        </row>
        <row r="1100">
          <cell r="I1100" t="str">
            <v>COMMERCIAL</v>
          </cell>
        </row>
        <row r="1101">
          <cell r="I1101" t="str">
            <v>COMMERCIAL</v>
          </cell>
        </row>
        <row r="1102">
          <cell r="I1102" t="str">
            <v>COMMERCIAL</v>
          </cell>
        </row>
        <row r="1103">
          <cell r="I1103" t="str">
            <v>COMMERCIAL</v>
          </cell>
        </row>
        <row r="1104">
          <cell r="I1104" t="str">
            <v>COMMERCIAL</v>
          </cell>
        </row>
        <row r="1105">
          <cell r="I1105" t="str">
            <v xml:space="preserve">CONTRACTOR </v>
          </cell>
        </row>
        <row r="1106">
          <cell r="I1106" t="str">
            <v xml:space="preserve">CONTRACTOR </v>
          </cell>
        </row>
        <row r="1107">
          <cell r="I1107" t="str">
            <v>COMMERCIAL</v>
          </cell>
        </row>
        <row r="1108">
          <cell r="I1108" t="str">
            <v>COMMERCIAL</v>
          </cell>
        </row>
        <row r="1109">
          <cell r="I1109" t="str">
            <v>COMMERCIAL</v>
          </cell>
        </row>
        <row r="1110">
          <cell r="I1110" t="str">
            <v>COMMERCIAL</v>
          </cell>
        </row>
        <row r="1111">
          <cell r="I1111" t="str">
            <v>COMMERCIAL</v>
          </cell>
        </row>
        <row r="1112">
          <cell r="I1112" t="str">
            <v xml:space="preserve">CONTRACTOR </v>
          </cell>
        </row>
        <row r="1113">
          <cell r="I1113" t="str">
            <v xml:space="preserve">CONTRACTOR </v>
          </cell>
        </row>
        <row r="1114">
          <cell r="I1114" t="str">
            <v>COMMERCIAL</v>
          </cell>
        </row>
        <row r="1115">
          <cell r="I1115" t="str">
            <v>COMMERCIAL</v>
          </cell>
        </row>
        <row r="1116">
          <cell r="I1116" t="str">
            <v>COMMERCIAL</v>
          </cell>
        </row>
        <row r="1117">
          <cell r="I1117" t="str">
            <v>COMMERCIAL</v>
          </cell>
        </row>
        <row r="1118">
          <cell r="I1118" t="str">
            <v>COMMERCIAL</v>
          </cell>
        </row>
        <row r="1119">
          <cell r="I1119" t="str">
            <v>COMMERCIAL</v>
          </cell>
        </row>
        <row r="1120">
          <cell r="I1120" t="str">
            <v xml:space="preserve">CONTRACTOR </v>
          </cell>
        </row>
        <row r="1121">
          <cell r="I1121" t="str">
            <v>COMMERCIAL</v>
          </cell>
        </row>
        <row r="1122">
          <cell r="I1122" t="str">
            <v>COMMERCIAL</v>
          </cell>
        </row>
        <row r="1123">
          <cell r="I1123" t="str">
            <v>COMMERCIAL</v>
          </cell>
        </row>
        <row r="1124">
          <cell r="I1124" t="str">
            <v>COMMERCIAL</v>
          </cell>
        </row>
        <row r="1125">
          <cell r="I1125" t="str">
            <v>COMMERCIAL</v>
          </cell>
        </row>
        <row r="1126">
          <cell r="I1126" t="str">
            <v>COMMERCIAL</v>
          </cell>
        </row>
        <row r="1127">
          <cell r="I1127" t="str">
            <v>COMMERCIAL</v>
          </cell>
        </row>
        <row r="1128">
          <cell r="I1128" t="str">
            <v>COMMERCIAL</v>
          </cell>
        </row>
        <row r="1129">
          <cell r="I1129" t="str">
            <v>COMMERCIAL</v>
          </cell>
        </row>
        <row r="1130">
          <cell r="I1130" t="str">
            <v>COMMERCIAL</v>
          </cell>
        </row>
        <row r="1131">
          <cell r="I1131" t="str">
            <v>COMMERCIAL</v>
          </cell>
        </row>
        <row r="1132">
          <cell r="I1132" t="str">
            <v>COMMERCIAL</v>
          </cell>
        </row>
        <row r="1133">
          <cell r="I1133" t="str">
            <v>COMMERCIAL</v>
          </cell>
        </row>
        <row r="1134">
          <cell r="I1134" t="str">
            <v>COMMERCIAL</v>
          </cell>
        </row>
        <row r="1135">
          <cell r="I1135" t="str">
            <v>COMMERCIAL</v>
          </cell>
        </row>
        <row r="1136">
          <cell r="I1136" t="str">
            <v>COMMERCIAL</v>
          </cell>
        </row>
        <row r="1137">
          <cell r="I1137" t="str">
            <v>COMMERCIAL</v>
          </cell>
        </row>
        <row r="1138">
          <cell r="I1138" t="str">
            <v>COMMERCIAL</v>
          </cell>
        </row>
        <row r="1139">
          <cell r="I1139" t="str">
            <v>COMMERCIAL</v>
          </cell>
        </row>
        <row r="1140">
          <cell r="I1140" t="str">
            <v>COMMERCIAL</v>
          </cell>
        </row>
        <row r="1141">
          <cell r="I1141" t="str">
            <v xml:space="preserve">CONTRACTOR </v>
          </cell>
        </row>
        <row r="1142">
          <cell r="I1142" t="str">
            <v>COMMERCIAL</v>
          </cell>
        </row>
        <row r="1143">
          <cell r="I1143" t="str">
            <v>COMMERCIAL</v>
          </cell>
        </row>
        <row r="1144">
          <cell r="I1144" t="str">
            <v>COMMERCIAL</v>
          </cell>
        </row>
        <row r="1145">
          <cell r="I1145" t="str">
            <v xml:space="preserve">CONTRACTOR </v>
          </cell>
        </row>
        <row r="1146">
          <cell r="I1146" t="str">
            <v>COMMERCIAL</v>
          </cell>
        </row>
        <row r="1147">
          <cell r="I1147" t="str">
            <v>COMMERCIAL</v>
          </cell>
        </row>
        <row r="1148">
          <cell r="I1148" t="str">
            <v>COMMERCIAL</v>
          </cell>
        </row>
        <row r="1149">
          <cell r="I1149" t="str">
            <v xml:space="preserve">CONTRACTOR </v>
          </cell>
        </row>
        <row r="1150">
          <cell r="I1150" t="str">
            <v>COMMERCIAL</v>
          </cell>
        </row>
        <row r="1151">
          <cell r="I1151" t="str">
            <v xml:space="preserve">CONTRACTOR </v>
          </cell>
        </row>
        <row r="1152">
          <cell r="I1152" t="str">
            <v xml:space="preserve">CONTRACTOR </v>
          </cell>
        </row>
        <row r="1153">
          <cell r="I1153" t="str">
            <v>COMMERCIAL</v>
          </cell>
        </row>
        <row r="1154">
          <cell r="I1154" t="str">
            <v>COMMERCIAL</v>
          </cell>
        </row>
        <row r="1155">
          <cell r="I1155" t="str">
            <v>COMMERCIAL</v>
          </cell>
        </row>
        <row r="1156">
          <cell r="I1156" t="str">
            <v>COMMERCIAL</v>
          </cell>
        </row>
        <row r="1157">
          <cell r="I1157" t="str">
            <v>COMMERCIAL</v>
          </cell>
        </row>
        <row r="1158">
          <cell r="I1158" t="str">
            <v>COMMERCIAL</v>
          </cell>
        </row>
        <row r="1159">
          <cell r="I1159" t="str">
            <v xml:space="preserve">CONTRACTOR </v>
          </cell>
        </row>
        <row r="1160">
          <cell r="I1160" t="str">
            <v xml:space="preserve">CONTRACTOR </v>
          </cell>
        </row>
        <row r="1161">
          <cell r="I1161" t="str">
            <v xml:space="preserve">CONTRACTOR </v>
          </cell>
        </row>
        <row r="1162">
          <cell r="I1162" t="str">
            <v xml:space="preserve">CONTRACTOR </v>
          </cell>
        </row>
        <row r="1163">
          <cell r="I1163" t="str">
            <v>COMMERCIAL</v>
          </cell>
        </row>
        <row r="1164">
          <cell r="I1164" t="str">
            <v>COMMERCIAL</v>
          </cell>
        </row>
        <row r="1165">
          <cell r="I1165" t="str">
            <v>COMMERCIAL</v>
          </cell>
        </row>
        <row r="1166">
          <cell r="I1166" t="str">
            <v>COMMERCIAL</v>
          </cell>
        </row>
        <row r="1167">
          <cell r="I1167" t="str">
            <v>COMMERCIAL</v>
          </cell>
        </row>
        <row r="1168">
          <cell r="I1168" t="str">
            <v>COMMERCIAL</v>
          </cell>
        </row>
        <row r="1169">
          <cell r="I1169" t="str">
            <v>COMMERCIAL</v>
          </cell>
        </row>
        <row r="1170">
          <cell r="I1170" t="str">
            <v>COMMERCIAL</v>
          </cell>
        </row>
        <row r="1171">
          <cell r="I1171" t="str">
            <v>COMMERCIAL</v>
          </cell>
        </row>
        <row r="1172">
          <cell r="I1172" t="str">
            <v>COMMERCIAL</v>
          </cell>
        </row>
        <row r="1173">
          <cell r="I1173" t="str">
            <v>COMMERCIAL</v>
          </cell>
        </row>
        <row r="1174">
          <cell r="I1174" t="str">
            <v>COMMERCIAL</v>
          </cell>
        </row>
        <row r="1175">
          <cell r="I1175" t="str">
            <v>COMMERCIAL</v>
          </cell>
        </row>
        <row r="1176">
          <cell r="I1176" t="str">
            <v>COMMERCIAL</v>
          </cell>
        </row>
        <row r="1177">
          <cell r="I1177" t="str">
            <v>COMMERCIAL</v>
          </cell>
        </row>
        <row r="1178">
          <cell r="I1178" t="str">
            <v xml:space="preserve">CONTRACTOR </v>
          </cell>
        </row>
        <row r="1179">
          <cell r="I1179" t="str">
            <v>COMMERCIAL</v>
          </cell>
        </row>
        <row r="1180">
          <cell r="I1180" t="str">
            <v>CONTRACTOR</v>
          </cell>
        </row>
        <row r="1181">
          <cell r="I1181" t="str">
            <v>COMMERCIAL</v>
          </cell>
        </row>
        <row r="1182">
          <cell r="I1182" t="str">
            <v>COMMERCIAL</v>
          </cell>
        </row>
        <row r="1183">
          <cell r="I1183" t="str">
            <v>COMMERCIAL</v>
          </cell>
        </row>
        <row r="1184">
          <cell r="I1184" t="str">
            <v>COMMERCIAL</v>
          </cell>
        </row>
        <row r="1185">
          <cell r="I1185" t="str">
            <v>COMMERCIAL</v>
          </cell>
        </row>
        <row r="1186">
          <cell r="I1186" t="str">
            <v>CONTRACTOR</v>
          </cell>
        </row>
        <row r="1187">
          <cell r="I1187" t="str">
            <v>COMMERCIAL</v>
          </cell>
        </row>
        <row r="1188">
          <cell r="I1188" t="str">
            <v>COMMERCIAL</v>
          </cell>
        </row>
        <row r="1189">
          <cell r="I1189" t="str">
            <v>COMMERCIAL</v>
          </cell>
        </row>
        <row r="1190">
          <cell r="I1190" t="str">
            <v>CONTRACTOR</v>
          </cell>
        </row>
        <row r="1191">
          <cell r="I1191" t="str">
            <v>CONTRACTOR</v>
          </cell>
        </row>
        <row r="1192">
          <cell r="I1192" t="str">
            <v>CONTRACTOR</v>
          </cell>
        </row>
        <row r="1193">
          <cell r="I1193" t="str">
            <v>CONTRACTOR</v>
          </cell>
        </row>
        <row r="1194">
          <cell r="I1194" t="str">
            <v>COMMERCIAL</v>
          </cell>
        </row>
        <row r="1195">
          <cell r="I1195" t="str">
            <v>CONTRACTOR</v>
          </cell>
        </row>
        <row r="1196">
          <cell r="I1196" t="str">
            <v>CONTRACTOR</v>
          </cell>
        </row>
        <row r="1197">
          <cell r="I1197" t="str">
            <v>COMMERCIAL</v>
          </cell>
        </row>
        <row r="1198">
          <cell r="I1198" t="str">
            <v>COMMERCIAL</v>
          </cell>
        </row>
        <row r="1199">
          <cell r="I1199" t="str">
            <v>COMMERCIAL</v>
          </cell>
        </row>
        <row r="1200">
          <cell r="I1200" t="str">
            <v>CONTRACTOR</v>
          </cell>
        </row>
        <row r="1201">
          <cell r="I1201" t="str">
            <v>CONTRACTOR</v>
          </cell>
        </row>
        <row r="1202">
          <cell r="I1202" t="str">
            <v>COMMERCIAL</v>
          </cell>
        </row>
        <row r="1203">
          <cell r="I1203" t="str">
            <v>CONTRACTOR</v>
          </cell>
        </row>
        <row r="1204">
          <cell r="I1204" t="str">
            <v>COMMERCIAL</v>
          </cell>
        </row>
        <row r="1205">
          <cell r="I1205" t="str">
            <v>COMMERCIAL</v>
          </cell>
        </row>
        <row r="1206">
          <cell r="I1206" t="str">
            <v>COMMERCIAL</v>
          </cell>
        </row>
        <row r="1207">
          <cell r="I1207" t="str">
            <v>COMMERCIAL</v>
          </cell>
        </row>
        <row r="1208">
          <cell r="I1208" t="str">
            <v>COMMERCIAL</v>
          </cell>
        </row>
        <row r="1209">
          <cell r="I1209" t="str">
            <v>COMMERCIAL</v>
          </cell>
        </row>
        <row r="1210">
          <cell r="I1210" t="str">
            <v>CONTRACTOR</v>
          </cell>
        </row>
        <row r="1211">
          <cell r="I1211" t="str">
            <v>COMMERCIAL</v>
          </cell>
        </row>
        <row r="1212">
          <cell r="I1212" t="str">
            <v>CONTRACTOR</v>
          </cell>
        </row>
        <row r="1213">
          <cell r="I1213" t="str">
            <v>COMMERCIAL</v>
          </cell>
        </row>
        <row r="1214">
          <cell r="I1214" t="str">
            <v>COMMERCIAL</v>
          </cell>
        </row>
        <row r="1215">
          <cell r="I1215" t="str">
            <v>COMMERCIAL</v>
          </cell>
        </row>
        <row r="1216">
          <cell r="I1216" t="str">
            <v>CONTRACTOR</v>
          </cell>
        </row>
        <row r="1217">
          <cell r="I1217" t="str">
            <v>CONTRACTOR</v>
          </cell>
        </row>
        <row r="1218">
          <cell r="I1218" t="str">
            <v>CONTRACTOR</v>
          </cell>
        </row>
        <row r="1219">
          <cell r="I1219" t="str">
            <v>CONTRACTOR</v>
          </cell>
        </row>
        <row r="1220">
          <cell r="I1220" t="str">
            <v>COMMERCIAL</v>
          </cell>
        </row>
        <row r="1221">
          <cell r="I1221" t="str">
            <v>COMMERCIAL</v>
          </cell>
        </row>
        <row r="1222">
          <cell r="I1222" t="str">
            <v>COMMERCIAL</v>
          </cell>
        </row>
        <row r="1223">
          <cell r="I1223" t="str">
            <v>COMMERCIAL</v>
          </cell>
        </row>
        <row r="1224">
          <cell r="I1224" t="str">
            <v>CONTRACTOR</v>
          </cell>
        </row>
        <row r="1225">
          <cell r="I1225" t="str">
            <v>CONTRACTOR</v>
          </cell>
        </row>
        <row r="1226">
          <cell r="I1226" t="str">
            <v>CONTRACTOR</v>
          </cell>
        </row>
        <row r="1227">
          <cell r="I1227" t="str">
            <v>COMMERCIAL</v>
          </cell>
        </row>
        <row r="1228">
          <cell r="I1228" t="str">
            <v>COMMERCIAL</v>
          </cell>
        </row>
        <row r="1229">
          <cell r="I1229" t="str">
            <v>COMMERCIAL</v>
          </cell>
        </row>
        <row r="1230">
          <cell r="I1230" t="str">
            <v>COMMERCIAL</v>
          </cell>
        </row>
        <row r="1231">
          <cell r="I1231" t="str">
            <v>COMMERCIAL</v>
          </cell>
        </row>
        <row r="1232">
          <cell r="I1232" t="str">
            <v>COMMERCIAL</v>
          </cell>
        </row>
        <row r="1233">
          <cell r="I1233" t="str">
            <v>COMMERCIAL</v>
          </cell>
        </row>
        <row r="1234">
          <cell r="I1234" t="str">
            <v>CONTRACTOR</v>
          </cell>
        </row>
        <row r="1235">
          <cell r="I1235" t="str">
            <v>CONTRACTOR</v>
          </cell>
        </row>
        <row r="1236">
          <cell r="I1236" t="str">
            <v>COMMERCIAL</v>
          </cell>
        </row>
        <row r="1237">
          <cell r="I1237" t="str">
            <v>COMMERCIAL</v>
          </cell>
        </row>
        <row r="1238">
          <cell r="I1238" t="str">
            <v>COMMERCIAL</v>
          </cell>
        </row>
        <row r="1239">
          <cell r="I1239" t="str">
            <v>COMMERCIAL</v>
          </cell>
        </row>
        <row r="1240">
          <cell r="I1240" t="str">
            <v>COMMERCIAL</v>
          </cell>
        </row>
        <row r="1241">
          <cell r="I1241" t="str">
            <v>COMMERCIAL</v>
          </cell>
        </row>
        <row r="1242">
          <cell r="I1242" t="str">
            <v>COMMERCIAL</v>
          </cell>
        </row>
        <row r="1243">
          <cell r="I1243" t="str">
            <v>CONTRACTOR</v>
          </cell>
        </row>
        <row r="1244">
          <cell r="I1244" t="str">
            <v>CONTRACTOR</v>
          </cell>
        </row>
        <row r="1245">
          <cell r="I1245" t="str">
            <v>COMMERCIAL</v>
          </cell>
        </row>
        <row r="1246">
          <cell r="I1246" t="str">
            <v>CONTRACTOR</v>
          </cell>
        </row>
        <row r="1247">
          <cell r="I1247" t="str">
            <v>COMMERCIAL</v>
          </cell>
        </row>
        <row r="1248">
          <cell r="I1248" t="str">
            <v>COMMERCIAL</v>
          </cell>
        </row>
        <row r="1249">
          <cell r="I1249" t="str">
            <v>CONTRACTOR</v>
          </cell>
        </row>
        <row r="1250">
          <cell r="I1250" t="str">
            <v>COMMERCIAL</v>
          </cell>
        </row>
        <row r="1251">
          <cell r="I1251" t="str">
            <v>CONTRACTOR</v>
          </cell>
        </row>
        <row r="1252">
          <cell r="I1252" t="str">
            <v>COMMERCIAL</v>
          </cell>
        </row>
        <row r="1253">
          <cell r="I1253" t="str">
            <v>COMMERCIAL</v>
          </cell>
        </row>
        <row r="1254">
          <cell r="I1254" t="str">
            <v>CONTRACTOR</v>
          </cell>
        </row>
        <row r="1255">
          <cell r="I1255" t="str">
            <v>CONTRACTOR</v>
          </cell>
        </row>
        <row r="1256">
          <cell r="I1256" t="str">
            <v>CONTRACTOR</v>
          </cell>
        </row>
        <row r="1257">
          <cell r="I1257" t="str">
            <v>COMMERCIAL</v>
          </cell>
        </row>
        <row r="1258">
          <cell r="I1258" t="str">
            <v>CONTRACTOR</v>
          </cell>
        </row>
        <row r="1259">
          <cell r="I1259" t="str">
            <v>COMMERCIAL</v>
          </cell>
        </row>
        <row r="1260">
          <cell r="I1260" t="str">
            <v>CONTRACTOR</v>
          </cell>
        </row>
        <row r="1261">
          <cell r="I1261" t="str">
            <v>CONTRACTOR</v>
          </cell>
        </row>
        <row r="1262">
          <cell r="I1262" t="str">
            <v>COMMERCIAL</v>
          </cell>
        </row>
        <row r="1263">
          <cell r="I1263" t="str">
            <v>COMMERCIAL</v>
          </cell>
        </row>
        <row r="1264">
          <cell r="I1264" t="str">
            <v>CONTRACTOR</v>
          </cell>
        </row>
        <row r="1265">
          <cell r="I1265" t="str">
            <v>COMMERCIAL</v>
          </cell>
        </row>
        <row r="1266">
          <cell r="I1266" t="str">
            <v>COMMERCIAL</v>
          </cell>
        </row>
        <row r="1267">
          <cell r="I1267" t="str">
            <v>CONTRACTOR</v>
          </cell>
        </row>
        <row r="1268">
          <cell r="I1268" t="str">
            <v>COMMERCIAL</v>
          </cell>
        </row>
        <row r="1269">
          <cell r="I1269" t="str">
            <v>COMMERCIAL</v>
          </cell>
        </row>
        <row r="1270">
          <cell r="I1270" t="str">
            <v>COMMERCIAL</v>
          </cell>
        </row>
        <row r="1271">
          <cell r="I1271" t="str">
            <v>CONTRACTOR</v>
          </cell>
        </row>
        <row r="1272">
          <cell r="I1272" t="str">
            <v>COMMERCIAL</v>
          </cell>
        </row>
        <row r="1273">
          <cell r="I1273" t="str">
            <v>COMMERCIAL</v>
          </cell>
        </row>
        <row r="1274">
          <cell r="I1274" t="str">
            <v>COMMERCIAL</v>
          </cell>
        </row>
        <row r="1275">
          <cell r="I1275" t="str">
            <v>COMMERCIAL</v>
          </cell>
        </row>
        <row r="1276">
          <cell r="I1276" t="str">
            <v>CONTRACTOR</v>
          </cell>
        </row>
        <row r="1277">
          <cell r="I1277" t="str">
            <v>COMMERCIAL</v>
          </cell>
        </row>
        <row r="1278">
          <cell r="I1278" t="str">
            <v>COMMERCIAL</v>
          </cell>
        </row>
        <row r="1279">
          <cell r="I1279" t="str">
            <v>COMMERCIAL</v>
          </cell>
        </row>
        <row r="1280">
          <cell r="I1280" t="str">
            <v>CONTRACTOR</v>
          </cell>
        </row>
        <row r="1281">
          <cell r="I1281" t="str">
            <v>COMMERCIAL</v>
          </cell>
        </row>
        <row r="1282">
          <cell r="I1282" t="str">
            <v>COMMERCIAL</v>
          </cell>
        </row>
        <row r="1283">
          <cell r="I1283" t="str">
            <v>COMMERCIAL</v>
          </cell>
        </row>
        <row r="1284">
          <cell r="I1284" t="str">
            <v>COMMERCIAL</v>
          </cell>
        </row>
        <row r="1285">
          <cell r="I1285" t="str">
            <v>COMMERCIAL</v>
          </cell>
        </row>
        <row r="1286">
          <cell r="I1286" t="str">
            <v>COMMERCIAL</v>
          </cell>
        </row>
        <row r="1287">
          <cell r="I1287" t="str">
            <v>CONTRACTOR</v>
          </cell>
        </row>
        <row r="1288">
          <cell r="I1288" t="str">
            <v>COMMERCIAL</v>
          </cell>
        </row>
        <row r="1289">
          <cell r="I1289" t="str">
            <v>COMMERCIAL</v>
          </cell>
        </row>
        <row r="1290">
          <cell r="I1290" t="str">
            <v>COMMERCIAL</v>
          </cell>
        </row>
        <row r="1291">
          <cell r="I1291" t="str">
            <v>COMMERCIAL</v>
          </cell>
        </row>
        <row r="1292">
          <cell r="I1292" t="str">
            <v>COMMERCIAL</v>
          </cell>
        </row>
        <row r="1293">
          <cell r="I1293" t="str">
            <v>COMMERCIAL</v>
          </cell>
        </row>
        <row r="1294">
          <cell r="I1294" t="str">
            <v>COMMERCIAL</v>
          </cell>
        </row>
        <row r="1295">
          <cell r="I1295" t="str">
            <v>COMMERCIAL</v>
          </cell>
        </row>
        <row r="1296">
          <cell r="I1296" t="str">
            <v>COMMERCIAL</v>
          </cell>
        </row>
        <row r="1297">
          <cell r="I1297" t="str">
            <v>COMMERCIAL</v>
          </cell>
        </row>
        <row r="1298">
          <cell r="I1298" t="str">
            <v>COMMERCIAL</v>
          </cell>
        </row>
        <row r="1299">
          <cell r="I1299" t="str">
            <v>CONTRACTOR</v>
          </cell>
        </row>
        <row r="1300">
          <cell r="I1300" t="str">
            <v>COMMERCIAL</v>
          </cell>
        </row>
        <row r="1301">
          <cell r="I1301" t="str">
            <v>COMMERCIAL</v>
          </cell>
        </row>
        <row r="1302">
          <cell r="I1302" t="str">
            <v>COMMERCIAL</v>
          </cell>
        </row>
        <row r="1303">
          <cell r="I1303" t="str">
            <v>CONTRACTOR</v>
          </cell>
        </row>
        <row r="1304">
          <cell r="I1304" t="str">
            <v>COMMERCIAL</v>
          </cell>
        </row>
        <row r="1305">
          <cell r="I1305" t="str">
            <v>COMMERCIAL</v>
          </cell>
        </row>
        <row r="1306">
          <cell r="I1306" t="str">
            <v>CONTRACTOR</v>
          </cell>
        </row>
        <row r="1307">
          <cell r="I1307" t="str">
            <v>COMMERCIAL</v>
          </cell>
        </row>
        <row r="1308">
          <cell r="I1308" t="str">
            <v>COMMERCIAL</v>
          </cell>
        </row>
        <row r="1309">
          <cell r="I1309" t="str">
            <v>COMMERCIAL</v>
          </cell>
        </row>
        <row r="1310">
          <cell r="I1310" t="str">
            <v>COMMERCIAL</v>
          </cell>
        </row>
        <row r="1311">
          <cell r="I1311" t="str">
            <v>COMMERCIAL</v>
          </cell>
        </row>
        <row r="1312">
          <cell r="I1312" t="str">
            <v>COMMERCIAL</v>
          </cell>
        </row>
        <row r="1313">
          <cell r="I1313" t="str">
            <v>COMMERCIAL</v>
          </cell>
        </row>
        <row r="1314">
          <cell r="I1314" t="str">
            <v>CONTRACTOR</v>
          </cell>
        </row>
        <row r="1315">
          <cell r="I1315" t="str">
            <v>CONTRACTOR</v>
          </cell>
        </row>
        <row r="1316">
          <cell r="I1316" t="str">
            <v>COMMERCIAL</v>
          </cell>
        </row>
        <row r="1317">
          <cell r="I1317" t="str">
            <v>COMMERCIAL</v>
          </cell>
        </row>
        <row r="1318">
          <cell r="I1318" t="str">
            <v>COMMERCIAL</v>
          </cell>
        </row>
        <row r="1319">
          <cell r="I1319" t="str">
            <v>CONTRACTOR</v>
          </cell>
        </row>
        <row r="1320">
          <cell r="I1320" t="str">
            <v>COMMERCIAL</v>
          </cell>
        </row>
        <row r="1321">
          <cell r="I1321" t="str">
            <v>CONTRACTOR</v>
          </cell>
        </row>
        <row r="1322">
          <cell r="I1322" t="str">
            <v>COMMERCIAL</v>
          </cell>
        </row>
        <row r="1323">
          <cell r="I1323" t="str">
            <v>COMMERCIAL</v>
          </cell>
        </row>
        <row r="1324">
          <cell r="I1324" t="str">
            <v>CONTRACTOR</v>
          </cell>
        </row>
        <row r="1325">
          <cell r="I1325" t="str">
            <v>COMMERCIAL</v>
          </cell>
        </row>
        <row r="1326">
          <cell r="I1326" t="str">
            <v>COMMERCIAL</v>
          </cell>
        </row>
        <row r="1327">
          <cell r="I1327" t="str">
            <v>CONTRACTOR</v>
          </cell>
        </row>
        <row r="1328">
          <cell r="I1328" t="str">
            <v>CONTRACTOR</v>
          </cell>
        </row>
        <row r="1329">
          <cell r="I1329" t="str">
            <v>COMMERCIAL</v>
          </cell>
        </row>
        <row r="1330">
          <cell r="I1330" t="str">
            <v>COMMERCIAL</v>
          </cell>
        </row>
        <row r="1331">
          <cell r="I1331" t="str">
            <v>COMMERCIAL</v>
          </cell>
        </row>
        <row r="1332">
          <cell r="I1332" t="str">
            <v>COMMERCIAL</v>
          </cell>
        </row>
        <row r="1333">
          <cell r="I1333" t="str">
            <v>COMMERCIAL</v>
          </cell>
        </row>
        <row r="1334">
          <cell r="I1334" t="str">
            <v>COMMERCIAL</v>
          </cell>
        </row>
        <row r="1335">
          <cell r="I1335" t="str">
            <v>CONTRACTER</v>
          </cell>
        </row>
        <row r="1336">
          <cell r="I1336" t="str">
            <v>COMMERCIAL</v>
          </cell>
        </row>
        <row r="1337">
          <cell r="I1337" t="str">
            <v>CONTRACTOR</v>
          </cell>
        </row>
        <row r="1338">
          <cell r="I1338" t="str">
            <v>CONTRACTOR</v>
          </cell>
        </row>
        <row r="1339">
          <cell r="I1339" t="str">
            <v>CONTRACTOR</v>
          </cell>
        </row>
        <row r="1340">
          <cell r="I1340" t="str">
            <v>COMMERCIAL</v>
          </cell>
        </row>
        <row r="1341">
          <cell r="I1341" t="str">
            <v>COMMERCIAL</v>
          </cell>
        </row>
        <row r="1342">
          <cell r="I1342" t="str">
            <v>COMMERCIAL</v>
          </cell>
        </row>
        <row r="1343">
          <cell r="I1343" t="str">
            <v>COMMERCIAL</v>
          </cell>
        </row>
        <row r="1344">
          <cell r="I1344" t="str">
            <v>COMMERCIAL</v>
          </cell>
        </row>
        <row r="1345">
          <cell r="I1345" t="str">
            <v>COMMERCIAL</v>
          </cell>
        </row>
        <row r="1346">
          <cell r="I1346" t="str">
            <v>COMMERCIAL</v>
          </cell>
        </row>
        <row r="1347">
          <cell r="I1347" t="str">
            <v>COMMERCIAL</v>
          </cell>
        </row>
        <row r="1348">
          <cell r="I1348" t="str">
            <v>COMMERCIAL</v>
          </cell>
        </row>
        <row r="1349">
          <cell r="I1349" t="str">
            <v>COMMERCIAL</v>
          </cell>
        </row>
        <row r="1350">
          <cell r="I1350" t="str">
            <v>CONTRACTOR</v>
          </cell>
        </row>
        <row r="1351">
          <cell r="I1351" t="str">
            <v>CONTRACTOR</v>
          </cell>
        </row>
        <row r="1352">
          <cell r="I1352" t="str">
            <v>COMMERCIAL</v>
          </cell>
        </row>
        <row r="1353">
          <cell r="I1353" t="str">
            <v>COMMERCIAL</v>
          </cell>
        </row>
        <row r="1354">
          <cell r="I1354" t="str">
            <v>COMMERCIAL</v>
          </cell>
        </row>
        <row r="1355">
          <cell r="I1355" t="str">
            <v>COMMERCIAL</v>
          </cell>
        </row>
        <row r="1356">
          <cell r="I1356" t="str">
            <v>COMMERCIAL</v>
          </cell>
        </row>
        <row r="1357">
          <cell r="I1357" t="str">
            <v>COMMERCIAL</v>
          </cell>
        </row>
        <row r="1358">
          <cell r="I1358" t="str">
            <v>COMMERCIAL</v>
          </cell>
        </row>
        <row r="1359">
          <cell r="I1359" t="str">
            <v>COMMERCIAL</v>
          </cell>
        </row>
        <row r="1360">
          <cell r="I1360" t="str">
            <v>CONTRACTOR</v>
          </cell>
        </row>
        <row r="1361">
          <cell r="I1361" t="str">
            <v>COMMERCIAL</v>
          </cell>
        </row>
        <row r="1362">
          <cell r="I1362" t="str">
            <v>CONTRACTOR</v>
          </cell>
        </row>
        <row r="1363">
          <cell r="I1363" t="str">
            <v>CONTRACTOR</v>
          </cell>
        </row>
        <row r="1364">
          <cell r="I1364" t="str">
            <v>COMMERCIAL</v>
          </cell>
        </row>
        <row r="1365">
          <cell r="I1365" t="str">
            <v>COMMERCIAL</v>
          </cell>
        </row>
        <row r="1366">
          <cell r="I1366" t="str">
            <v>COMMERCIAL</v>
          </cell>
        </row>
        <row r="1367">
          <cell r="I1367" t="str">
            <v>COMMERCIAL</v>
          </cell>
        </row>
        <row r="1368">
          <cell r="I1368" t="str">
            <v>COMMERCIAL</v>
          </cell>
        </row>
        <row r="1369">
          <cell r="I1369" t="str">
            <v>COMMERCIAL</v>
          </cell>
        </row>
        <row r="1370">
          <cell r="I1370" t="str">
            <v>COMMERCIAL</v>
          </cell>
        </row>
        <row r="1371">
          <cell r="I1371" t="str">
            <v>COMMERCIAL</v>
          </cell>
        </row>
        <row r="1372">
          <cell r="I1372" t="str">
            <v>COMMERCIAL</v>
          </cell>
        </row>
        <row r="1373">
          <cell r="I1373" t="str">
            <v>CONTRACTOR</v>
          </cell>
        </row>
        <row r="1374">
          <cell r="I1374" t="str">
            <v>COMMERCIAL</v>
          </cell>
        </row>
        <row r="1375">
          <cell r="I1375" t="str">
            <v>COMMERCIAL</v>
          </cell>
        </row>
        <row r="1376">
          <cell r="I1376" t="str">
            <v>CONTRACTOR</v>
          </cell>
        </row>
        <row r="1377">
          <cell r="I1377" t="str">
            <v>CONTRACTOR</v>
          </cell>
        </row>
        <row r="1378">
          <cell r="I1378" t="str">
            <v>CONTRACTOR</v>
          </cell>
        </row>
        <row r="1379">
          <cell r="I1379" t="str">
            <v>CONTRACTOR</v>
          </cell>
        </row>
        <row r="1380">
          <cell r="I1380" t="str">
            <v>COMMERCIAL</v>
          </cell>
        </row>
        <row r="1381">
          <cell r="I1381" t="str">
            <v>COMMERCIAL</v>
          </cell>
        </row>
        <row r="1382">
          <cell r="I1382" t="str">
            <v>CONTRACTOR</v>
          </cell>
        </row>
        <row r="1383">
          <cell r="I1383" t="str">
            <v>COMMERCIAL</v>
          </cell>
        </row>
        <row r="1384">
          <cell r="I1384" t="str">
            <v>COMMERCIAL</v>
          </cell>
        </row>
        <row r="1385">
          <cell r="I1385" t="str">
            <v>COMMERCIAL</v>
          </cell>
        </row>
        <row r="1386">
          <cell r="I1386" t="str">
            <v>COMMERCIAL</v>
          </cell>
        </row>
        <row r="1387">
          <cell r="I1387" t="str">
            <v>COMMERCIAL</v>
          </cell>
        </row>
        <row r="1388">
          <cell r="I1388" t="str">
            <v>COMMERCIAL</v>
          </cell>
        </row>
        <row r="1389">
          <cell r="I1389" t="str">
            <v>COMMERCIAL</v>
          </cell>
        </row>
        <row r="1390">
          <cell r="I1390" t="str">
            <v>COMMERCIAL</v>
          </cell>
        </row>
        <row r="1391">
          <cell r="I1391" t="str">
            <v>COMMERCIAL</v>
          </cell>
        </row>
        <row r="1392">
          <cell r="I1392" t="str">
            <v>CONTRACTOR</v>
          </cell>
        </row>
        <row r="1393">
          <cell r="I1393" t="str">
            <v>COMMERCIAL</v>
          </cell>
        </row>
        <row r="1394">
          <cell r="I1394" t="str">
            <v>COMMERCIAL</v>
          </cell>
        </row>
        <row r="1395">
          <cell r="I1395" t="str">
            <v>COMMERCIAL</v>
          </cell>
        </row>
        <row r="1396">
          <cell r="I1396" t="str">
            <v>COMMERCIAL</v>
          </cell>
        </row>
        <row r="1397">
          <cell r="I1397" t="str">
            <v>COMMERCIAL</v>
          </cell>
        </row>
        <row r="1398">
          <cell r="I1398" t="str">
            <v>COMMERCIAL</v>
          </cell>
        </row>
        <row r="1399">
          <cell r="I1399" t="str">
            <v>CONTRACTOR</v>
          </cell>
        </row>
        <row r="1400">
          <cell r="I1400" t="str">
            <v>CONTRACTOR</v>
          </cell>
        </row>
        <row r="1401">
          <cell r="I1401" t="str">
            <v>COMMERCIAL</v>
          </cell>
        </row>
        <row r="1402">
          <cell r="I1402" t="str">
            <v>COMMERCIAL</v>
          </cell>
        </row>
        <row r="1403">
          <cell r="I1403" t="str">
            <v>COMMERCIAL</v>
          </cell>
        </row>
        <row r="1404">
          <cell r="I1404" t="str">
            <v>COMMERCIAL</v>
          </cell>
        </row>
        <row r="1405">
          <cell r="I1405" t="str">
            <v>CONTRACTOR</v>
          </cell>
        </row>
        <row r="1406">
          <cell r="I1406" t="str">
            <v>COMMERCIAL</v>
          </cell>
        </row>
        <row r="1407">
          <cell r="I1407" t="str">
            <v>CONTRACTOR</v>
          </cell>
        </row>
        <row r="1408">
          <cell r="I1408" t="str">
            <v>COMMERCIAL</v>
          </cell>
        </row>
        <row r="1409">
          <cell r="I1409" t="str">
            <v>COMMERCIAL</v>
          </cell>
        </row>
        <row r="1410">
          <cell r="I1410" t="str">
            <v>CONTRACTOR</v>
          </cell>
        </row>
        <row r="1411">
          <cell r="I1411" t="str">
            <v>COMMERCIAL</v>
          </cell>
        </row>
        <row r="1412">
          <cell r="I1412" t="str">
            <v>COMMERCIAL</v>
          </cell>
        </row>
        <row r="1413">
          <cell r="I1413" t="str">
            <v>COMMERCIAL</v>
          </cell>
        </row>
        <row r="1414">
          <cell r="I1414" t="str">
            <v>CONTRACTOR</v>
          </cell>
        </row>
        <row r="1415">
          <cell r="I1415" t="str">
            <v>CONTRACTOR</v>
          </cell>
        </row>
        <row r="1416">
          <cell r="I1416" t="str">
            <v>COMMERCIAL</v>
          </cell>
        </row>
        <row r="1417">
          <cell r="I1417" t="str">
            <v>COMMERCIAL</v>
          </cell>
        </row>
        <row r="1418">
          <cell r="I1418" t="str">
            <v>COMMERCIAL</v>
          </cell>
        </row>
        <row r="1419">
          <cell r="I1419" t="str">
            <v>CONTRACTOR</v>
          </cell>
        </row>
        <row r="1420">
          <cell r="I1420" t="str">
            <v>CONTRACTOR</v>
          </cell>
        </row>
        <row r="1421">
          <cell r="I1421" t="str">
            <v>COMMERCIAL</v>
          </cell>
        </row>
        <row r="1422">
          <cell r="I1422" t="str">
            <v>COMMERCIAL</v>
          </cell>
        </row>
        <row r="1423">
          <cell r="I1423" t="str">
            <v>COMMERCIAL</v>
          </cell>
        </row>
        <row r="1424">
          <cell r="I1424" t="str">
            <v>COMMERCIAL</v>
          </cell>
        </row>
        <row r="1425">
          <cell r="I1425" t="str">
            <v>COMMERCIAL</v>
          </cell>
        </row>
        <row r="1426">
          <cell r="I1426" t="str">
            <v>CONTRACTOR</v>
          </cell>
        </row>
        <row r="1427">
          <cell r="I1427" t="str">
            <v>COMMERCIAL</v>
          </cell>
        </row>
        <row r="1428">
          <cell r="I1428" t="str">
            <v>CONTRACTOR</v>
          </cell>
        </row>
        <row r="1429">
          <cell r="I1429" t="str">
            <v>CONTRACTOR</v>
          </cell>
        </row>
        <row r="1430">
          <cell r="I1430" t="str">
            <v>CONTRACTOR</v>
          </cell>
        </row>
        <row r="1431">
          <cell r="I1431" t="str">
            <v>COMMERCIAL</v>
          </cell>
        </row>
        <row r="1432">
          <cell r="I1432" t="str">
            <v>COMMERCIAL</v>
          </cell>
        </row>
        <row r="1433">
          <cell r="I1433" t="str">
            <v>COMMERCIAL</v>
          </cell>
        </row>
        <row r="1434">
          <cell r="I1434" t="str">
            <v>CONTRACTOR</v>
          </cell>
        </row>
        <row r="1435">
          <cell r="I1435" t="str">
            <v>COMMERCIAL</v>
          </cell>
        </row>
        <row r="1436">
          <cell r="I1436" t="str">
            <v>CONTRACTOR</v>
          </cell>
        </row>
        <row r="1437">
          <cell r="I1437" t="str">
            <v>COMMERCIAL</v>
          </cell>
        </row>
        <row r="1438">
          <cell r="I1438" t="str">
            <v>COMMERCIAL</v>
          </cell>
        </row>
        <row r="1439">
          <cell r="I1439" t="str">
            <v>COMMERCIAL</v>
          </cell>
        </row>
        <row r="1440">
          <cell r="I1440" t="str">
            <v>COMMERCIAL</v>
          </cell>
        </row>
        <row r="1441">
          <cell r="I1441" t="str">
            <v>COMMERCIAL</v>
          </cell>
        </row>
        <row r="1442">
          <cell r="I1442" t="str">
            <v>COMMERCIAL</v>
          </cell>
        </row>
        <row r="1443">
          <cell r="I1443" t="str">
            <v>COMMERCIAL</v>
          </cell>
        </row>
        <row r="1444">
          <cell r="I1444" t="str">
            <v>COMMERCIAL</v>
          </cell>
        </row>
        <row r="1445">
          <cell r="I1445" t="str">
            <v>COMMERCIAL</v>
          </cell>
        </row>
        <row r="1446">
          <cell r="I1446" t="str">
            <v>COMMERCIAL</v>
          </cell>
        </row>
        <row r="1447">
          <cell r="I1447" t="str">
            <v>CONTRACTOR</v>
          </cell>
        </row>
        <row r="1448">
          <cell r="I1448" t="str">
            <v>CONTRACTOR</v>
          </cell>
        </row>
        <row r="1449">
          <cell r="I1449" t="str">
            <v>COMMERCIAL</v>
          </cell>
        </row>
        <row r="1450">
          <cell r="I1450" t="str">
            <v>COMMERICAL</v>
          </cell>
        </row>
        <row r="1451">
          <cell r="I1451" t="str">
            <v>CONTRACTOR</v>
          </cell>
        </row>
        <row r="1452">
          <cell r="I1452" t="str">
            <v>COMMERICAL</v>
          </cell>
        </row>
        <row r="1453">
          <cell r="I1453" t="str">
            <v>CONTRACTOR</v>
          </cell>
        </row>
        <row r="1454">
          <cell r="I1454" t="str">
            <v>COMMERICAL</v>
          </cell>
        </row>
        <row r="1455">
          <cell r="I1455" t="str">
            <v>CONTRACTOR</v>
          </cell>
        </row>
        <row r="1456">
          <cell r="I1456" t="str">
            <v>COMMERICAL</v>
          </cell>
        </row>
        <row r="1457">
          <cell r="I1457" t="str">
            <v>COMMERICAL</v>
          </cell>
        </row>
        <row r="1458">
          <cell r="I1458" t="str">
            <v>COMMERICAL</v>
          </cell>
        </row>
        <row r="1459">
          <cell r="I1459" t="str">
            <v>CONTRACTOR</v>
          </cell>
        </row>
        <row r="1460">
          <cell r="I1460" t="str">
            <v>COMMERICAL</v>
          </cell>
        </row>
        <row r="1461">
          <cell r="I1461" t="str">
            <v>COMMERICAL</v>
          </cell>
        </row>
        <row r="1462">
          <cell r="I1462" t="str">
            <v>COMMERICAL</v>
          </cell>
        </row>
        <row r="1463">
          <cell r="I1463" t="str">
            <v>CONTRACTOR</v>
          </cell>
        </row>
        <row r="1464">
          <cell r="I1464" t="str">
            <v>CONTRACTOR</v>
          </cell>
        </row>
        <row r="1465">
          <cell r="I1465" t="str">
            <v>COMMERICAL</v>
          </cell>
        </row>
        <row r="1466">
          <cell r="I1466" t="str">
            <v>CONTRACTOR</v>
          </cell>
        </row>
        <row r="1467">
          <cell r="I1467" t="str">
            <v>CONTRACTOR</v>
          </cell>
        </row>
        <row r="1468">
          <cell r="I1468" t="str">
            <v>CONTRACTOR</v>
          </cell>
        </row>
        <row r="1469">
          <cell r="I1469" t="str">
            <v>CONTRACTOR</v>
          </cell>
        </row>
        <row r="1470">
          <cell r="I1470" t="str">
            <v>COMMERICAL</v>
          </cell>
        </row>
        <row r="1471">
          <cell r="I1471" t="str">
            <v>COMMERICAL</v>
          </cell>
        </row>
        <row r="1472">
          <cell r="I1472" t="str">
            <v>COMMERCIAL</v>
          </cell>
        </row>
        <row r="1473">
          <cell r="I1473" t="str">
            <v>COMMERCIAL</v>
          </cell>
        </row>
        <row r="1474">
          <cell r="I1474" t="str">
            <v>COMMERCIAL</v>
          </cell>
        </row>
        <row r="1475">
          <cell r="I1475" t="str">
            <v>COMMERCIAL</v>
          </cell>
        </row>
        <row r="1476">
          <cell r="I1476" t="str">
            <v>COMMERCIAL</v>
          </cell>
        </row>
        <row r="1477">
          <cell r="I1477" t="str">
            <v>COMMERICAL</v>
          </cell>
        </row>
        <row r="1478">
          <cell r="I1478" t="str">
            <v>COMMERICAL</v>
          </cell>
        </row>
        <row r="1479">
          <cell r="I1479" t="str">
            <v>COMMERICAL</v>
          </cell>
        </row>
        <row r="1480">
          <cell r="I1480" t="str">
            <v>COMMERICAL</v>
          </cell>
        </row>
        <row r="1481">
          <cell r="I1481" t="str">
            <v>CONTRACTOR</v>
          </cell>
        </row>
        <row r="1482">
          <cell r="I1482" t="str">
            <v>COMMERCIAL</v>
          </cell>
        </row>
        <row r="1483">
          <cell r="I1483" t="str">
            <v>CONTRACTOR</v>
          </cell>
        </row>
        <row r="1484">
          <cell r="I1484" t="str">
            <v>COMMERCIAL</v>
          </cell>
        </row>
        <row r="1485">
          <cell r="I1485" t="str">
            <v>CONTRACTOR</v>
          </cell>
        </row>
        <row r="1486">
          <cell r="I1486" t="str">
            <v>CONTRACTOR</v>
          </cell>
        </row>
        <row r="1487">
          <cell r="I1487" t="str">
            <v>CONTRACTOR</v>
          </cell>
        </row>
        <row r="1488">
          <cell r="I1488" t="str">
            <v>COMMERICAL</v>
          </cell>
        </row>
        <row r="1489">
          <cell r="I1489" t="str">
            <v>COMMERICAL</v>
          </cell>
        </row>
        <row r="1490">
          <cell r="I1490" t="str">
            <v>COMMERICAL</v>
          </cell>
        </row>
        <row r="1491">
          <cell r="I1491" t="str">
            <v>COMMERICAL</v>
          </cell>
        </row>
        <row r="1492">
          <cell r="I1492" t="str">
            <v>COMMERCIAL</v>
          </cell>
        </row>
        <row r="1493">
          <cell r="I1493" t="str">
            <v>COMMERCIAL</v>
          </cell>
        </row>
        <row r="1494">
          <cell r="I1494" t="str">
            <v>COMMERCIAL</v>
          </cell>
        </row>
        <row r="1495">
          <cell r="I1495" t="str">
            <v>COMMERCIAL</v>
          </cell>
        </row>
        <row r="1496">
          <cell r="I1496" t="str">
            <v>COMMERCIAL</v>
          </cell>
        </row>
        <row r="1497">
          <cell r="I1497" t="str">
            <v>COMMERCIAL</v>
          </cell>
        </row>
        <row r="1498">
          <cell r="I1498" t="str">
            <v>CONTRACTOR</v>
          </cell>
        </row>
        <row r="1499">
          <cell r="I1499" t="str">
            <v>CONTRACTOR</v>
          </cell>
        </row>
        <row r="1500">
          <cell r="I1500" t="str">
            <v>COMMERCIAL</v>
          </cell>
        </row>
        <row r="1501">
          <cell r="I1501" t="str">
            <v>COMMERCIAL</v>
          </cell>
        </row>
        <row r="1502">
          <cell r="I1502" t="str">
            <v>CONTRACTOR</v>
          </cell>
        </row>
        <row r="1503">
          <cell r="I1503" t="str">
            <v>COMMERCIAL</v>
          </cell>
        </row>
        <row r="1504">
          <cell r="I1504" t="str">
            <v>CONTRACTOR</v>
          </cell>
        </row>
        <row r="1505">
          <cell r="I1505" t="str">
            <v>COMMERCIAL</v>
          </cell>
        </row>
        <row r="1506">
          <cell r="I1506" t="str">
            <v>CONTRACTOR</v>
          </cell>
        </row>
        <row r="1507">
          <cell r="I1507" t="str">
            <v>CONTRACTOR</v>
          </cell>
        </row>
        <row r="1508">
          <cell r="I1508" t="str">
            <v>CONTRACTOR</v>
          </cell>
        </row>
        <row r="1509">
          <cell r="I1509" t="str">
            <v>COMMERCIAL</v>
          </cell>
        </row>
        <row r="1510">
          <cell r="I1510" t="str">
            <v>COMMERCIAL</v>
          </cell>
        </row>
        <row r="1511">
          <cell r="I1511" t="str">
            <v>COMMERCIAL</v>
          </cell>
        </row>
        <row r="1512">
          <cell r="I1512" t="str">
            <v>CONTRACTOR</v>
          </cell>
        </row>
        <row r="1513">
          <cell r="I1513" t="str">
            <v>CONTRACTOR</v>
          </cell>
        </row>
        <row r="1514">
          <cell r="I1514" t="str">
            <v>COMMERCIAL</v>
          </cell>
        </row>
        <row r="1515">
          <cell r="I1515" t="str">
            <v>CONTRACTOR</v>
          </cell>
        </row>
        <row r="1516">
          <cell r="I1516" t="str">
            <v>COMMERCIAL</v>
          </cell>
        </row>
        <row r="1517">
          <cell r="I1517" t="str">
            <v>COMMERCIAL</v>
          </cell>
        </row>
        <row r="1518">
          <cell r="I1518" t="str">
            <v>COMMERCIAL</v>
          </cell>
        </row>
        <row r="1519">
          <cell r="I1519" t="str">
            <v>COMMERCIAL</v>
          </cell>
        </row>
        <row r="1520">
          <cell r="I1520" t="str">
            <v>COMMERCIAL</v>
          </cell>
        </row>
        <row r="1521">
          <cell r="I1521" t="str">
            <v>COMMERCIAL</v>
          </cell>
        </row>
        <row r="1522">
          <cell r="I1522" t="str">
            <v>CONTRACTOR</v>
          </cell>
        </row>
        <row r="1523">
          <cell r="I1523" t="str">
            <v>CONTRACTOR</v>
          </cell>
        </row>
        <row r="1524">
          <cell r="I1524" t="str">
            <v>CONTRACTOR</v>
          </cell>
        </row>
        <row r="1525">
          <cell r="I1525" t="str">
            <v>COMMERCIAL</v>
          </cell>
        </row>
        <row r="1526">
          <cell r="I1526" t="str">
            <v>CONTRACTOR</v>
          </cell>
        </row>
        <row r="1527">
          <cell r="I1527" t="str">
            <v>COMMERCIAL</v>
          </cell>
        </row>
        <row r="1528">
          <cell r="I1528" t="str">
            <v>COMMERCIAL</v>
          </cell>
        </row>
        <row r="1529">
          <cell r="I1529" t="str">
            <v>CONTRACTOR</v>
          </cell>
        </row>
        <row r="1530">
          <cell r="I1530" t="str">
            <v>COMMERCIAL</v>
          </cell>
        </row>
        <row r="1531">
          <cell r="I1531" t="str">
            <v>COMMERCIAL</v>
          </cell>
        </row>
        <row r="1532">
          <cell r="I1532" t="str">
            <v>CONTRACTOR</v>
          </cell>
        </row>
        <row r="1533">
          <cell r="I1533" t="str">
            <v>CONTRACTOR</v>
          </cell>
        </row>
        <row r="1534">
          <cell r="I1534" t="str">
            <v>COMMERCIAL</v>
          </cell>
        </row>
        <row r="1535">
          <cell r="I1535" t="str">
            <v>COMMERCIAL</v>
          </cell>
        </row>
        <row r="1536">
          <cell r="I1536" t="str">
            <v>COMMERCIAL</v>
          </cell>
        </row>
        <row r="1537">
          <cell r="I1537" t="str">
            <v>COMMERCIAL</v>
          </cell>
        </row>
        <row r="1538">
          <cell r="I1538" t="str">
            <v>CONTRACTOR</v>
          </cell>
        </row>
        <row r="1539">
          <cell r="I1539" t="str">
            <v>COMMERCIAL</v>
          </cell>
        </row>
        <row r="1540">
          <cell r="I1540" t="str">
            <v>COMMERCIAL</v>
          </cell>
        </row>
        <row r="1541">
          <cell r="I1541" t="str">
            <v>COMMERCIAL</v>
          </cell>
        </row>
        <row r="1542">
          <cell r="I1542" t="str">
            <v>COMMERCIAL</v>
          </cell>
        </row>
        <row r="1543">
          <cell r="I1543" t="str">
            <v>COMMERICAL</v>
          </cell>
        </row>
        <row r="1544">
          <cell r="I1544" t="str">
            <v>COMMERICAL</v>
          </cell>
        </row>
        <row r="1545">
          <cell r="I1545" t="str">
            <v>COMMERCIAL</v>
          </cell>
        </row>
        <row r="1546">
          <cell r="I1546" t="str">
            <v>COMMERCIAL</v>
          </cell>
        </row>
        <row r="1547">
          <cell r="I1547" t="str">
            <v>COMMERICAL</v>
          </cell>
        </row>
        <row r="1548">
          <cell r="I1548" t="str">
            <v>COMMERCIAL</v>
          </cell>
        </row>
        <row r="1549">
          <cell r="I1549" t="str">
            <v>COMMERCIAL</v>
          </cell>
        </row>
        <row r="1550">
          <cell r="I1550" t="str">
            <v>CONTRACTOR</v>
          </cell>
        </row>
        <row r="1551">
          <cell r="I1551" t="str">
            <v>CONTRACTOR</v>
          </cell>
        </row>
        <row r="1552">
          <cell r="I1552" t="str">
            <v>CONTRACTOR</v>
          </cell>
        </row>
        <row r="1553">
          <cell r="I1553" t="str">
            <v>CONTRACTOR</v>
          </cell>
        </row>
        <row r="1554">
          <cell r="I1554" t="str">
            <v>CONTRACTOR</v>
          </cell>
        </row>
        <row r="1555">
          <cell r="I1555" t="str">
            <v>COMMERCIAL</v>
          </cell>
        </row>
        <row r="1556">
          <cell r="I1556" t="str">
            <v>COMMERCIAL</v>
          </cell>
        </row>
        <row r="1557">
          <cell r="I1557" t="str">
            <v>COMMERCIAL</v>
          </cell>
        </row>
        <row r="1558">
          <cell r="I1558" t="str">
            <v>CONTRACTOR</v>
          </cell>
        </row>
        <row r="1559">
          <cell r="I1559" t="str">
            <v>CONTRACTOR</v>
          </cell>
        </row>
        <row r="1560">
          <cell r="I1560" t="str">
            <v>COMMERCIAL</v>
          </cell>
        </row>
        <row r="1561">
          <cell r="I1561" t="str">
            <v>COMMERCIAL</v>
          </cell>
        </row>
        <row r="1562">
          <cell r="I1562" t="str">
            <v>COMMERCIAL</v>
          </cell>
        </row>
        <row r="1563">
          <cell r="I1563" t="str">
            <v>COMMERCIAL</v>
          </cell>
        </row>
        <row r="1564">
          <cell r="I1564" t="str">
            <v>COMMERCIAL</v>
          </cell>
        </row>
        <row r="1565">
          <cell r="I1565" t="str">
            <v>CONTRACTOR</v>
          </cell>
        </row>
        <row r="1566">
          <cell r="I1566" t="str">
            <v>CONTRACTOR</v>
          </cell>
        </row>
        <row r="1567">
          <cell r="I1567" t="str">
            <v>COMMERCIAL</v>
          </cell>
        </row>
        <row r="1568">
          <cell r="I1568" t="str">
            <v>COMMERCIAL</v>
          </cell>
        </row>
        <row r="1569">
          <cell r="I1569" t="str">
            <v>COMMERCIAL</v>
          </cell>
        </row>
        <row r="1570">
          <cell r="I1570" t="str">
            <v>COMMERCIAL</v>
          </cell>
        </row>
        <row r="1571">
          <cell r="I1571" t="str">
            <v>COMMERCIAL</v>
          </cell>
        </row>
        <row r="1572">
          <cell r="I1572" t="str">
            <v>COMMERCIAL</v>
          </cell>
        </row>
        <row r="1573">
          <cell r="I1573" t="str">
            <v>COMMERCIAL</v>
          </cell>
        </row>
        <row r="1574">
          <cell r="I1574" t="str">
            <v>COMMERCIAL</v>
          </cell>
        </row>
        <row r="1575">
          <cell r="I1575" t="str">
            <v>COMMERCIAL</v>
          </cell>
        </row>
        <row r="1576">
          <cell r="I1576" t="str">
            <v>CONTRACTOR</v>
          </cell>
        </row>
        <row r="1577">
          <cell r="I1577" t="str">
            <v>COMMERCIAL</v>
          </cell>
        </row>
        <row r="1578">
          <cell r="I1578" t="str">
            <v>CONTRACTOR</v>
          </cell>
        </row>
        <row r="1579">
          <cell r="I1579" t="str">
            <v>COMMERCIAL</v>
          </cell>
        </row>
        <row r="1580">
          <cell r="I1580" t="str">
            <v>CONTRACTOR</v>
          </cell>
        </row>
        <row r="1581">
          <cell r="I1581" t="str">
            <v>COMMERCIAL</v>
          </cell>
        </row>
        <row r="1582">
          <cell r="I1582" t="str">
            <v>CONTRACTOR</v>
          </cell>
        </row>
        <row r="1583">
          <cell r="I1583" t="str">
            <v>CONTRACTOR</v>
          </cell>
        </row>
        <row r="1584">
          <cell r="I1584" t="str">
            <v>CONTRACTOR</v>
          </cell>
        </row>
        <row r="1585">
          <cell r="I1585" t="str">
            <v>COMMERCIAL</v>
          </cell>
        </row>
        <row r="1586">
          <cell r="I1586" t="str">
            <v>CONTRACTOR</v>
          </cell>
        </row>
        <row r="1587">
          <cell r="I1587" t="str">
            <v>COMMERICAL</v>
          </cell>
        </row>
        <row r="1588">
          <cell r="I1588" t="str">
            <v>CONTRACTOR</v>
          </cell>
        </row>
        <row r="1589">
          <cell r="I1589" t="str">
            <v>COMMERICAL</v>
          </cell>
        </row>
        <row r="1590">
          <cell r="I1590" t="str">
            <v>COMMERICAL</v>
          </cell>
        </row>
        <row r="1591">
          <cell r="I1591" t="str">
            <v>COMMERICAL</v>
          </cell>
        </row>
        <row r="1592">
          <cell r="I1592" t="str">
            <v>COMMERICAL</v>
          </cell>
        </row>
        <row r="1593">
          <cell r="I1593" t="str">
            <v>CONTRACTOR</v>
          </cell>
        </row>
        <row r="1594">
          <cell r="I1594" t="str">
            <v>CONTRACTOR</v>
          </cell>
        </row>
        <row r="1595">
          <cell r="I1595" t="str">
            <v>COMMERICAL</v>
          </cell>
        </row>
        <row r="1596">
          <cell r="I1596" t="str">
            <v>COMMERICAL</v>
          </cell>
        </row>
        <row r="1597">
          <cell r="I1597" t="str">
            <v>CONTRACTOR</v>
          </cell>
        </row>
        <row r="1598">
          <cell r="I1598" t="str">
            <v>COMMERICAL</v>
          </cell>
        </row>
        <row r="1599">
          <cell r="I1599" t="str">
            <v>CONTRACTOR</v>
          </cell>
        </row>
        <row r="1600">
          <cell r="I1600" t="str">
            <v>COMMERICAL</v>
          </cell>
        </row>
        <row r="1601">
          <cell r="I1601" t="str">
            <v>COMMERICAL</v>
          </cell>
        </row>
        <row r="1602">
          <cell r="I1602" t="str">
            <v>CONTRACTOR</v>
          </cell>
        </row>
        <row r="1603">
          <cell r="I1603" t="str">
            <v>COMMERICAL</v>
          </cell>
        </row>
        <row r="1604">
          <cell r="I1604" t="str">
            <v>CONTRACTOR</v>
          </cell>
        </row>
        <row r="1605">
          <cell r="I1605" t="str">
            <v>CONTRACTOR</v>
          </cell>
        </row>
        <row r="1606">
          <cell r="I1606" t="str">
            <v>CONTRACTOR</v>
          </cell>
        </row>
        <row r="1607">
          <cell r="I1607" t="str">
            <v>CONTRACTOR</v>
          </cell>
        </row>
        <row r="1608">
          <cell r="I1608" t="str">
            <v>COMMERICAL</v>
          </cell>
        </row>
        <row r="1609">
          <cell r="I1609" t="str">
            <v>CONTRACTOR</v>
          </cell>
        </row>
        <row r="1610">
          <cell r="I1610" t="str">
            <v>CONTRACTOR</v>
          </cell>
        </row>
        <row r="1611">
          <cell r="I1611" t="str">
            <v>CONTRACTOR</v>
          </cell>
        </row>
        <row r="1612">
          <cell r="I1612" t="str">
            <v>COMMERICAL</v>
          </cell>
        </row>
        <row r="1613">
          <cell r="I1613" t="str">
            <v>CONTRACTOR</v>
          </cell>
        </row>
        <row r="1614">
          <cell r="I1614" t="str">
            <v>CONTRACTOR</v>
          </cell>
        </row>
        <row r="1615">
          <cell r="I1615" t="str">
            <v>CONTRACTOR</v>
          </cell>
        </row>
        <row r="1616">
          <cell r="I1616" t="str">
            <v>CONTRACTOR</v>
          </cell>
        </row>
        <row r="1617">
          <cell r="I1617" t="str">
            <v>COMMERCIAL</v>
          </cell>
        </row>
        <row r="1618">
          <cell r="I1618" t="str">
            <v>CONTRACTOR</v>
          </cell>
        </row>
        <row r="1619">
          <cell r="I1619" t="str">
            <v>COMMERCIAL</v>
          </cell>
        </row>
        <row r="1620">
          <cell r="I1620" t="str">
            <v>COMMERCIAL</v>
          </cell>
        </row>
        <row r="1621">
          <cell r="I1621" t="str">
            <v>COMMERCIAL</v>
          </cell>
        </row>
        <row r="1622">
          <cell r="I1622" t="str">
            <v>COMMERCIAL</v>
          </cell>
        </row>
        <row r="1623">
          <cell r="I1623" t="str">
            <v>COMMERCIAL</v>
          </cell>
        </row>
        <row r="1624">
          <cell r="I1624" t="str">
            <v>COMMERCIAL</v>
          </cell>
        </row>
        <row r="1625">
          <cell r="I1625" t="str">
            <v>COMMERCIAL</v>
          </cell>
        </row>
        <row r="1626">
          <cell r="I1626" t="str">
            <v>COMMERCIAL</v>
          </cell>
        </row>
        <row r="1627">
          <cell r="I1627" t="str">
            <v>COMMERCIAL</v>
          </cell>
        </row>
        <row r="1628">
          <cell r="I1628" t="str">
            <v>COMMERCIAL</v>
          </cell>
        </row>
        <row r="1629">
          <cell r="I1629" t="str">
            <v>COMMERCIAL</v>
          </cell>
        </row>
        <row r="1630">
          <cell r="I1630" t="str">
            <v>COMMERCIAL</v>
          </cell>
        </row>
        <row r="1631">
          <cell r="I1631" t="str">
            <v>COMMERCIAL</v>
          </cell>
        </row>
        <row r="1632">
          <cell r="I1632" t="str">
            <v>COMMERCIAL</v>
          </cell>
        </row>
        <row r="1633">
          <cell r="I1633" t="str">
            <v>CONTRACTOR</v>
          </cell>
        </row>
        <row r="1634">
          <cell r="I1634" t="str">
            <v>COMMERCIAL</v>
          </cell>
        </row>
        <row r="1635">
          <cell r="I1635" t="str">
            <v>CONTRACTOR</v>
          </cell>
        </row>
        <row r="1636">
          <cell r="I1636" t="str">
            <v>CONTRACTOR</v>
          </cell>
        </row>
        <row r="1637">
          <cell r="I1637" t="str">
            <v>CONTRACTOR</v>
          </cell>
        </row>
        <row r="1638">
          <cell r="I1638" t="str">
            <v>CONTRACTOR</v>
          </cell>
        </row>
        <row r="1639">
          <cell r="I1639" t="str">
            <v>COMMERCIAL</v>
          </cell>
        </row>
        <row r="1640">
          <cell r="I1640" t="str">
            <v>COMMERICAL</v>
          </cell>
        </row>
        <row r="1641">
          <cell r="I1641" t="str">
            <v>COMMERICAL</v>
          </cell>
        </row>
        <row r="1642">
          <cell r="I1642" t="str">
            <v>COMMERICAL</v>
          </cell>
        </row>
        <row r="1643">
          <cell r="I1643" t="str">
            <v>CONTRACTOR</v>
          </cell>
        </row>
        <row r="1644">
          <cell r="I1644" t="str">
            <v>COMMERICAL</v>
          </cell>
        </row>
        <row r="1645">
          <cell r="I1645" t="str">
            <v>COMMERICAL</v>
          </cell>
        </row>
        <row r="1646">
          <cell r="I1646" t="str">
            <v>CONTRACTOR</v>
          </cell>
        </row>
        <row r="1647">
          <cell r="I1647" t="str">
            <v>CONTRACTOR</v>
          </cell>
        </row>
        <row r="1648">
          <cell r="I1648" t="str">
            <v>CONTRACTOR</v>
          </cell>
        </row>
        <row r="1649">
          <cell r="I1649" t="str">
            <v>COMMERCIAL</v>
          </cell>
        </row>
        <row r="1650">
          <cell r="I1650" t="str">
            <v>COMMERCIAL</v>
          </cell>
        </row>
        <row r="1651">
          <cell r="I1651" t="str">
            <v>CONTRACTOR</v>
          </cell>
        </row>
        <row r="1652">
          <cell r="I1652" t="str">
            <v>CONTRACTOR</v>
          </cell>
        </row>
        <row r="1653">
          <cell r="I1653" t="str">
            <v>CONTRACTOR</v>
          </cell>
        </row>
        <row r="1654">
          <cell r="I1654" t="str">
            <v>CONTRACTOR</v>
          </cell>
        </row>
        <row r="1655">
          <cell r="I1655" t="str">
            <v>CONTRACTOR</v>
          </cell>
        </row>
        <row r="1656">
          <cell r="I1656" t="str">
            <v>CONTRACTOR</v>
          </cell>
        </row>
        <row r="1657">
          <cell r="I1657" t="str">
            <v>CONTRACTOR</v>
          </cell>
        </row>
        <row r="1658">
          <cell r="I1658" t="str">
            <v>CONTRACTOR</v>
          </cell>
        </row>
        <row r="1659">
          <cell r="I1659" t="str">
            <v>COMMERCIAL</v>
          </cell>
        </row>
        <row r="1660">
          <cell r="I1660" t="str">
            <v>COMMERCIAL</v>
          </cell>
        </row>
        <row r="1661">
          <cell r="I1661" t="str">
            <v>CONTRACTOR</v>
          </cell>
        </row>
        <row r="1662">
          <cell r="I1662" t="str">
            <v>COMMERCIAL</v>
          </cell>
        </row>
        <row r="1663">
          <cell r="I1663" t="str">
            <v>CONTRACTOR</v>
          </cell>
        </row>
        <row r="1664">
          <cell r="I1664" t="str">
            <v>CONTRACTOR</v>
          </cell>
        </row>
        <row r="1665">
          <cell r="I1665" t="str">
            <v>COMMERCIAL</v>
          </cell>
        </row>
        <row r="1666">
          <cell r="I1666" t="str">
            <v>COMMERCIAL</v>
          </cell>
        </row>
        <row r="1667">
          <cell r="I1667" t="str">
            <v>COMMERCIAL</v>
          </cell>
        </row>
        <row r="1668">
          <cell r="I1668" t="str">
            <v>COMMERCIAL</v>
          </cell>
        </row>
        <row r="1669">
          <cell r="I1669" t="str">
            <v>CONTRACTOR</v>
          </cell>
        </row>
        <row r="1670">
          <cell r="I1670" t="str">
            <v>CONTRACTOR</v>
          </cell>
        </row>
        <row r="1671">
          <cell r="I1671" t="str">
            <v>CONTRACTOR</v>
          </cell>
        </row>
        <row r="1672">
          <cell r="I1672" t="str">
            <v>COMMERCIAL</v>
          </cell>
        </row>
        <row r="1673">
          <cell r="I1673" t="str">
            <v>COMMERCIAL</v>
          </cell>
        </row>
        <row r="1674">
          <cell r="I1674" t="str">
            <v>COMMERCIAL</v>
          </cell>
        </row>
        <row r="1675">
          <cell r="I1675" t="str">
            <v>COMMERCIAL</v>
          </cell>
        </row>
        <row r="1676">
          <cell r="I1676" t="str">
            <v>COMMERCIAL</v>
          </cell>
        </row>
        <row r="1677">
          <cell r="I1677" t="str">
            <v>COMMERCIAL</v>
          </cell>
        </row>
        <row r="1678">
          <cell r="I1678" t="str">
            <v>COMMERCIAL</v>
          </cell>
        </row>
        <row r="1679">
          <cell r="I1679" t="str">
            <v>COMMERCIAL</v>
          </cell>
        </row>
        <row r="1680">
          <cell r="I1680" t="str">
            <v>COMMERCIAL</v>
          </cell>
        </row>
        <row r="1681">
          <cell r="I1681" t="str">
            <v>COMMERCIAL</v>
          </cell>
        </row>
        <row r="1682">
          <cell r="I1682" t="str">
            <v>COMMERCIAL</v>
          </cell>
        </row>
        <row r="1683">
          <cell r="I1683" t="str">
            <v>COMMERCIAL</v>
          </cell>
        </row>
        <row r="1684">
          <cell r="I1684" t="str">
            <v>COMMERCIAL</v>
          </cell>
        </row>
        <row r="1685">
          <cell r="I1685" t="str">
            <v>COMMERCIAL</v>
          </cell>
        </row>
        <row r="1686">
          <cell r="I1686" t="str">
            <v>COMMERCIAL</v>
          </cell>
        </row>
        <row r="1687">
          <cell r="I1687" t="str">
            <v>COMMERCIAL</v>
          </cell>
        </row>
        <row r="1688">
          <cell r="I1688" t="str">
            <v>COMMERCIAL</v>
          </cell>
        </row>
        <row r="1689">
          <cell r="I1689" t="str">
            <v>COMMERCIAL</v>
          </cell>
        </row>
        <row r="1690">
          <cell r="I1690" t="str">
            <v>COMMERCIAL</v>
          </cell>
        </row>
        <row r="1691">
          <cell r="I1691" t="str">
            <v>CONTRACTOR</v>
          </cell>
        </row>
        <row r="1692">
          <cell r="I1692" t="str">
            <v>COMMERCIAL</v>
          </cell>
        </row>
        <row r="1693">
          <cell r="I1693" t="str">
            <v>CONTRACTOR</v>
          </cell>
        </row>
        <row r="1694">
          <cell r="I1694" t="str">
            <v>CONTRACTOR</v>
          </cell>
        </row>
        <row r="1695">
          <cell r="I1695" t="str">
            <v>COMMERCIAL</v>
          </cell>
        </row>
        <row r="1696">
          <cell r="I1696" t="str">
            <v>COMMERCIAL</v>
          </cell>
        </row>
        <row r="1697">
          <cell r="I1697" t="str">
            <v>COMMERCIAL</v>
          </cell>
        </row>
        <row r="1698">
          <cell r="I1698" t="str">
            <v>COMMERCIAL</v>
          </cell>
        </row>
        <row r="1699">
          <cell r="I1699" t="str">
            <v>COMMERCIAL</v>
          </cell>
        </row>
        <row r="1700">
          <cell r="I1700" t="str">
            <v>COMMERCIAL</v>
          </cell>
        </row>
        <row r="1701">
          <cell r="I1701" t="str">
            <v>CONTRACTOR</v>
          </cell>
        </row>
        <row r="1702">
          <cell r="I1702" t="str">
            <v>CONTRACTOR</v>
          </cell>
        </row>
        <row r="1703">
          <cell r="I1703" t="str">
            <v>CONTRACTOR</v>
          </cell>
        </row>
        <row r="1704">
          <cell r="I1704" t="str">
            <v>COMMERICAL</v>
          </cell>
        </row>
        <row r="1705">
          <cell r="I1705" t="str">
            <v>COMMERICAL</v>
          </cell>
        </row>
        <row r="1706">
          <cell r="I1706" t="str">
            <v>COMMERCIAL</v>
          </cell>
        </row>
        <row r="1707">
          <cell r="I1707" t="str">
            <v>COMMERCIAL</v>
          </cell>
        </row>
        <row r="1708">
          <cell r="I1708" t="str">
            <v>COMMERCIAL</v>
          </cell>
        </row>
        <row r="1709">
          <cell r="I1709" t="str">
            <v>COMMERCIAL</v>
          </cell>
        </row>
        <row r="1710">
          <cell r="I1710" t="str">
            <v>COMMERCIAL</v>
          </cell>
        </row>
        <row r="1711">
          <cell r="I1711" t="str">
            <v>COMMERCIAL</v>
          </cell>
        </row>
        <row r="1712">
          <cell r="I1712" t="str">
            <v>COMMERICAL</v>
          </cell>
        </row>
        <row r="1713">
          <cell r="I1713" t="str">
            <v>COMMERICAL</v>
          </cell>
        </row>
        <row r="1714">
          <cell r="I1714" t="str">
            <v>COMMERICAL</v>
          </cell>
        </row>
        <row r="1715">
          <cell r="I1715" t="str">
            <v>COMMERICAL</v>
          </cell>
        </row>
        <row r="1716">
          <cell r="I1716" t="str">
            <v>COMMERICAL</v>
          </cell>
        </row>
        <row r="1717">
          <cell r="I1717" t="str">
            <v>CONTRACTOR</v>
          </cell>
        </row>
        <row r="1718">
          <cell r="I1718" t="str">
            <v>COMMERICAL</v>
          </cell>
        </row>
        <row r="1719">
          <cell r="I1719" t="str">
            <v>COMMERICAL</v>
          </cell>
        </row>
        <row r="1720">
          <cell r="I1720" t="str">
            <v>CONTRACTOR</v>
          </cell>
        </row>
        <row r="1721">
          <cell r="I1721" t="str">
            <v>COMMERICAL</v>
          </cell>
        </row>
        <row r="1722">
          <cell r="I1722" t="str">
            <v>COMMERICAL</v>
          </cell>
        </row>
        <row r="1723">
          <cell r="I1723" t="str">
            <v>CONTRACTOR</v>
          </cell>
        </row>
        <row r="1724">
          <cell r="I1724" t="str">
            <v>CONTRACTOR</v>
          </cell>
        </row>
        <row r="1725">
          <cell r="I1725" t="str">
            <v>COMMERICAL</v>
          </cell>
        </row>
        <row r="1726">
          <cell r="I1726" t="str">
            <v>COMMERCIAL</v>
          </cell>
        </row>
        <row r="1727">
          <cell r="I1727" t="str">
            <v>COMMERCIAL</v>
          </cell>
        </row>
        <row r="1728">
          <cell r="I1728" t="str">
            <v>COMMERCIAL</v>
          </cell>
        </row>
        <row r="1729">
          <cell r="I1729" t="str">
            <v>COMMERCIAL</v>
          </cell>
        </row>
        <row r="1730">
          <cell r="I1730" t="str">
            <v>COMMERCIAL</v>
          </cell>
        </row>
        <row r="1731">
          <cell r="I1731" t="str">
            <v>COMMERICAL</v>
          </cell>
        </row>
        <row r="1732">
          <cell r="I1732" t="str">
            <v>COMMERCIAL</v>
          </cell>
        </row>
        <row r="1733">
          <cell r="I1733" t="str">
            <v>COMMERCIAL</v>
          </cell>
        </row>
        <row r="1734">
          <cell r="I1734" t="str">
            <v>CONTRACTOR</v>
          </cell>
        </row>
        <row r="1735">
          <cell r="I1735" t="str">
            <v>COMMERCIAL</v>
          </cell>
        </row>
        <row r="1736">
          <cell r="I1736" t="str">
            <v>COMMERCIAL</v>
          </cell>
        </row>
        <row r="1737">
          <cell r="I1737" t="str">
            <v>COMMERCIAL</v>
          </cell>
        </row>
        <row r="1738">
          <cell r="I1738" t="str">
            <v>COMMERCIAL</v>
          </cell>
        </row>
        <row r="1739">
          <cell r="I1739" t="str">
            <v>COMMERCIAL</v>
          </cell>
        </row>
        <row r="1740">
          <cell r="I1740" t="str">
            <v>COMMERCIAL</v>
          </cell>
        </row>
        <row r="1741">
          <cell r="I1741" t="str">
            <v>CONTRACTOR</v>
          </cell>
        </row>
        <row r="1742">
          <cell r="I1742" t="str">
            <v>COMMERCIAL</v>
          </cell>
        </row>
        <row r="1743">
          <cell r="I1743" t="str">
            <v>COMMERCIAL</v>
          </cell>
        </row>
        <row r="1744">
          <cell r="I1744" t="str">
            <v>COMMERCIAL</v>
          </cell>
        </row>
        <row r="1745">
          <cell r="I1745" t="str">
            <v>COMMERCIAL</v>
          </cell>
        </row>
        <row r="1746">
          <cell r="I1746" t="str">
            <v>COMMERCIAL</v>
          </cell>
        </row>
        <row r="1747">
          <cell r="I1747" t="str">
            <v>CONTRACTOR</v>
          </cell>
        </row>
        <row r="1748">
          <cell r="I1748" t="str">
            <v>CONTRACTOR</v>
          </cell>
        </row>
        <row r="1749">
          <cell r="I1749" t="str">
            <v>CONTRACTOR</v>
          </cell>
        </row>
        <row r="1750">
          <cell r="I1750" t="str">
            <v>COMMERCIAL</v>
          </cell>
        </row>
        <row r="1751">
          <cell r="I1751" t="str">
            <v>COMMERCIAL</v>
          </cell>
        </row>
        <row r="1752">
          <cell r="I1752" t="str">
            <v>COMMERCIAL</v>
          </cell>
        </row>
        <row r="1753">
          <cell r="I1753" t="str">
            <v>COMMERCIAL</v>
          </cell>
        </row>
        <row r="1754">
          <cell r="I1754" t="str">
            <v>COMMERCIAL</v>
          </cell>
        </row>
        <row r="1755">
          <cell r="I1755" t="str">
            <v>COMMERCIAL</v>
          </cell>
        </row>
        <row r="1756">
          <cell r="I1756" t="str">
            <v>COMMERCIAL</v>
          </cell>
        </row>
        <row r="1757">
          <cell r="I1757" t="str">
            <v>COMMERCIAL</v>
          </cell>
        </row>
        <row r="1758">
          <cell r="I1758" t="str">
            <v>COMMERCIAL</v>
          </cell>
        </row>
        <row r="1759">
          <cell r="I1759" t="str">
            <v>COMMERCIAL</v>
          </cell>
        </row>
        <row r="1760">
          <cell r="I1760" t="str">
            <v>COMMERCIAL</v>
          </cell>
        </row>
        <row r="1761">
          <cell r="I1761" t="str">
            <v>COMMERICAL</v>
          </cell>
        </row>
        <row r="1762">
          <cell r="I1762" t="str">
            <v>COMMERICAL</v>
          </cell>
        </row>
        <row r="1763">
          <cell r="I1763" t="str">
            <v>COMMERICAL</v>
          </cell>
        </row>
        <row r="1764">
          <cell r="I1764" t="str">
            <v>COMMERCIAL</v>
          </cell>
        </row>
        <row r="1765">
          <cell r="I1765" t="str">
            <v>COMMERCIAL</v>
          </cell>
        </row>
        <row r="1766">
          <cell r="I1766" t="str">
            <v>COMMERCIAL</v>
          </cell>
        </row>
        <row r="1767">
          <cell r="I1767" t="str">
            <v>COMMERCIAL</v>
          </cell>
        </row>
        <row r="1768">
          <cell r="I1768" t="str">
            <v>COMMERCIAL</v>
          </cell>
        </row>
        <row r="1769">
          <cell r="I1769" t="str">
            <v>COMMERCIAL</v>
          </cell>
        </row>
        <row r="1770">
          <cell r="I1770" t="str">
            <v>COMMERCIAL</v>
          </cell>
        </row>
        <row r="1771">
          <cell r="I1771" t="str">
            <v>COMMERCIAL</v>
          </cell>
        </row>
        <row r="1772">
          <cell r="I1772" t="str">
            <v>COMMERCIAL</v>
          </cell>
        </row>
        <row r="1773">
          <cell r="I1773" t="str">
            <v>COMMERICAL</v>
          </cell>
        </row>
        <row r="1774">
          <cell r="I1774" t="str">
            <v>COMMERICAL</v>
          </cell>
        </row>
        <row r="1775">
          <cell r="I1775" t="str">
            <v>CONTRACTOR</v>
          </cell>
        </row>
        <row r="1776">
          <cell r="I1776" t="str">
            <v>COMMERICAL</v>
          </cell>
        </row>
        <row r="1777">
          <cell r="I1777" t="str">
            <v>COMMERICAL</v>
          </cell>
        </row>
        <row r="1778">
          <cell r="I1778" t="str">
            <v>COMMERICAL</v>
          </cell>
        </row>
        <row r="1779">
          <cell r="I1779" t="str">
            <v>COMMERICAL</v>
          </cell>
        </row>
        <row r="1780">
          <cell r="I1780" t="str">
            <v>COMMERICAL</v>
          </cell>
        </row>
        <row r="1781">
          <cell r="I1781" t="str">
            <v>COMMERCIAL</v>
          </cell>
        </row>
        <row r="1782">
          <cell r="I1782" t="str">
            <v>CONTRACTOR</v>
          </cell>
        </row>
        <row r="1783">
          <cell r="I1783" t="str">
            <v>COMMERCIAL</v>
          </cell>
        </row>
        <row r="1784">
          <cell r="I1784" t="str">
            <v>CONTRACTOR</v>
          </cell>
        </row>
        <row r="1785">
          <cell r="I1785" t="str">
            <v>COMMERCIAL</v>
          </cell>
        </row>
        <row r="1786">
          <cell r="I1786" t="str">
            <v>CONTRACTOR</v>
          </cell>
        </row>
        <row r="1787">
          <cell r="I1787" t="str">
            <v>COMMERCIAL</v>
          </cell>
        </row>
        <row r="1788">
          <cell r="I1788" t="str">
            <v>CONTRACTOR</v>
          </cell>
        </row>
        <row r="1789">
          <cell r="I1789" t="str">
            <v>COMMERCIAL</v>
          </cell>
        </row>
        <row r="1790">
          <cell r="I1790" t="str">
            <v>COMMERICAL</v>
          </cell>
        </row>
        <row r="1791">
          <cell r="I1791" t="str">
            <v>CONTRACTOR</v>
          </cell>
        </row>
        <row r="1792">
          <cell r="I1792" t="str">
            <v>CONTRACTOR</v>
          </cell>
        </row>
        <row r="1793">
          <cell r="I1793" t="str">
            <v>CONTRACTOR</v>
          </cell>
        </row>
        <row r="1794">
          <cell r="I1794" t="str">
            <v>COMMERCIAL</v>
          </cell>
        </row>
        <row r="1795">
          <cell r="I1795" t="str">
            <v>COMMERCIAL</v>
          </cell>
        </row>
        <row r="1796">
          <cell r="I1796" t="str">
            <v>COMMERCIAL</v>
          </cell>
        </row>
        <row r="1797">
          <cell r="I1797" t="str">
            <v>COMMERCIAL</v>
          </cell>
        </row>
        <row r="1798">
          <cell r="I1798" t="str">
            <v>CONTRACTOR</v>
          </cell>
        </row>
        <row r="1799">
          <cell r="I1799" t="str">
            <v>COMMERCIAL</v>
          </cell>
        </row>
        <row r="1800">
          <cell r="I1800" t="str">
            <v>COMMERCIAL</v>
          </cell>
        </row>
        <row r="1801">
          <cell r="I1801" t="str">
            <v>CONTRACTOR</v>
          </cell>
        </row>
        <row r="1802">
          <cell r="I1802" t="str">
            <v>CONTRACTOR</v>
          </cell>
        </row>
        <row r="1803">
          <cell r="I1803" t="str">
            <v>COMMERCIAL</v>
          </cell>
        </row>
        <row r="1804">
          <cell r="I1804" t="str">
            <v>COMMERCIAL</v>
          </cell>
        </row>
        <row r="1805">
          <cell r="I1805" t="str">
            <v>COMMERCIAL</v>
          </cell>
        </row>
        <row r="1806">
          <cell r="I1806" t="str">
            <v>COMMERCIAL</v>
          </cell>
        </row>
        <row r="1807">
          <cell r="I1807" t="str">
            <v>COMMERCIAL</v>
          </cell>
        </row>
        <row r="1808">
          <cell r="I1808" t="str">
            <v>COMMERCIAL</v>
          </cell>
        </row>
        <row r="1809">
          <cell r="I1809" t="str">
            <v>COMMERCIAL</v>
          </cell>
        </row>
        <row r="1810">
          <cell r="I1810" t="str">
            <v>COMMERCIAL</v>
          </cell>
        </row>
        <row r="1811">
          <cell r="I1811" t="str">
            <v>CONTRACTOR</v>
          </cell>
        </row>
        <row r="1812">
          <cell r="I1812" t="str">
            <v>COMMERCIAL</v>
          </cell>
        </row>
        <row r="1813">
          <cell r="I1813" t="str">
            <v>COMMERCIAL</v>
          </cell>
        </row>
        <row r="1814">
          <cell r="I1814" t="str">
            <v>COMMERCIAL</v>
          </cell>
        </row>
        <row r="1815">
          <cell r="I1815" t="str">
            <v>COMMERCIAL</v>
          </cell>
        </row>
        <row r="1816">
          <cell r="I1816" t="str">
            <v>COMMERCIAL</v>
          </cell>
        </row>
        <row r="1817">
          <cell r="I1817" t="str">
            <v>COMMERCIAL</v>
          </cell>
        </row>
        <row r="1818">
          <cell r="I1818" t="str">
            <v>CONTRACTOR</v>
          </cell>
        </row>
        <row r="1819">
          <cell r="I1819" t="str">
            <v>COMMERCIAL</v>
          </cell>
        </row>
        <row r="1820">
          <cell r="I1820" t="str">
            <v>COMMERCIAL</v>
          </cell>
        </row>
        <row r="1821">
          <cell r="I1821" t="str">
            <v>COMMERCIAL</v>
          </cell>
        </row>
        <row r="1822">
          <cell r="I1822" t="str">
            <v>COMMERICAL</v>
          </cell>
        </row>
        <row r="1823">
          <cell r="I1823" t="str">
            <v>COMMERICAL</v>
          </cell>
        </row>
        <row r="1824">
          <cell r="I1824" t="str">
            <v>CONTRACTOR</v>
          </cell>
        </row>
        <row r="1825">
          <cell r="I1825" t="str">
            <v>CONTRACTOR</v>
          </cell>
        </row>
        <row r="1826">
          <cell r="I1826" t="str">
            <v>CONTRACTOR</v>
          </cell>
        </row>
        <row r="1827">
          <cell r="I1827" t="str">
            <v>CONTRACTOR</v>
          </cell>
        </row>
        <row r="1828">
          <cell r="I1828" t="str">
            <v>COMMERICAL</v>
          </cell>
        </row>
        <row r="1829">
          <cell r="I1829" t="str">
            <v>COMMERICAL</v>
          </cell>
        </row>
        <row r="1830">
          <cell r="I1830" t="str">
            <v>COMMERICAL</v>
          </cell>
        </row>
        <row r="1831">
          <cell r="I1831" t="str">
            <v>COMMERICAL</v>
          </cell>
        </row>
        <row r="1832">
          <cell r="I1832" t="str">
            <v>COMMERCIAL</v>
          </cell>
        </row>
        <row r="1833">
          <cell r="I1833" t="str">
            <v>CONTRACTOR</v>
          </cell>
        </row>
        <row r="1834">
          <cell r="I1834" t="str">
            <v>COMMERCIAL</v>
          </cell>
        </row>
        <row r="1835">
          <cell r="I1835" t="str">
            <v>COMMERCIAL</v>
          </cell>
        </row>
        <row r="1836">
          <cell r="I1836" t="str">
            <v>COMMERCIAL</v>
          </cell>
        </row>
        <row r="1837">
          <cell r="I1837" t="str">
            <v>COMMERCIAL</v>
          </cell>
        </row>
        <row r="1838">
          <cell r="I1838" t="str">
            <v>COMMERCIAL</v>
          </cell>
        </row>
        <row r="1839">
          <cell r="I1839" t="str">
            <v>CONTRACTOR</v>
          </cell>
        </row>
        <row r="1840">
          <cell r="I1840" t="str">
            <v>COMMERCIAL</v>
          </cell>
        </row>
        <row r="1841">
          <cell r="I1841" t="str">
            <v>COMMERCIAL</v>
          </cell>
        </row>
        <row r="1842">
          <cell r="I1842" t="str">
            <v>COMMERCIAL</v>
          </cell>
        </row>
        <row r="1843">
          <cell r="I1843" t="str">
            <v>COMMERCIAL</v>
          </cell>
        </row>
        <row r="1844">
          <cell r="I1844" t="str">
            <v>COMMERCIAL</v>
          </cell>
        </row>
        <row r="1845">
          <cell r="I1845" t="str">
            <v>COMMERCIAL</v>
          </cell>
        </row>
        <row r="1846">
          <cell r="I1846" t="str">
            <v>COMMERCIAL</v>
          </cell>
        </row>
        <row r="1847">
          <cell r="I1847" t="str">
            <v>COMMERCIAL</v>
          </cell>
        </row>
        <row r="1848">
          <cell r="I1848" t="str">
            <v>CONTRACTOR</v>
          </cell>
        </row>
        <row r="1849">
          <cell r="I1849" t="str">
            <v>COMMERCIAL</v>
          </cell>
        </row>
        <row r="1850">
          <cell r="I1850" t="str">
            <v>CONTRACTOR</v>
          </cell>
        </row>
        <row r="1851">
          <cell r="I1851" t="str">
            <v>CONTRACTOR</v>
          </cell>
        </row>
        <row r="1852">
          <cell r="I1852" t="str">
            <v>COMMERICAL</v>
          </cell>
        </row>
        <row r="1853">
          <cell r="I1853" t="str">
            <v>COMMERICAL</v>
          </cell>
        </row>
        <row r="1854">
          <cell r="I1854" t="str">
            <v>CONTRACTOR</v>
          </cell>
        </row>
        <row r="1855">
          <cell r="I1855" t="str">
            <v>CONTRACTOR</v>
          </cell>
        </row>
        <row r="1856">
          <cell r="I1856" t="str">
            <v>COMMERCIAL</v>
          </cell>
        </row>
        <row r="1857">
          <cell r="I1857" t="str">
            <v>CONTRACTOR</v>
          </cell>
        </row>
        <row r="1858">
          <cell r="I1858" t="str">
            <v>CONTRACTOR</v>
          </cell>
        </row>
        <row r="1859">
          <cell r="I1859" t="str">
            <v>CONTRACTOR</v>
          </cell>
        </row>
        <row r="1860">
          <cell r="I1860" t="str">
            <v>COMMERICAL</v>
          </cell>
        </row>
        <row r="1861">
          <cell r="I1861" t="str">
            <v>COMMERICAL</v>
          </cell>
        </row>
        <row r="1862">
          <cell r="I1862" t="str">
            <v>CONTRACTOR</v>
          </cell>
        </row>
        <row r="1863">
          <cell r="I1863" t="str">
            <v>COMMERCIAL</v>
          </cell>
        </row>
        <row r="1864">
          <cell r="I1864" t="str">
            <v>COMMERCIAL</v>
          </cell>
        </row>
        <row r="1865">
          <cell r="I1865" t="str">
            <v>CONTRACTOR</v>
          </cell>
        </row>
        <row r="1866">
          <cell r="I1866" t="str">
            <v>CONTRACTOR</v>
          </cell>
        </row>
        <row r="1867">
          <cell r="I1867" t="str">
            <v>CONTRACTOR</v>
          </cell>
        </row>
        <row r="1868">
          <cell r="I1868" t="str">
            <v>CONTRACTOR</v>
          </cell>
        </row>
        <row r="1869">
          <cell r="I1869" t="str">
            <v>CONTRACTOR</v>
          </cell>
        </row>
        <row r="1870">
          <cell r="I1870" t="str">
            <v>COMMERCIAL</v>
          </cell>
        </row>
        <row r="1871">
          <cell r="I1871" t="str">
            <v>CONTRACTOR</v>
          </cell>
        </row>
        <row r="1872">
          <cell r="I1872" t="str">
            <v>COMMERCIAL</v>
          </cell>
        </row>
        <row r="1873">
          <cell r="I1873" t="str">
            <v>COMMERCIAL</v>
          </cell>
        </row>
        <row r="1874">
          <cell r="I1874" t="str">
            <v>COMMERCIAL</v>
          </cell>
        </row>
        <row r="1875">
          <cell r="I1875" t="str">
            <v>COMMERCIAL</v>
          </cell>
        </row>
        <row r="1876">
          <cell r="I1876" t="str">
            <v>CONTRACTOR</v>
          </cell>
        </row>
        <row r="1877">
          <cell r="I1877" t="str">
            <v>COMMERCIAL</v>
          </cell>
        </row>
        <row r="1878">
          <cell r="I1878" t="str">
            <v>CONTRACTOR</v>
          </cell>
        </row>
        <row r="1879">
          <cell r="I1879" t="str">
            <v>COMMERCIAL</v>
          </cell>
        </row>
        <row r="1880">
          <cell r="I1880" t="str">
            <v>COMMERCIAL</v>
          </cell>
        </row>
        <row r="1881">
          <cell r="I1881" t="str">
            <v>COMMERCIAL</v>
          </cell>
        </row>
        <row r="1882">
          <cell r="I1882" t="str">
            <v>COMMERCIAL</v>
          </cell>
        </row>
        <row r="1883">
          <cell r="I1883" t="str">
            <v>COMMERCIAL</v>
          </cell>
        </row>
        <row r="1884">
          <cell r="I1884" t="str">
            <v>CONTRACTOR</v>
          </cell>
        </row>
        <row r="1885">
          <cell r="I1885" t="str">
            <v>CONTRACTOR</v>
          </cell>
        </row>
        <row r="1886">
          <cell r="I1886" t="str">
            <v>CONTRACTOR</v>
          </cell>
        </row>
        <row r="1887">
          <cell r="I1887" t="str">
            <v>COMMERCIAL</v>
          </cell>
        </row>
        <row r="1888">
          <cell r="I1888" t="str">
            <v>COMMERCIAL</v>
          </cell>
        </row>
        <row r="1889">
          <cell r="I1889" t="str">
            <v>COMMERCIAL</v>
          </cell>
        </row>
        <row r="1890">
          <cell r="I1890" t="str">
            <v>COMMERCIAL</v>
          </cell>
        </row>
        <row r="1891">
          <cell r="I1891" t="str">
            <v>COMMERCIAL</v>
          </cell>
        </row>
        <row r="1892">
          <cell r="I1892" t="str">
            <v>CONTRACTOR</v>
          </cell>
        </row>
        <row r="1893">
          <cell r="I1893" t="str">
            <v>CONTRACTOR</v>
          </cell>
        </row>
        <row r="1894">
          <cell r="I1894" t="str">
            <v>CONTRACTOR</v>
          </cell>
        </row>
        <row r="1895">
          <cell r="I1895" t="str">
            <v>COMMERCIAL</v>
          </cell>
        </row>
        <row r="1896">
          <cell r="I1896" t="str">
            <v>COMMERCIAL</v>
          </cell>
        </row>
        <row r="1897">
          <cell r="I1897" t="str">
            <v>COMMERCIAL</v>
          </cell>
        </row>
        <row r="1898">
          <cell r="I1898" t="str">
            <v>CONTRACTOR</v>
          </cell>
        </row>
        <row r="1899">
          <cell r="I1899" t="str">
            <v>COMMERCIAL</v>
          </cell>
        </row>
        <row r="1900">
          <cell r="I1900" t="str">
            <v>COMMERICAL</v>
          </cell>
        </row>
        <row r="1901">
          <cell r="I1901" t="str">
            <v>COMMERICAL</v>
          </cell>
        </row>
        <row r="1902">
          <cell r="I1902" t="str">
            <v>COMMERICAL</v>
          </cell>
        </row>
        <row r="1903">
          <cell r="I1903" t="str">
            <v>COMMERICAL</v>
          </cell>
        </row>
        <row r="1904">
          <cell r="I1904" t="str">
            <v>CONTRACTOR</v>
          </cell>
        </row>
        <row r="1905">
          <cell r="I1905" t="str">
            <v>COMMERICAL</v>
          </cell>
        </row>
        <row r="1906">
          <cell r="I1906" t="str">
            <v>CONTRACTOR</v>
          </cell>
        </row>
        <row r="1907">
          <cell r="I1907" t="str">
            <v>CONTRACTOR</v>
          </cell>
        </row>
        <row r="1908">
          <cell r="I1908" t="str">
            <v>CONTRACTOR</v>
          </cell>
        </row>
        <row r="1909">
          <cell r="I1909" t="str">
            <v>COMMERICAL</v>
          </cell>
        </row>
        <row r="1910">
          <cell r="I1910" t="str">
            <v>COMMERICAL</v>
          </cell>
        </row>
        <row r="1911">
          <cell r="I1911" t="str">
            <v>CONTRACTOR</v>
          </cell>
        </row>
        <row r="1912">
          <cell r="I1912" t="str">
            <v>COMMERICAL</v>
          </cell>
        </row>
        <row r="1913">
          <cell r="I1913" t="str">
            <v>CONTRACTOR</v>
          </cell>
        </row>
        <row r="1914">
          <cell r="I1914" t="str">
            <v>CONTRACTOR</v>
          </cell>
        </row>
        <row r="1915">
          <cell r="I1915" t="str">
            <v>COMMERICAL</v>
          </cell>
        </row>
        <row r="1916">
          <cell r="I1916" t="str">
            <v>CONTRACTOR</v>
          </cell>
        </row>
        <row r="1917">
          <cell r="I1917" t="str">
            <v>COMMERICAL</v>
          </cell>
        </row>
        <row r="1918">
          <cell r="I1918" t="str">
            <v>CONTRACTOR</v>
          </cell>
        </row>
        <row r="1919">
          <cell r="I1919" t="str">
            <v>COMMERICAL</v>
          </cell>
        </row>
        <row r="1920">
          <cell r="I1920" t="str">
            <v>COMMERICAL</v>
          </cell>
        </row>
        <row r="1921">
          <cell r="I1921" t="str">
            <v>COMMERICAL</v>
          </cell>
        </row>
        <row r="1922">
          <cell r="I1922" t="str">
            <v>CONTRACTOR</v>
          </cell>
        </row>
        <row r="1923">
          <cell r="I1923" t="str">
            <v>COMMERICAL</v>
          </cell>
        </row>
        <row r="1924">
          <cell r="I1924" t="str">
            <v>COMMERICAL</v>
          </cell>
        </row>
        <row r="1925">
          <cell r="I1925" t="str">
            <v>COMMERICAL</v>
          </cell>
        </row>
        <row r="1926">
          <cell r="I1926" t="str">
            <v>COMMERICAL</v>
          </cell>
        </row>
        <row r="1927">
          <cell r="I1927" t="str">
            <v>COMMERICAL</v>
          </cell>
        </row>
        <row r="1928">
          <cell r="I1928" t="str">
            <v>COMMERICAL</v>
          </cell>
        </row>
        <row r="1929">
          <cell r="I1929" t="str">
            <v>COMMERICAL</v>
          </cell>
        </row>
        <row r="1930">
          <cell r="I1930" t="str">
            <v>COMMERICAL</v>
          </cell>
        </row>
        <row r="1931">
          <cell r="I1931" t="str">
            <v>COMMERCIAL</v>
          </cell>
        </row>
        <row r="1932">
          <cell r="I1932" t="str">
            <v>CONTRACTOR</v>
          </cell>
        </row>
        <row r="1933">
          <cell r="I1933" t="str">
            <v>CONTRACTOR</v>
          </cell>
        </row>
        <row r="1934">
          <cell r="I1934" t="str">
            <v>COMMERCIAL</v>
          </cell>
        </row>
        <row r="1935">
          <cell r="I1935" t="str">
            <v>CONTRACTOR</v>
          </cell>
        </row>
        <row r="1936">
          <cell r="I1936" t="str">
            <v>COMMERCIAL</v>
          </cell>
        </row>
        <row r="1937">
          <cell r="I1937" t="str">
            <v>COMMERCIAL</v>
          </cell>
        </row>
        <row r="1938">
          <cell r="I1938" t="str">
            <v>COMMERCIAL</v>
          </cell>
        </row>
        <row r="1939">
          <cell r="I1939" t="str">
            <v>CONTRACTOR</v>
          </cell>
        </row>
        <row r="1940">
          <cell r="I1940" t="str">
            <v>COMMERCIAL</v>
          </cell>
        </row>
        <row r="1941">
          <cell r="I1941" t="str">
            <v>COMMERCIAL</v>
          </cell>
        </row>
        <row r="1942">
          <cell r="I1942" t="str">
            <v>COMMERCIAL</v>
          </cell>
        </row>
        <row r="1943">
          <cell r="I1943" t="str">
            <v>COMMERCIAL</v>
          </cell>
        </row>
        <row r="1944">
          <cell r="I1944" t="str">
            <v>COMMERCIAL</v>
          </cell>
        </row>
        <row r="1945">
          <cell r="I1945" t="str">
            <v>CONTRACTOR</v>
          </cell>
        </row>
        <row r="1946">
          <cell r="I1946" t="str">
            <v>COMMERICAL</v>
          </cell>
        </row>
        <row r="1947">
          <cell r="I1947" t="str">
            <v>CONTRACTOR</v>
          </cell>
        </row>
        <row r="1948">
          <cell r="I1948" t="str">
            <v>COMMERICAL</v>
          </cell>
        </row>
        <row r="1949">
          <cell r="I1949" t="str">
            <v>COMMERCIAL</v>
          </cell>
        </row>
        <row r="1950">
          <cell r="I1950" t="str">
            <v>CCOMMERICAL</v>
          </cell>
        </row>
        <row r="1951">
          <cell r="I1951" t="str">
            <v>COMMERICAL</v>
          </cell>
        </row>
        <row r="1952">
          <cell r="I1952" t="str">
            <v>CONTRACTOR</v>
          </cell>
        </row>
        <row r="1953">
          <cell r="I1953" t="str">
            <v>CONTRACTOR</v>
          </cell>
        </row>
        <row r="1954">
          <cell r="I1954" t="str">
            <v>COMMERICAL</v>
          </cell>
        </row>
        <row r="1955">
          <cell r="I1955" t="str">
            <v>COMMERICAL</v>
          </cell>
        </row>
        <row r="1956">
          <cell r="I1956" t="str">
            <v>COMMERICAL</v>
          </cell>
        </row>
        <row r="1957">
          <cell r="I1957" t="str">
            <v>COMMERICAL</v>
          </cell>
        </row>
        <row r="1958">
          <cell r="I1958" t="str">
            <v>COMMERICAL</v>
          </cell>
        </row>
        <row r="1959">
          <cell r="I1959" t="str">
            <v>CONTRACTOR</v>
          </cell>
        </row>
        <row r="1960">
          <cell r="I1960" t="str">
            <v>COMMERCIAL</v>
          </cell>
        </row>
        <row r="1961">
          <cell r="I1961" t="str">
            <v>COMMERCIAL</v>
          </cell>
        </row>
        <row r="1962">
          <cell r="I1962" t="str">
            <v>CONTRACTOR</v>
          </cell>
        </row>
        <row r="1963">
          <cell r="I1963" t="str">
            <v>COMMERCIAL</v>
          </cell>
        </row>
        <row r="1964">
          <cell r="I1964" t="str">
            <v>COMMERICAL</v>
          </cell>
        </row>
        <row r="1965">
          <cell r="I1965" t="str">
            <v>COMMERICAL</v>
          </cell>
        </row>
        <row r="1966">
          <cell r="I1966" t="str">
            <v>COMMERCIAL</v>
          </cell>
        </row>
        <row r="1967">
          <cell r="I1967" t="str">
            <v>COMMERCIAL</v>
          </cell>
        </row>
        <row r="1968">
          <cell r="I1968" t="str">
            <v>COMMERCIAL</v>
          </cell>
        </row>
        <row r="1969">
          <cell r="I1969" t="str">
            <v>COMMERCIAL</v>
          </cell>
        </row>
        <row r="1970">
          <cell r="I1970" t="str">
            <v>COMMERCIAL</v>
          </cell>
        </row>
        <row r="1971">
          <cell r="I1971" t="str">
            <v>COMMERCIAL</v>
          </cell>
        </row>
        <row r="1972">
          <cell r="I1972" t="str">
            <v>COMMERCIAL</v>
          </cell>
        </row>
        <row r="1973">
          <cell r="I1973" t="str">
            <v>COMMERCIAL</v>
          </cell>
        </row>
        <row r="1974">
          <cell r="I1974" t="str">
            <v>COMMERCIAL</v>
          </cell>
        </row>
        <row r="1975">
          <cell r="I1975" t="str">
            <v>CONTRACTOR</v>
          </cell>
        </row>
        <row r="1976">
          <cell r="I1976" t="str">
            <v>COMMERICAL</v>
          </cell>
        </row>
        <row r="1977">
          <cell r="I1977" t="str">
            <v>CONTRACTOR</v>
          </cell>
        </row>
        <row r="1978">
          <cell r="I1978" t="str">
            <v>CONTRACTOR</v>
          </cell>
        </row>
        <row r="1979">
          <cell r="I1979" t="str">
            <v>CONTRACTOR</v>
          </cell>
        </row>
        <row r="1980">
          <cell r="I1980" t="str">
            <v>COMMERCIAL</v>
          </cell>
        </row>
        <row r="1981">
          <cell r="I1981" t="str">
            <v>CONTRACTOR</v>
          </cell>
        </row>
        <row r="1982">
          <cell r="I1982" t="str">
            <v>COMMERCIAL</v>
          </cell>
        </row>
        <row r="1983">
          <cell r="I1983" t="str">
            <v>COMMERCIAL</v>
          </cell>
        </row>
        <row r="1984">
          <cell r="I1984" t="str">
            <v>COMMERCIAL</v>
          </cell>
        </row>
        <row r="1985">
          <cell r="I1985" t="str">
            <v>CONTRACTOR</v>
          </cell>
        </row>
        <row r="1986">
          <cell r="I1986" t="str">
            <v>COMMERCIAL</v>
          </cell>
        </row>
        <row r="1987">
          <cell r="I1987" t="str">
            <v>COMMERCIAL</v>
          </cell>
        </row>
        <row r="1988">
          <cell r="I1988" t="str">
            <v>COMMERCIAL</v>
          </cell>
        </row>
        <row r="1989">
          <cell r="I1989" t="str">
            <v>CONTRACTOR</v>
          </cell>
        </row>
        <row r="1990">
          <cell r="I1990" t="str">
            <v>COMMERCIAL</v>
          </cell>
        </row>
        <row r="1991">
          <cell r="I1991" t="str">
            <v>COMMERCIAL</v>
          </cell>
        </row>
        <row r="1992">
          <cell r="I1992" t="str">
            <v>COMMERCIAL</v>
          </cell>
        </row>
        <row r="1993">
          <cell r="I1993" t="str">
            <v>CONTRACTOR</v>
          </cell>
        </row>
        <row r="1994">
          <cell r="I1994" t="str">
            <v>COMMERCIAL</v>
          </cell>
        </row>
        <row r="1995">
          <cell r="I1995" t="str">
            <v>CONTRACTOR</v>
          </cell>
        </row>
        <row r="1996">
          <cell r="I1996" t="str">
            <v>CONTRACTOR</v>
          </cell>
        </row>
        <row r="1997">
          <cell r="I1997" t="str">
            <v>COMMERCIAL</v>
          </cell>
        </row>
        <row r="1998">
          <cell r="I1998" t="str">
            <v>CONTRACTOR</v>
          </cell>
        </row>
        <row r="1999">
          <cell r="I1999" t="str">
            <v>CONTRACTOR</v>
          </cell>
        </row>
        <row r="2000">
          <cell r="I2000" t="str">
            <v>CONTRACTOR</v>
          </cell>
        </row>
        <row r="2001">
          <cell r="I2001" t="str">
            <v>COMMERCIAL</v>
          </cell>
        </row>
        <row r="2002">
          <cell r="I2002" t="str">
            <v>COMMERCIAL</v>
          </cell>
        </row>
        <row r="2003">
          <cell r="I2003" t="str">
            <v>CONTRACTOR</v>
          </cell>
        </row>
        <row r="2004">
          <cell r="I2004" t="str">
            <v>COMMERCIAL</v>
          </cell>
        </row>
        <row r="2005">
          <cell r="I2005" t="str">
            <v>COMMERCIAL</v>
          </cell>
        </row>
        <row r="2006">
          <cell r="I2006" t="str">
            <v>COMMERCIAL</v>
          </cell>
        </row>
        <row r="2007">
          <cell r="I2007" t="str">
            <v>COMMERICAL</v>
          </cell>
        </row>
        <row r="2008">
          <cell r="I2008" t="str">
            <v>COMMERICAL</v>
          </cell>
        </row>
        <row r="2009">
          <cell r="I2009" t="str">
            <v>COMMERICAL</v>
          </cell>
        </row>
        <row r="2010">
          <cell r="I2010" t="str">
            <v>COMMERICAL</v>
          </cell>
        </row>
        <row r="2011">
          <cell r="I2011" t="str">
            <v>COMMERICAL</v>
          </cell>
        </row>
        <row r="2012">
          <cell r="I2012" t="str">
            <v>COMMERCIAL</v>
          </cell>
        </row>
        <row r="2013">
          <cell r="I2013" t="str">
            <v>COMMERCIAL</v>
          </cell>
        </row>
        <row r="2014">
          <cell r="I2014" t="str">
            <v>COMMERCIAL</v>
          </cell>
        </row>
        <row r="2015">
          <cell r="I2015" t="str">
            <v>COMMERCIAL</v>
          </cell>
        </row>
        <row r="2016">
          <cell r="I2016" t="str">
            <v>COMMERCIAL</v>
          </cell>
        </row>
        <row r="2017">
          <cell r="I2017" t="str">
            <v>COMMERCIAL</v>
          </cell>
        </row>
        <row r="2018">
          <cell r="I2018" t="str">
            <v>COMMERCIAL</v>
          </cell>
        </row>
        <row r="2019">
          <cell r="I2019" t="str">
            <v>COMMERCIAL</v>
          </cell>
        </row>
        <row r="2020">
          <cell r="I2020" t="str">
            <v>COMMERICAL</v>
          </cell>
        </row>
        <row r="2021">
          <cell r="I2021" t="str">
            <v>CONTRACTOR</v>
          </cell>
        </row>
        <row r="2022">
          <cell r="I2022" t="str">
            <v>COMMERCIAL</v>
          </cell>
        </row>
        <row r="2023">
          <cell r="I2023" t="str">
            <v>CONTRACTOR</v>
          </cell>
        </row>
        <row r="2024">
          <cell r="I2024" t="str">
            <v>CONTRACTOR</v>
          </cell>
        </row>
        <row r="2025">
          <cell r="I2025" t="str">
            <v>CONTRACTOR</v>
          </cell>
        </row>
        <row r="2026">
          <cell r="I2026" t="str">
            <v>CONTRACTOR</v>
          </cell>
        </row>
        <row r="2027">
          <cell r="I2027" t="str">
            <v>CONTRACTOR</v>
          </cell>
        </row>
        <row r="2028">
          <cell r="I2028" t="str">
            <v>COMMERCIAL</v>
          </cell>
        </row>
        <row r="2029">
          <cell r="I2029" t="str">
            <v>COMMERCIAL</v>
          </cell>
        </row>
        <row r="2030">
          <cell r="I2030" t="str">
            <v>COMMERCIAL</v>
          </cell>
        </row>
        <row r="2031">
          <cell r="I2031" t="str">
            <v>CONTRACTOR</v>
          </cell>
        </row>
        <row r="2032">
          <cell r="I2032" t="str">
            <v>COMMERICAL</v>
          </cell>
        </row>
        <row r="2033">
          <cell r="I2033" t="str">
            <v>COMMERICAL</v>
          </cell>
        </row>
        <row r="2034">
          <cell r="I2034" t="str">
            <v>CONTRACTOR</v>
          </cell>
        </row>
        <row r="2035">
          <cell r="I2035" t="str">
            <v>CONTRACTOR</v>
          </cell>
        </row>
        <row r="2036">
          <cell r="I2036" t="str">
            <v>CONTRACTOR</v>
          </cell>
        </row>
        <row r="2037">
          <cell r="I2037" t="str">
            <v>CONTRACTOR</v>
          </cell>
        </row>
        <row r="2038">
          <cell r="I2038" t="str">
            <v>CONTRACTOR</v>
          </cell>
        </row>
        <row r="2039">
          <cell r="I2039" t="str">
            <v>COMMERCIAL</v>
          </cell>
        </row>
        <row r="2040">
          <cell r="I2040" t="str">
            <v>COMMERCIAL</v>
          </cell>
        </row>
        <row r="2041">
          <cell r="I2041" t="str">
            <v>CONTRACTOR</v>
          </cell>
        </row>
        <row r="2042">
          <cell r="I2042" t="str">
            <v>CONTRACTOR</v>
          </cell>
        </row>
        <row r="2043">
          <cell r="I2043" t="str">
            <v>COMMERCIAL</v>
          </cell>
        </row>
        <row r="2044">
          <cell r="I2044" t="str">
            <v>COMMERICAL</v>
          </cell>
        </row>
        <row r="2045">
          <cell r="I2045" t="str">
            <v>CONTRACTOR</v>
          </cell>
        </row>
        <row r="2046">
          <cell r="I2046" t="str">
            <v>CONTRACTOR</v>
          </cell>
        </row>
        <row r="2047">
          <cell r="I2047" t="str">
            <v>CONTRACTOR</v>
          </cell>
        </row>
        <row r="2048">
          <cell r="I2048" t="str">
            <v>COMMERICAL</v>
          </cell>
        </row>
        <row r="2049">
          <cell r="I2049" t="str">
            <v>CONTRACTOR</v>
          </cell>
        </row>
        <row r="2050">
          <cell r="I2050" t="str">
            <v>COMMERICAL</v>
          </cell>
        </row>
        <row r="2051">
          <cell r="I2051" t="str">
            <v>CONTRACTOR</v>
          </cell>
        </row>
        <row r="2052">
          <cell r="I2052" t="str">
            <v>CONTRACTOR</v>
          </cell>
        </row>
        <row r="2053">
          <cell r="I2053" t="str">
            <v>CONTRACTOR</v>
          </cell>
        </row>
        <row r="2054">
          <cell r="I2054" t="str">
            <v>COMMERICAL</v>
          </cell>
        </row>
        <row r="2055">
          <cell r="I2055" t="str">
            <v>COMMERICAL</v>
          </cell>
        </row>
        <row r="2056">
          <cell r="I2056" t="str">
            <v>CONTRACTOR</v>
          </cell>
        </row>
        <row r="2057">
          <cell r="I2057" t="str">
            <v>COMMERICAL</v>
          </cell>
        </row>
        <row r="2058">
          <cell r="I2058" t="str">
            <v>COMMERICAL</v>
          </cell>
        </row>
        <row r="2059">
          <cell r="I2059" t="str">
            <v>CONTRACTOR</v>
          </cell>
        </row>
        <row r="2060">
          <cell r="I2060" t="str">
            <v>CONTRACTOR</v>
          </cell>
        </row>
        <row r="2061">
          <cell r="I2061" t="str">
            <v>COMMERICAL</v>
          </cell>
        </row>
        <row r="2062">
          <cell r="I2062" t="str">
            <v>COMMERICAL</v>
          </cell>
        </row>
        <row r="2063">
          <cell r="I2063" t="str">
            <v>CONTRACTOR</v>
          </cell>
        </row>
        <row r="2064">
          <cell r="I2064" t="str">
            <v>CONTRACTOR</v>
          </cell>
        </row>
        <row r="2065">
          <cell r="I2065" t="str">
            <v>COMMERICAL</v>
          </cell>
        </row>
        <row r="2066">
          <cell r="I2066" t="str">
            <v>CONTRACTOR</v>
          </cell>
        </row>
        <row r="2067">
          <cell r="I2067" t="str">
            <v>COMMERICAL</v>
          </cell>
        </row>
        <row r="2068">
          <cell r="I2068" t="str">
            <v>COMMERICAL</v>
          </cell>
        </row>
        <row r="2069">
          <cell r="I2069" t="str">
            <v>COMMERICAL</v>
          </cell>
        </row>
        <row r="2070">
          <cell r="I2070" t="str">
            <v>COMMERICAL</v>
          </cell>
        </row>
        <row r="2071">
          <cell r="I2071" t="str">
            <v>CONTRACTOR</v>
          </cell>
        </row>
        <row r="2072">
          <cell r="I2072" t="str">
            <v>COMMERICAL</v>
          </cell>
        </row>
        <row r="2073">
          <cell r="I2073" t="str">
            <v>COMMERCIAL</v>
          </cell>
        </row>
        <row r="2074">
          <cell r="I2074" t="str">
            <v>COMMERCIAL</v>
          </cell>
        </row>
        <row r="2075">
          <cell r="I2075" t="str">
            <v>COMMERCIAL</v>
          </cell>
        </row>
        <row r="2076">
          <cell r="I2076" t="str">
            <v>COMMERCIAL</v>
          </cell>
        </row>
        <row r="2077">
          <cell r="I2077" t="str">
            <v>COMMERCIAL</v>
          </cell>
        </row>
        <row r="2078">
          <cell r="I2078" t="str">
            <v>COMMERCIAL</v>
          </cell>
        </row>
        <row r="2079">
          <cell r="I2079" t="str">
            <v>COMMERCIAL</v>
          </cell>
        </row>
        <row r="2080">
          <cell r="I2080" t="str">
            <v>COMMERCIAL</v>
          </cell>
        </row>
        <row r="2081">
          <cell r="I2081" t="str">
            <v>CONTRACTOR</v>
          </cell>
        </row>
        <row r="2082">
          <cell r="I2082" t="str">
            <v>COMMERCIAL</v>
          </cell>
        </row>
        <row r="2083">
          <cell r="I2083" t="str">
            <v>COMMERCIAL</v>
          </cell>
        </row>
        <row r="2084">
          <cell r="I2084" t="str">
            <v>COMMERCIAL</v>
          </cell>
        </row>
        <row r="2085">
          <cell r="I2085" t="str">
            <v>COMMERCIAL</v>
          </cell>
        </row>
        <row r="2086">
          <cell r="I2086" t="str">
            <v>CONTRACTOR</v>
          </cell>
        </row>
        <row r="2087">
          <cell r="I2087" t="str">
            <v>COMMERCIAL</v>
          </cell>
        </row>
        <row r="2088">
          <cell r="I2088" t="str">
            <v>COMMERCIAL</v>
          </cell>
        </row>
        <row r="2089">
          <cell r="I2089" t="str">
            <v>CONTRACTOR</v>
          </cell>
        </row>
        <row r="2090">
          <cell r="I2090" t="str">
            <v>COMMERCIAL</v>
          </cell>
        </row>
        <row r="2091">
          <cell r="I2091" t="str">
            <v>COMMERCIAL</v>
          </cell>
        </row>
        <row r="2092">
          <cell r="I2092" t="str">
            <v>CONTRACTOR</v>
          </cell>
        </row>
        <row r="2093">
          <cell r="I2093" t="str">
            <v>CONTRACTOR</v>
          </cell>
        </row>
        <row r="2094">
          <cell r="I2094" t="str">
            <v>COMMERCIAL</v>
          </cell>
        </row>
        <row r="2095">
          <cell r="I2095" t="str">
            <v>CONTRACTOR</v>
          </cell>
        </row>
        <row r="2096">
          <cell r="I2096" t="str">
            <v>COMMERCIAL</v>
          </cell>
        </row>
        <row r="2097">
          <cell r="I2097" t="str">
            <v>CONTRACTOR</v>
          </cell>
        </row>
        <row r="2098">
          <cell r="I2098" t="str">
            <v>CONTRACTOR</v>
          </cell>
        </row>
        <row r="2099">
          <cell r="I2099" t="str">
            <v>COMMERCIAL</v>
          </cell>
        </row>
        <row r="2100">
          <cell r="I2100" t="str">
            <v>COMMERCIAL</v>
          </cell>
        </row>
        <row r="2101">
          <cell r="I2101" t="str">
            <v>COMMERCIAL</v>
          </cell>
        </row>
        <row r="2102">
          <cell r="I2102" t="str">
            <v>CONTRACTOR</v>
          </cell>
        </row>
        <row r="2103">
          <cell r="I2103" t="str">
            <v>COMMERCIAL</v>
          </cell>
        </row>
        <row r="2104">
          <cell r="I2104" t="str">
            <v>CONTRACTOR</v>
          </cell>
        </row>
        <row r="2105">
          <cell r="I2105" t="str">
            <v>CONTRACTOR</v>
          </cell>
        </row>
        <row r="2106">
          <cell r="I2106" t="str">
            <v>CONTRACTOR</v>
          </cell>
        </row>
        <row r="2107">
          <cell r="I2107" t="str">
            <v>CONTRACTOR</v>
          </cell>
        </row>
        <row r="2108">
          <cell r="I2108" t="str">
            <v>CONTRACTOR</v>
          </cell>
        </row>
        <row r="2109">
          <cell r="I2109" t="str">
            <v>CONTRACTOR</v>
          </cell>
        </row>
        <row r="2110">
          <cell r="I2110" t="str">
            <v>CONTRACTOR</v>
          </cell>
        </row>
        <row r="2111">
          <cell r="I2111" t="str">
            <v>COMMERCIAL</v>
          </cell>
        </row>
        <row r="2112">
          <cell r="I2112" t="str">
            <v>CONTRACTOR</v>
          </cell>
        </row>
        <row r="2113">
          <cell r="I2113" t="str">
            <v>CONTRACTOR</v>
          </cell>
        </row>
        <row r="2114">
          <cell r="I2114" t="str">
            <v>CONTRACTOR</v>
          </cell>
        </row>
        <row r="2115">
          <cell r="I2115" t="str">
            <v>CONTRACTOR</v>
          </cell>
        </row>
        <row r="2116">
          <cell r="I2116" t="str">
            <v>COMMERCIAL</v>
          </cell>
        </row>
        <row r="2117">
          <cell r="I2117" t="str">
            <v>COMMERICAL</v>
          </cell>
        </row>
        <row r="2118">
          <cell r="I2118" t="str">
            <v>CONTRACTOR</v>
          </cell>
        </row>
        <row r="2119">
          <cell r="I2119" t="str">
            <v>CONTRACTOR</v>
          </cell>
        </row>
        <row r="2120">
          <cell r="I2120" t="str">
            <v>CONTRACTOR</v>
          </cell>
        </row>
        <row r="2121">
          <cell r="I2121" t="str">
            <v>COMMERICAL</v>
          </cell>
        </row>
        <row r="2122">
          <cell r="I2122" t="str">
            <v>CONTRACTOR</v>
          </cell>
        </row>
        <row r="2123">
          <cell r="I2123" t="str">
            <v>CONTRACTOR</v>
          </cell>
        </row>
        <row r="2124">
          <cell r="I2124" t="str">
            <v>CONTRACTOR</v>
          </cell>
        </row>
        <row r="2125">
          <cell r="I2125" t="str">
            <v>CONTRACTOR</v>
          </cell>
        </row>
        <row r="2126">
          <cell r="I2126" t="str">
            <v>CONTRACTOR</v>
          </cell>
        </row>
        <row r="2127">
          <cell r="I2127" t="str">
            <v>COMMERICAL</v>
          </cell>
        </row>
        <row r="2128">
          <cell r="I2128" t="str">
            <v>COMMERICAL</v>
          </cell>
        </row>
        <row r="2129">
          <cell r="I2129" t="str">
            <v>CONTRACTOR</v>
          </cell>
        </row>
        <row r="2130">
          <cell r="I2130" t="str">
            <v>COMMERCIAL</v>
          </cell>
        </row>
        <row r="2131">
          <cell r="I2131" t="str">
            <v>CONTRACTOR</v>
          </cell>
        </row>
        <row r="2132">
          <cell r="I2132" t="str">
            <v>CONTRACTOR</v>
          </cell>
        </row>
        <row r="2133">
          <cell r="I2133" t="str">
            <v>COMMERCIAL</v>
          </cell>
        </row>
        <row r="2134">
          <cell r="I2134" t="str">
            <v>COMMERCIAL</v>
          </cell>
        </row>
        <row r="2135">
          <cell r="I2135" t="str">
            <v>CONTRACTOR</v>
          </cell>
        </row>
        <row r="2136">
          <cell r="I2136" t="str">
            <v>COMMERCIAL</v>
          </cell>
        </row>
        <row r="2137">
          <cell r="I2137" t="str">
            <v>CONTRACTOR</v>
          </cell>
        </row>
        <row r="2138">
          <cell r="I2138" t="str">
            <v>COMMERCIAL</v>
          </cell>
        </row>
        <row r="2139">
          <cell r="I2139" t="str">
            <v>COMMERCIAL</v>
          </cell>
        </row>
        <row r="2140">
          <cell r="I2140" t="str">
            <v>COMMERCIAL</v>
          </cell>
        </row>
        <row r="2141">
          <cell r="I2141" t="str">
            <v>COMMERCIAL</v>
          </cell>
        </row>
        <row r="2142">
          <cell r="I2142" t="str">
            <v>COMMERCIAL</v>
          </cell>
        </row>
        <row r="2143">
          <cell r="I2143" t="str">
            <v>COMMERCIAL</v>
          </cell>
        </row>
        <row r="2144">
          <cell r="I2144" t="str">
            <v>COMMERCIAL</v>
          </cell>
        </row>
        <row r="2145">
          <cell r="I2145" t="str">
            <v>COMMERCIAL</v>
          </cell>
        </row>
        <row r="2146">
          <cell r="I2146" t="str">
            <v>CONTRACTOR</v>
          </cell>
        </row>
        <row r="2147">
          <cell r="I2147" t="str">
            <v>COMMERCIAL</v>
          </cell>
        </row>
        <row r="2148">
          <cell r="I2148" t="str">
            <v>COMMERCIAL</v>
          </cell>
        </row>
        <row r="2149">
          <cell r="I2149" t="str">
            <v>COMMERCIAL</v>
          </cell>
        </row>
        <row r="2150">
          <cell r="I2150" t="str">
            <v>COMMERCIAL</v>
          </cell>
        </row>
        <row r="2151">
          <cell r="I2151" t="str">
            <v>COMMERICAL</v>
          </cell>
        </row>
        <row r="2152">
          <cell r="I2152" t="str">
            <v>COMMERICAL</v>
          </cell>
        </row>
        <row r="2153">
          <cell r="I2153" t="str">
            <v>CONTRACTOR</v>
          </cell>
        </row>
        <row r="2154">
          <cell r="I2154" t="str">
            <v>COMMERICAL</v>
          </cell>
        </row>
        <row r="2155">
          <cell r="I2155" t="str">
            <v>CONTRACTOR</v>
          </cell>
        </row>
        <row r="2156">
          <cell r="I2156" t="str">
            <v>CONTRACTOR</v>
          </cell>
        </row>
        <row r="2157">
          <cell r="I2157" t="str">
            <v>COMMERCIAL</v>
          </cell>
        </row>
        <row r="2158">
          <cell r="I2158" t="str">
            <v>CONTRACTOR</v>
          </cell>
        </row>
        <row r="2159">
          <cell r="I2159" t="str">
            <v>COMMERCIAL</v>
          </cell>
        </row>
        <row r="2160">
          <cell r="I2160" t="str">
            <v>COMMERCIAL</v>
          </cell>
        </row>
        <row r="2161">
          <cell r="I2161" t="str">
            <v>COMMERCIAL</v>
          </cell>
        </row>
        <row r="2162">
          <cell r="I2162" t="str">
            <v>CONTRACTOR</v>
          </cell>
        </row>
        <row r="2163">
          <cell r="I2163" t="str">
            <v>COMMERICAL</v>
          </cell>
        </row>
        <row r="2164">
          <cell r="I2164" t="str">
            <v>COMMERICAL</v>
          </cell>
        </row>
        <row r="2165">
          <cell r="I2165" t="str">
            <v>COMMERICAL</v>
          </cell>
        </row>
        <row r="2166">
          <cell r="I2166" t="str">
            <v>CONTRACTOR</v>
          </cell>
        </row>
        <row r="2167">
          <cell r="I2167" t="str">
            <v>COMMERICAL</v>
          </cell>
        </row>
        <row r="2168">
          <cell r="I2168" t="str">
            <v>COMMERICAL</v>
          </cell>
        </row>
        <row r="2169">
          <cell r="I2169" t="str">
            <v>COMMERICAL</v>
          </cell>
        </row>
        <row r="2170">
          <cell r="I2170" t="str">
            <v>COMMERICAL</v>
          </cell>
        </row>
        <row r="2171">
          <cell r="I2171" t="str">
            <v>COMMERICAL</v>
          </cell>
        </row>
        <row r="2172">
          <cell r="I2172" t="str">
            <v>COMMERICAL</v>
          </cell>
        </row>
        <row r="2173">
          <cell r="I2173" t="str">
            <v>COMMERICAL</v>
          </cell>
        </row>
        <row r="2174">
          <cell r="I2174" t="str">
            <v>CONTRACTOR</v>
          </cell>
        </row>
        <row r="2175">
          <cell r="I2175" t="str">
            <v>CONTRACTOR</v>
          </cell>
        </row>
        <row r="2176">
          <cell r="I2176" t="str">
            <v>COMMERICAL</v>
          </cell>
        </row>
        <row r="2177">
          <cell r="I2177" t="str">
            <v>COMMERCIAL</v>
          </cell>
        </row>
        <row r="2178">
          <cell r="I2178" t="str">
            <v>COMMERCIAL</v>
          </cell>
        </row>
        <row r="2179">
          <cell r="I2179" t="str">
            <v>COMMERICAL</v>
          </cell>
        </row>
        <row r="2180">
          <cell r="I2180" t="str">
            <v>COMMERICAL</v>
          </cell>
        </row>
        <row r="2181">
          <cell r="I2181" t="str">
            <v>COMMERCIAL</v>
          </cell>
        </row>
        <row r="2182">
          <cell r="I2182" t="str">
            <v>COMMERCIAL</v>
          </cell>
        </row>
        <row r="2183">
          <cell r="I2183" t="str">
            <v>COMMERCIAL</v>
          </cell>
        </row>
        <row r="2184">
          <cell r="I2184" t="str">
            <v>COMMERCIAL</v>
          </cell>
        </row>
        <row r="2185">
          <cell r="I2185" t="str">
            <v>COMMERCIAL</v>
          </cell>
        </row>
        <row r="2186">
          <cell r="I2186" t="str">
            <v>CONTRACTOR</v>
          </cell>
        </row>
        <row r="2187">
          <cell r="I2187" t="str">
            <v>COMMERCIAL</v>
          </cell>
        </row>
        <row r="2188">
          <cell r="I2188" t="str">
            <v>COMMERCIAL</v>
          </cell>
        </row>
        <row r="2189">
          <cell r="I2189" t="str">
            <v>CONTRACTOR</v>
          </cell>
        </row>
        <row r="2190">
          <cell r="I2190" t="str">
            <v>COMMERCIAL</v>
          </cell>
        </row>
        <row r="2191">
          <cell r="I2191" t="str">
            <v>COMMERCIAL</v>
          </cell>
        </row>
        <row r="2192">
          <cell r="I2192" t="str">
            <v>COMMERCIAL</v>
          </cell>
        </row>
        <row r="2193">
          <cell r="I2193" t="str">
            <v>COMMERCIAL</v>
          </cell>
        </row>
        <row r="2194">
          <cell r="I2194" t="str">
            <v>COMMERCIAL</v>
          </cell>
        </row>
        <row r="2195">
          <cell r="I2195" t="str">
            <v>COMMERCIAL</v>
          </cell>
        </row>
        <row r="2196">
          <cell r="I2196" t="str">
            <v>CONTRACTOR</v>
          </cell>
        </row>
        <row r="2197">
          <cell r="I2197" t="str">
            <v>COMMERICAL</v>
          </cell>
        </row>
        <row r="2198">
          <cell r="I2198" t="str">
            <v>CONTRACTOR</v>
          </cell>
        </row>
        <row r="2199">
          <cell r="I2199" t="str">
            <v>COMMERCIAL</v>
          </cell>
        </row>
        <row r="2200">
          <cell r="I2200" t="str">
            <v>COMMERCIAL</v>
          </cell>
        </row>
        <row r="2201">
          <cell r="I2201" t="str">
            <v>CONTRACTOR</v>
          </cell>
        </row>
        <row r="2202">
          <cell r="I2202" t="str">
            <v>COMMERCIAL</v>
          </cell>
        </row>
        <row r="2203">
          <cell r="I2203" t="str">
            <v>COMMERCIAL</v>
          </cell>
        </row>
        <row r="2204">
          <cell r="I2204" t="str">
            <v>CONTRACTOR</v>
          </cell>
        </row>
        <row r="2205">
          <cell r="I2205" t="str">
            <v>COMMERCIAL</v>
          </cell>
        </row>
        <row r="2206">
          <cell r="I2206" t="str">
            <v>COMMERCIAL</v>
          </cell>
        </row>
        <row r="2207">
          <cell r="I2207" t="str">
            <v>COMMERCIAL</v>
          </cell>
        </row>
        <row r="2208">
          <cell r="I2208" t="str">
            <v>COMMERCIAL</v>
          </cell>
        </row>
        <row r="2209">
          <cell r="I2209" t="str">
            <v>COMMERCIAL</v>
          </cell>
        </row>
        <row r="2210">
          <cell r="I2210" t="str">
            <v>CONTRACTOR</v>
          </cell>
        </row>
        <row r="2211">
          <cell r="I2211" t="str">
            <v>COMMERCIAL</v>
          </cell>
        </row>
        <row r="2212">
          <cell r="I2212" t="str">
            <v>COMMERCIAL</v>
          </cell>
        </row>
        <row r="2213">
          <cell r="I2213" t="str">
            <v>COMMERCIAL</v>
          </cell>
        </row>
        <row r="2214">
          <cell r="I2214" t="str">
            <v>COMMERCIAL</v>
          </cell>
        </row>
        <row r="2215">
          <cell r="I2215" t="str">
            <v>COMMERCIAL</v>
          </cell>
        </row>
        <row r="2216">
          <cell r="I2216" t="str">
            <v>COMMERCIAL</v>
          </cell>
        </row>
        <row r="2217">
          <cell r="I2217" t="str">
            <v>COMMERCIAL</v>
          </cell>
        </row>
        <row r="2218">
          <cell r="I2218" t="str">
            <v>COMMERCIAL</v>
          </cell>
        </row>
        <row r="2219">
          <cell r="I2219" t="str">
            <v>CONTRACTOR</v>
          </cell>
        </row>
        <row r="2220">
          <cell r="I2220" t="str">
            <v>COMMERCIAL</v>
          </cell>
        </row>
        <row r="2221">
          <cell r="I2221" t="str">
            <v>COMMERCIAL</v>
          </cell>
        </row>
        <row r="2222">
          <cell r="I2222" t="str">
            <v>COMMERCIAL</v>
          </cell>
        </row>
        <row r="2223">
          <cell r="I2223" t="str">
            <v>COMMERCIAL</v>
          </cell>
        </row>
        <row r="2224">
          <cell r="I2224" t="str">
            <v>COMMERCIAL</v>
          </cell>
        </row>
        <row r="2225">
          <cell r="I2225" t="str">
            <v>COMMERCIAL</v>
          </cell>
        </row>
        <row r="2226">
          <cell r="I2226" t="str">
            <v>CONTRACTOR</v>
          </cell>
        </row>
        <row r="2227">
          <cell r="I2227" t="str">
            <v>COMMERICAL</v>
          </cell>
        </row>
        <row r="2228">
          <cell r="I2228" t="str">
            <v>COMMERICAL</v>
          </cell>
        </row>
        <row r="2229">
          <cell r="I2229" t="str">
            <v>COMMERICAL</v>
          </cell>
        </row>
        <row r="2230">
          <cell r="I2230" t="str">
            <v>CONTRACTOR</v>
          </cell>
        </row>
        <row r="2231">
          <cell r="I2231" t="str">
            <v>CONTRACTOR</v>
          </cell>
        </row>
        <row r="2232">
          <cell r="I2232" t="str">
            <v>COMMERICAL</v>
          </cell>
        </row>
        <row r="2233">
          <cell r="I2233" t="str">
            <v>COMMERICAL</v>
          </cell>
        </row>
        <row r="2234">
          <cell r="I2234" t="str">
            <v>COMMERICAL</v>
          </cell>
        </row>
        <row r="2235">
          <cell r="I2235" t="str">
            <v>COMMERICAL</v>
          </cell>
        </row>
        <row r="2236">
          <cell r="I2236" t="str">
            <v>COMMERICAL</v>
          </cell>
        </row>
        <row r="2237">
          <cell r="I2237" t="str">
            <v>COMMERICAL</v>
          </cell>
        </row>
        <row r="2238">
          <cell r="I2238" t="str">
            <v>CONTRACTOR</v>
          </cell>
        </row>
        <row r="2239">
          <cell r="I2239" t="str">
            <v>COMMERCIAL</v>
          </cell>
        </row>
        <row r="2240">
          <cell r="I2240" t="str">
            <v>COMMERICAL</v>
          </cell>
        </row>
        <row r="2241">
          <cell r="I2241" t="str">
            <v>COMMERICAL</v>
          </cell>
        </row>
        <row r="2242">
          <cell r="I2242" t="str">
            <v>CONTRACTOR</v>
          </cell>
        </row>
        <row r="2243">
          <cell r="I2243" t="str">
            <v>COMMERCIAL</v>
          </cell>
        </row>
        <row r="2244">
          <cell r="I2244" t="str">
            <v>COMMERCIAL</v>
          </cell>
        </row>
        <row r="2245">
          <cell r="I2245" t="str">
            <v>COMMERCIAL</v>
          </cell>
        </row>
        <row r="2246">
          <cell r="I2246" t="str">
            <v>COMMERICAL</v>
          </cell>
        </row>
        <row r="2247">
          <cell r="I2247" t="str">
            <v>CONTRACTOR</v>
          </cell>
        </row>
        <row r="2248">
          <cell r="I2248" t="str">
            <v>COMMERCIAL</v>
          </cell>
        </row>
        <row r="2249">
          <cell r="I2249" t="str">
            <v>COMMERCIAL</v>
          </cell>
        </row>
        <row r="2250">
          <cell r="I2250" t="str">
            <v>COMMERCIAL</v>
          </cell>
        </row>
        <row r="2251">
          <cell r="I2251" t="str">
            <v>CONTRACTOR</v>
          </cell>
        </row>
        <row r="2252">
          <cell r="I2252" t="str">
            <v>COMMERCIAL</v>
          </cell>
        </row>
        <row r="2253">
          <cell r="I2253" t="str">
            <v>COMMERCIAL</v>
          </cell>
        </row>
        <row r="2254">
          <cell r="I2254" t="str">
            <v>COMMERCIAL</v>
          </cell>
        </row>
        <row r="2255">
          <cell r="I2255" t="str">
            <v>COMMERCIAL</v>
          </cell>
        </row>
        <row r="2256">
          <cell r="I2256" t="str">
            <v>COMMERICAL</v>
          </cell>
        </row>
        <row r="2257">
          <cell r="I2257" t="str">
            <v>COMMERICAL</v>
          </cell>
        </row>
        <row r="2258">
          <cell r="I2258" t="str">
            <v>COMMERICAL</v>
          </cell>
        </row>
        <row r="2259">
          <cell r="I2259" t="str">
            <v>COMMERICAL</v>
          </cell>
        </row>
        <row r="2260">
          <cell r="I2260" t="str">
            <v>COMMERCIAL</v>
          </cell>
        </row>
        <row r="2261">
          <cell r="I2261" t="str">
            <v>COMMERCIAL</v>
          </cell>
        </row>
        <row r="2262">
          <cell r="I2262" t="str">
            <v>COMMERCIAL</v>
          </cell>
        </row>
        <row r="2263">
          <cell r="I2263" t="str">
            <v>COMMERCIAL</v>
          </cell>
        </row>
        <row r="2264">
          <cell r="I2264" t="str">
            <v>CONTRACTOR</v>
          </cell>
        </row>
        <row r="2265">
          <cell r="I2265" t="str">
            <v>COMMERCIAL</v>
          </cell>
        </row>
        <row r="2266">
          <cell r="I2266" t="str">
            <v>COMMERICAL</v>
          </cell>
        </row>
        <row r="2267">
          <cell r="I2267" t="str">
            <v>COMMERCIAL</v>
          </cell>
        </row>
        <row r="2268">
          <cell r="I2268" t="str">
            <v>COMMERCIAL</v>
          </cell>
        </row>
        <row r="2269">
          <cell r="I2269" t="str">
            <v>COMMERCIAL</v>
          </cell>
        </row>
        <row r="2270">
          <cell r="I2270" t="str">
            <v>COMMERCIAL</v>
          </cell>
        </row>
        <row r="2271">
          <cell r="I2271" t="str">
            <v>COMMERCIAL</v>
          </cell>
        </row>
        <row r="2272">
          <cell r="I2272" t="str">
            <v>COMMERCIAL</v>
          </cell>
        </row>
        <row r="2273">
          <cell r="I2273" t="str">
            <v>COMMERCIAL</v>
          </cell>
        </row>
        <row r="2274">
          <cell r="I2274" t="str">
            <v>COMMERCIAL</v>
          </cell>
        </row>
        <row r="2275">
          <cell r="I2275" t="str">
            <v>COMMERCIAL</v>
          </cell>
        </row>
        <row r="2276">
          <cell r="I2276" t="str">
            <v>COMMERCIAL</v>
          </cell>
        </row>
        <row r="2277">
          <cell r="I2277" t="str">
            <v>COMMERCIAL</v>
          </cell>
        </row>
        <row r="2278">
          <cell r="I2278" t="str">
            <v>COMMERCIAL</v>
          </cell>
        </row>
        <row r="2279">
          <cell r="I2279" t="str">
            <v>CONTRACTOR</v>
          </cell>
        </row>
        <row r="2280">
          <cell r="I2280" t="str">
            <v>COMMERCIAL</v>
          </cell>
        </row>
        <row r="2281">
          <cell r="I2281" t="str">
            <v>COMMERCIAL</v>
          </cell>
        </row>
        <row r="2282">
          <cell r="I2282" t="str">
            <v>COMMERCIAL</v>
          </cell>
        </row>
        <row r="2283">
          <cell r="I2283" t="str">
            <v>COMMERCIAL</v>
          </cell>
        </row>
        <row r="2284">
          <cell r="I2284" t="str">
            <v>CONTRACTOR</v>
          </cell>
        </row>
        <row r="2285">
          <cell r="I2285" t="str">
            <v>CONTRACTOR</v>
          </cell>
        </row>
        <row r="2286">
          <cell r="I2286" t="str">
            <v>CONTRACTOR</v>
          </cell>
        </row>
        <row r="2287">
          <cell r="I2287" t="str">
            <v>CONTRACTOR</v>
          </cell>
        </row>
        <row r="2288">
          <cell r="I2288" t="str">
            <v>COMMERCIAL</v>
          </cell>
        </row>
        <row r="2289">
          <cell r="I2289" t="str">
            <v>CONTRACTOR</v>
          </cell>
        </row>
        <row r="2290">
          <cell r="I2290" t="str">
            <v>COMMERCIAL</v>
          </cell>
        </row>
        <row r="2291">
          <cell r="I2291" t="str">
            <v>COMMERCIAL</v>
          </cell>
        </row>
        <row r="2292">
          <cell r="I2292" t="str">
            <v>COMMERCIAL</v>
          </cell>
        </row>
        <row r="2293">
          <cell r="I2293" t="str">
            <v>COMMERCIAL</v>
          </cell>
        </row>
        <row r="2294">
          <cell r="I2294" t="str">
            <v>CONTRACTOR</v>
          </cell>
        </row>
        <row r="2295">
          <cell r="I2295" t="str">
            <v>COMMERCIAL</v>
          </cell>
        </row>
        <row r="2296">
          <cell r="I2296" t="str">
            <v>COMMERCIAL</v>
          </cell>
        </row>
        <row r="2297">
          <cell r="I2297" t="str">
            <v>COMMERCIAL</v>
          </cell>
        </row>
        <row r="2298">
          <cell r="I2298" t="str">
            <v>COMMERCIAL</v>
          </cell>
        </row>
        <row r="2299">
          <cell r="I2299" t="str">
            <v>CONTRACTOR</v>
          </cell>
        </row>
        <row r="2300">
          <cell r="I2300" t="str">
            <v>COMMERCIAL</v>
          </cell>
        </row>
        <row r="2301">
          <cell r="I2301" t="str">
            <v>COMMERCIAL</v>
          </cell>
        </row>
        <row r="2302">
          <cell r="I2302" t="str">
            <v>COMMERCIAL</v>
          </cell>
        </row>
        <row r="2303">
          <cell r="I2303" t="str">
            <v>CONTRACTOR</v>
          </cell>
        </row>
        <row r="2304">
          <cell r="I2304" t="str">
            <v>COMMERCIAL</v>
          </cell>
        </row>
        <row r="2305">
          <cell r="I2305" t="str">
            <v>COMMERCIAL</v>
          </cell>
        </row>
        <row r="2306">
          <cell r="I2306" t="str">
            <v>COMMERCIAL</v>
          </cell>
        </row>
        <row r="2307">
          <cell r="I2307" t="str">
            <v>COMMERCIAL</v>
          </cell>
        </row>
        <row r="2308">
          <cell r="I2308" t="str">
            <v>COMMERCIAL</v>
          </cell>
        </row>
        <row r="2309">
          <cell r="I2309" t="str">
            <v>CONTRACTOR</v>
          </cell>
        </row>
        <row r="2310">
          <cell r="I2310" t="str">
            <v>COMMERCIAL</v>
          </cell>
        </row>
        <row r="2311">
          <cell r="I2311" t="str">
            <v>COMMERCIAL</v>
          </cell>
        </row>
        <row r="2312">
          <cell r="I2312" t="str">
            <v>COMMERCIAL</v>
          </cell>
        </row>
        <row r="2313">
          <cell r="I2313" t="str">
            <v>CONTRACTOR</v>
          </cell>
        </row>
        <row r="2314">
          <cell r="I2314" t="str">
            <v>COMMERCIAL</v>
          </cell>
        </row>
        <row r="2315">
          <cell r="I2315" t="str">
            <v>COMMERCIAL</v>
          </cell>
        </row>
        <row r="2316">
          <cell r="I2316" t="str">
            <v>COMMERCIAL</v>
          </cell>
        </row>
        <row r="2317">
          <cell r="I2317" t="str">
            <v>COMMERCIAL</v>
          </cell>
        </row>
        <row r="2318">
          <cell r="I2318" t="str">
            <v>COMMERCIAL</v>
          </cell>
        </row>
        <row r="2319">
          <cell r="I2319" t="str">
            <v>COMMERCIAL</v>
          </cell>
        </row>
        <row r="2320">
          <cell r="I2320" t="str">
            <v>CONTRACTOR</v>
          </cell>
        </row>
        <row r="2321">
          <cell r="I2321" t="str">
            <v>COMMERCIAL</v>
          </cell>
        </row>
        <row r="2322">
          <cell r="I2322" t="str">
            <v>COMMERCIAL</v>
          </cell>
        </row>
        <row r="2323">
          <cell r="I2323" t="str">
            <v>COMMERCIAL</v>
          </cell>
        </row>
        <row r="2324">
          <cell r="I2324" t="str">
            <v>COMMERCIAL</v>
          </cell>
        </row>
        <row r="2325">
          <cell r="I2325" t="str">
            <v>CONTRACTOR</v>
          </cell>
        </row>
        <row r="2326">
          <cell r="I2326" t="str">
            <v>COMMERCIAL</v>
          </cell>
        </row>
        <row r="2327">
          <cell r="I2327" t="str">
            <v>COMMERCIAL</v>
          </cell>
        </row>
        <row r="2328">
          <cell r="I2328" t="str">
            <v>COMMERCIAL</v>
          </cell>
        </row>
        <row r="2329">
          <cell r="I2329" t="str">
            <v>COMMERCIAL</v>
          </cell>
        </row>
        <row r="2330">
          <cell r="I2330" t="str">
            <v>COMMERCIAL</v>
          </cell>
        </row>
        <row r="2331">
          <cell r="I2331" t="str">
            <v>COMMERCIAL</v>
          </cell>
        </row>
        <row r="2332">
          <cell r="I2332" t="str">
            <v>CONTRACTOR</v>
          </cell>
        </row>
        <row r="2333">
          <cell r="I2333" t="str">
            <v>COMMERCIAL</v>
          </cell>
        </row>
        <row r="2334">
          <cell r="I2334" t="str">
            <v>COMMERCIAL</v>
          </cell>
        </row>
        <row r="2335">
          <cell r="I2335" t="str">
            <v>COMMERCIAL</v>
          </cell>
        </row>
        <row r="2336">
          <cell r="I2336" t="str">
            <v>COMMERCIAL</v>
          </cell>
        </row>
        <row r="2337">
          <cell r="I2337" t="str">
            <v>CONTRACTOR</v>
          </cell>
        </row>
        <row r="2338">
          <cell r="I2338" t="str">
            <v>CONTRACTOR</v>
          </cell>
        </row>
        <row r="2339">
          <cell r="I2339" t="str">
            <v>COMMERCIAL</v>
          </cell>
        </row>
        <row r="2340">
          <cell r="I2340" t="str">
            <v>CONTRACTOR</v>
          </cell>
        </row>
        <row r="2341">
          <cell r="I2341" t="str">
            <v>COMMERCIAL</v>
          </cell>
        </row>
        <row r="2342">
          <cell r="I2342" t="str">
            <v>COMMERCIAL</v>
          </cell>
        </row>
        <row r="2343">
          <cell r="I2343" t="str">
            <v>COMMERCIAL</v>
          </cell>
        </row>
        <row r="2344">
          <cell r="I2344" t="str">
            <v>COMMERCIAL</v>
          </cell>
        </row>
        <row r="2345">
          <cell r="I2345" t="str">
            <v>COMMERCIAL</v>
          </cell>
        </row>
        <row r="2346">
          <cell r="I2346" t="str">
            <v>COMMERCIAL</v>
          </cell>
        </row>
        <row r="2347">
          <cell r="I2347" t="str">
            <v>CONTRACTOR</v>
          </cell>
        </row>
        <row r="2348">
          <cell r="I2348" t="str">
            <v>CONTRACTOR</v>
          </cell>
        </row>
        <row r="2349">
          <cell r="I2349" t="str">
            <v>CONTRACTOR</v>
          </cell>
        </row>
        <row r="2350">
          <cell r="I2350" t="str">
            <v>CONTRACTOR</v>
          </cell>
        </row>
        <row r="2351">
          <cell r="I2351" t="str">
            <v>COMMERICAL</v>
          </cell>
        </row>
        <row r="2352">
          <cell r="I2352" t="str">
            <v>COMMERICAL</v>
          </cell>
        </row>
        <row r="2353">
          <cell r="I2353" t="str">
            <v>CONTRACTOR</v>
          </cell>
        </row>
        <row r="2354">
          <cell r="I2354" t="str">
            <v>COMMERICAL</v>
          </cell>
        </row>
        <row r="2355">
          <cell r="I2355" t="str">
            <v>CONTRACTOR</v>
          </cell>
        </row>
        <row r="2356">
          <cell r="I2356" t="str">
            <v>CONTRACTOR</v>
          </cell>
        </row>
        <row r="2357">
          <cell r="I2357" t="str">
            <v>CONTRACTOR</v>
          </cell>
        </row>
        <row r="2358">
          <cell r="I2358" t="str">
            <v>COMMERCIAL</v>
          </cell>
        </row>
        <row r="2359">
          <cell r="I2359" t="str">
            <v>COMMERCIAL</v>
          </cell>
        </row>
        <row r="2360">
          <cell r="I2360" t="str">
            <v>COMMERCIAL</v>
          </cell>
        </row>
        <row r="2361">
          <cell r="I2361" t="str">
            <v>COMMERICAL</v>
          </cell>
        </row>
        <row r="2362">
          <cell r="I2362" t="str">
            <v>COMMERCIAL</v>
          </cell>
        </row>
        <row r="2363">
          <cell r="I2363" t="str">
            <v>COMMERCIAL</v>
          </cell>
        </row>
        <row r="2364">
          <cell r="I2364" t="str">
            <v>CONTRACTOR</v>
          </cell>
        </row>
        <row r="2365">
          <cell r="I2365" t="str">
            <v>COMMERCIAL</v>
          </cell>
        </row>
        <row r="2366">
          <cell r="I2366" t="str">
            <v>COMMERCIAL</v>
          </cell>
        </row>
        <row r="2367">
          <cell r="I2367" t="str">
            <v>COMMERCIAL</v>
          </cell>
        </row>
        <row r="2368">
          <cell r="I2368" t="str">
            <v>CONTRACTOR</v>
          </cell>
        </row>
        <row r="2369">
          <cell r="I2369" t="str">
            <v>COMMERCIAL</v>
          </cell>
        </row>
        <row r="2370">
          <cell r="I2370" t="str">
            <v>COMMERCIAL</v>
          </cell>
        </row>
        <row r="2371">
          <cell r="I2371" t="str">
            <v>CONTRACTOR</v>
          </cell>
        </row>
        <row r="2372">
          <cell r="I2372" t="str">
            <v>COMMERCIAL</v>
          </cell>
        </row>
        <row r="2373">
          <cell r="I2373" t="str">
            <v>CONTRACTOR</v>
          </cell>
        </row>
        <row r="2374">
          <cell r="I2374" t="str">
            <v>CONTRACTOR</v>
          </cell>
        </row>
        <row r="2375">
          <cell r="I2375" t="str">
            <v>CONTRACTOR</v>
          </cell>
        </row>
        <row r="2376">
          <cell r="I2376" t="str">
            <v>CONTRACTOR</v>
          </cell>
        </row>
        <row r="2377">
          <cell r="I2377" t="str">
            <v>CONTRACTOR</v>
          </cell>
        </row>
        <row r="2378">
          <cell r="I2378" t="str">
            <v>CONTRACTOR</v>
          </cell>
        </row>
        <row r="2379">
          <cell r="I2379" t="str">
            <v>CONTRACTOR</v>
          </cell>
        </row>
        <row r="2380">
          <cell r="I2380" t="str">
            <v>COMMERCIAL</v>
          </cell>
        </row>
        <row r="2381">
          <cell r="I2381" t="str">
            <v>COMMERCIAL</v>
          </cell>
        </row>
        <row r="2382">
          <cell r="I2382" t="str">
            <v>CONTRACTOR</v>
          </cell>
        </row>
        <row r="2383">
          <cell r="I2383" t="str">
            <v>CONTRACTOR</v>
          </cell>
        </row>
        <row r="2384">
          <cell r="I2384" t="str">
            <v>COMMERCIAL</v>
          </cell>
        </row>
        <row r="2385">
          <cell r="I2385" t="str">
            <v>COMMERCIAL</v>
          </cell>
        </row>
        <row r="2386">
          <cell r="I2386" t="str">
            <v>CONTRACTOR</v>
          </cell>
        </row>
        <row r="2387">
          <cell r="I2387" t="str">
            <v>CONTRACTOR</v>
          </cell>
        </row>
        <row r="2388">
          <cell r="I2388" t="str">
            <v>CONTRACTOR</v>
          </cell>
        </row>
        <row r="2389">
          <cell r="I2389" t="str">
            <v>COMMERCIAL</v>
          </cell>
        </row>
        <row r="2390">
          <cell r="I2390" t="str">
            <v>COMMERCIAL</v>
          </cell>
        </row>
        <row r="2391">
          <cell r="I2391" t="str">
            <v>COMMERCIAL</v>
          </cell>
        </row>
        <row r="2392">
          <cell r="I2392" t="str">
            <v>COMMERCIAL</v>
          </cell>
        </row>
        <row r="2393">
          <cell r="I2393" t="str">
            <v>COMMERCIAL</v>
          </cell>
        </row>
        <row r="2394">
          <cell r="I2394" t="str">
            <v>COMMERCIAL</v>
          </cell>
        </row>
        <row r="2395">
          <cell r="I2395" t="str">
            <v>COMMERCIAL</v>
          </cell>
        </row>
        <row r="2396">
          <cell r="I2396" t="str">
            <v>COMMERCIAL</v>
          </cell>
        </row>
        <row r="2397">
          <cell r="I2397" t="str">
            <v>COMMERCIAL</v>
          </cell>
        </row>
        <row r="2398">
          <cell r="I2398" t="str">
            <v>COMMERCIAL</v>
          </cell>
        </row>
        <row r="2399">
          <cell r="I2399" t="str">
            <v>CONTRACTOR</v>
          </cell>
        </row>
        <row r="2400">
          <cell r="I2400" t="str">
            <v>CONTRACTOR</v>
          </cell>
        </row>
        <row r="2401">
          <cell r="I2401" t="str">
            <v>CONTRACTOR</v>
          </cell>
        </row>
        <row r="2402">
          <cell r="I2402" t="str">
            <v>COMMERCIAL</v>
          </cell>
        </row>
        <row r="2403">
          <cell r="I2403" t="str">
            <v>COMMERCIAL</v>
          </cell>
        </row>
        <row r="2404">
          <cell r="I2404" t="str">
            <v>CONTRACTOR</v>
          </cell>
        </row>
        <row r="2405">
          <cell r="I2405" t="str">
            <v>COMMERCIAL</v>
          </cell>
        </row>
        <row r="2406">
          <cell r="I2406" t="str">
            <v>CONTRACTOR</v>
          </cell>
        </row>
        <row r="2407">
          <cell r="I2407" t="str">
            <v>COMMERICAL</v>
          </cell>
        </row>
        <row r="2408">
          <cell r="I2408" t="str">
            <v>COMMERCIAL</v>
          </cell>
        </row>
        <row r="2409">
          <cell r="I2409" t="str">
            <v>COMMERCIAL</v>
          </cell>
        </row>
        <row r="2410">
          <cell r="I2410" t="str">
            <v>CONTRACTOR</v>
          </cell>
        </row>
        <row r="2411">
          <cell r="I2411" t="str">
            <v>CONTRACTOR</v>
          </cell>
        </row>
        <row r="2412">
          <cell r="I2412" t="str">
            <v>COMMERCIAL</v>
          </cell>
        </row>
        <row r="2413">
          <cell r="I2413" t="str">
            <v>COMMERCIAL</v>
          </cell>
        </row>
        <row r="2414">
          <cell r="I2414" t="str">
            <v>CONTRACTOR</v>
          </cell>
        </row>
        <row r="2415">
          <cell r="I2415" t="str">
            <v>COMMERCIAL</v>
          </cell>
        </row>
        <row r="2416">
          <cell r="I2416" t="str">
            <v>COMMERCIAL</v>
          </cell>
        </row>
        <row r="2417">
          <cell r="I2417" t="str">
            <v>CONTRACTOR</v>
          </cell>
        </row>
        <row r="2418">
          <cell r="I2418" t="str">
            <v>COMMERCIAL</v>
          </cell>
        </row>
        <row r="2419">
          <cell r="I2419" t="str">
            <v>COMMERCIAL</v>
          </cell>
        </row>
        <row r="2420">
          <cell r="I2420" t="str">
            <v>CONTRACTOR</v>
          </cell>
        </row>
        <row r="2421">
          <cell r="I2421" t="str">
            <v>COMMERCIAL</v>
          </cell>
        </row>
        <row r="2422">
          <cell r="I2422" t="str">
            <v>COMMERCIAL</v>
          </cell>
        </row>
        <row r="2423">
          <cell r="I2423" t="str">
            <v>COMMERCIAL</v>
          </cell>
        </row>
        <row r="2424">
          <cell r="I2424" t="str">
            <v>COMMERCIAL</v>
          </cell>
        </row>
        <row r="2425">
          <cell r="I2425" t="str">
            <v>CONTRACTOR</v>
          </cell>
        </row>
        <row r="2426">
          <cell r="I2426" t="str">
            <v>COMMERCIAL</v>
          </cell>
        </row>
        <row r="2427">
          <cell r="I2427" t="str">
            <v>COMMERCIAL</v>
          </cell>
        </row>
        <row r="2428">
          <cell r="I2428" t="str">
            <v>COMMERCIAL</v>
          </cell>
        </row>
        <row r="2429">
          <cell r="I2429" t="str">
            <v>COMMERCIAL</v>
          </cell>
        </row>
        <row r="2430">
          <cell r="I2430" t="str">
            <v>COMMERCIAL</v>
          </cell>
        </row>
        <row r="2431">
          <cell r="I2431" t="str">
            <v>COMMERCIAL</v>
          </cell>
        </row>
        <row r="2432">
          <cell r="I2432" t="str">
            <v>CONTRACTOR</v>
          </cell>
        </row>
        <row r="2433">
          <cell r="I2433" t="str">
            <v>COMMERCIAL</v>
          </cell>
        </row>
        <row r="2434">
          <cell r="I2434" t="str">
            <v>CONTRACTOR</v>
          </cell>
        </row>
        <row r="2435">
          <cell r="I2435" t="str">
            <v>COMMERCIAL</v>
          </cell>
        </row>
        <row r="2436">
          <cell r="I2436" t="str">
            <v>CONTRACTOR</v>
          </cell>
        </row>
        <row r="2437">
          <cell r="I2437" t="str">
            <v>CONTRACTOR</v>
          </cell>
        </row>
        <row r="2438">
          <cell r="I2438" t="str">
            <v>COMMERCIAL</v>
          </cell>
        </row>
        <row r="2439">
          <cell r="I2439" t="str">
            <v>CONTRACTOR</v>
          </cell>
        </row>
        <row r="2440">
          <cell r="I2440" t="str">
            <v>COMMERCIAL</v>
          </cell>
        </row>
        <row r="2441">
          <cell r="I2441" t="str">
            <v>COMMERCIAL</v>
          </cell>
        </row>
        <row r="2442">
          <cell r="I2442" t="str">
            <v>COMMERCIAL</v>
          </cell>
        </row>
        <row r="2443">
          <cell r="I2443" t="str">
            <v>CONTRACTOR</v>
          </cell>
        </row>
        <row r="2444">
          <cell r="I2444" t="str">
            <v>COMMERCIAL</v>
          </cell>
        </row>
        <row r="2445">
          <cell r="I2445" t="str">
            <v>CONTRACTOR</v>
          </cell>
        </row>
        <row r="2446">
          <cell r="I2446" t="str">
            <v>COMMERCIAL</v>
          </cell>
        </row>
        <row r="2447">
          <cell r="I2447" t="str">
            <v>CONTRACTOR</v>
          </cell>
        </row>
        <row r="2448">
          <cell r="I2448" t="str">
            <v>COMMERCIAL</v>
          </cell>
        </row>
        <row r="2449">
          <cell r="I2449" t="str">
            <v>CONTRACTOR</v>
          </cell>
        </row>
        <row r="2450">
          <cell r="I2450" t="str">
            <v>CONTRACTOR</v>
          </cell>
        </row>
        <row r="2451">
          <cell r="I2451" t="str">
            <v>CONTRACTOR</v>
          </cell>
        </row>
        <row r="2452">
          <cell r="I2452" t="str">
            <v>COMMERCIAL</v>
          </cell>
        </row>
        <row r="2453">
          <cell r="I2453" t="str">
            <v>CONTRACTOR</v>
          </cell>
        </row>
        <row r="2454">
          <cell r="I2454" t="str">
            <v>COMMERCIAL</v>
          </cell>
        </row>
        <row r="2455">
          <cell r="I2455" t="str">
            <v>CONTRACTOR</v>
          </cell>
        </row>
        <row r="2456">
          <cell r="I2456" t="str">
            <v>CONTRACTOR</v>
          </cell>
        </row>
        <row r="2457">
          <cell r="I2457" t="str">
            <v>CONTRACTOR</v>
          </cell>
        </row>
        <row r="2458">
          <cell r="I2458" t="str">
            <v>COMMERCIAL</v>
          </cell>
        </row>
        <row r="2459">
          <cell r="I2459" t="str">
            <v>COMMERCIAL</v>
          </cell>
        </row>
        <row r="2460">
          <cell r="I2460" t="str">
            <v>COMMERCIAL</v>
          </cell>
        </row>
        <row r="2461">
          <cell r="I2461" t="str">
            <v>COMMERICAL</v>
          </cell>
        </row>
        <row r="2462">
          <cell r="I2462" t="str">
            <v>CONTRACTOR</v>
          </cell>
        </row>
        <row r="2463">
          <cell r="I2463" t="str">
            <v>COMMERICAL</v>
          </cell>
        </row>
        <row r="2464">
          <cell r="I2464" t="str">
            <v>CONTRACTOR</v>
          </cell>
        </row>
        <row r="2465">
          <cell r="I2465" t="str">
            <v>CONTRACTOR</v>
          </cell>
        </row>
        <row r="2466">
          <cell r="I2466" t="str">
            <v>COMMERCIAL</v>
          </cell>
        </row>
        <row r="2467">
          <cell r="I2467" t="str">
            <v>COMMERICAL</v>
          </cell>
        </row>
        <row r="2468">
          <cell r="I2468" t="str">
            <v>COMMERCIAL</v>
          </cell>
        </row>
        <row r="2469">
          <cell r="I2469" t="str">
            <v>COMMERCIAL</v>
          </cell>
        </row>
        <row r="2470">
          <cell r="I2470" t="str">
            <v>COMMERCIAL</v>
          </cell>
        </row>
        <row r="2471">
          <cell r="I2471" t="str">
            <v>COMMERCIAL</v>
          </cell>
        </row>
        <row r="2472">
          <cell r="I2472" t="str">
            <v>COMMERCIAL</v>
          </cell>
        </row>
        <row r="2473">
          <cell r="I2473" t="str">
            <v>COMMERCIAL</v>
          </cell>
        </row>
        <row r="2474">
          <cell r="I2474" t="str">
            <v>COMMERCIAL</v>
          </cell>
        </row>
        <row r="2475">
          <cell r="I2475" t="str">
            <v>CONTRACTOR</v>
          </cell>
        </row>
        <row r="2476">
          <cell r="I2476" t="str">
            <v>COMMERCIAL</v>
          </cell>
        </row>
        <row r="2477">
          <cell r="I2477" t="str">
            <v>COMMERCIAL</v>
          </cell>
        </row>
        <row r="2478">
          <cell r="I2478" t="str">
            <v>COMMERCIAL</v>
          </cell>
        </row>
        <row r="2479">
          <cell r="I2479" t="str">
            <v>COMMERCIAL</v>
          </cell>
        </row>
        <row r="2480">
          <cell r="I2480" t="str">
            <v>COMMERCIAL</v>
          </cell>
        </row>
        <row r="2481">
          <cell r="I2481" t="str">
            <v>COMMERCIAL</v>
          </cell>
        </row>
        <row r="2482">
          <cell r="I2482" t="str">
            <v>CONTRACTOR</v>
          </cell>
        </row>
        <row r="2483">
          <cell r="I2483" t="str">
            <v>CONTRACTOR</v>
          </cell>
        </row>
        <row r="2484">
          <cell r="I2484" t="str">
            <v>COMMERCIAL</v>
          </cell>
        </row>
        <row r="2485">
          <cell r="I2485" t="str">
            <v>COMMERCIAL</v>
          </cell>
        </row>
        <row r="2486">
          <cell r="I2486" t="str">
            <v>COMMERCIAL</v>
          </cell>
        </row>
        <row r="2487">
          <cell r="I2487" t="str">
            <v>COMMERCIAL</v>
          </cell>
        </row>
        <row r="2488">
          <cell r="I2488" t="str">
            <v>CONTRACTOR</v>
          </cell>
        </row>
        <row r="2489">
          <cell r="I2489" t="str">
            <v>COMMERCIAL</v>
          </cell>
        </row>
        <row r="2490">
          <cell r="I2490" t="str">
            <v>COMMERCIAL</v>
          </cell>
        </row>
        <row r="2491">
          <cell r="I2491" t="str">
            <v>COMMERCIAL</v>
          </cell>
        </row>
        <row r="2492">
          <cell r="I2492" t="str">
            <v>COMMERCIAL</v>
          </cell>
        </row>
        <row r="2493">
          <cell r="I2493" t="str">
            <v>COMMERCIAL</v>
          </cell>
        </row>
        <row r="2494">
          <cell r="I2494" t="str">
            <v>CONTRACTOR</v>
          </cell>
        </row>
        <row r="2495">
          <cell r="I2495" t="str">
            <v>COMMERCIAL</v>
          </cell>
        </row>
        <row r="2496">
          <cell r="I2496" t="str">
            <v>COMMERCIAL</v>
          </cell>
        </row>
        <row r="2497">
          <cell r="I2497" t="str">
            <v>COMMERCIAL</v>
          </cell>
        </row>
        <row r="2498">
          <cell r="I2498" t="str">
            <v>COMMERCIAL</v>
          </cell>
        </row>
        <row r="2499">
          <cell r="I2499" t="str">
            <v>COMMERCIAL</v>
          </cell>
        </row>
        <row r="2500">
          <cell r="I2500" t="str">
            <v>COMMERCIAL</v>
          </cell>
        </row>
        <row r="2501">
          <cell r="I2501" t="str">
            <v>COMMERCIAL</v>
          </cell>
        </row>
        <row r="2502">
          <cell r="I2502" t="str">
            <v>CONTRACTOR</v>
          </cell>
        </row>
        <row r="2503">
          <cell r="I2503" t="str">
            <v>CONTRACTOR</v>
          </cell>
        </row>
        <row r="2504">
          <cell r="I2504" t="str">
            <v>COMMERCIAL</v>
          </cell>
        </row>
        <row r="2505">
          <cell r="I2505" t="str">
            <v>COMMERCIAL</v>
          </cell>
        </row>
        <row r="2506">
          <cell r="I2506" t="str">
            <v>COMMERCIAL</v>
          </cell>
        </row>
        <row r="2507">
          <cell r="I2507" t="str">
            <v>CONTRACTOR</v>
          </cell>
        </row>
        <row r="2508">
          <cell r="I2508" t="str">
            <v>COMMERCIAL</v>
          </cell>
        </row>
        <row r="2509">
          <cell r="I2509" t="str">
            <v>COMMERCIAL</v>
          </cell>
        </row>
        <row r="2510">
          <cell r="I2510" t="str">
            <v>COMMERCIAL</v>
          </cell>
        </row>
        <row r="2511">
          <cell r="I2511" t="str">
            <v>COMMERCIAL</v>
          </cell>
        </row>
        <row r="2512">
          <cell r="I2512" t="str">
            <v>COMMERCIAL</v>
          </cell>
        </row>
        <row r="2513">
          <cell r="I2513" t="str">
            <v>COMMERCIAL</v>
          </cell>
        </row>
        <row r="2514">
          <cell r="I2514" t="str">
            <v>CONTRACTOR</v>
          </cell>
        </row>
        <row r="2515">
          <cell r="I2515" t="str">
            <v>COMMERCIAL</v>
          </cell>
        </row>
        <row r="2516">
          <cell r="I2516" t="str">
            <v>CONTRACTOR</v>
          </cell>
        </row>
        <row r="2517">
          <cell r="I2517" t="str">
            <v>COMMERCIAL</v>
          </cell>
        </row>
        <row r="2518">
          <cell r="I2518" t="str">
            <v>CONTRACTOR</v>
          </cell>
        </row>
        <row r="2519">
          <cell r="I2519" t="str">
            <v>COMMERICAL</v>
          </cell>
        </row>
        <row r="2520">
          <cell r="I2520" t="str">
            <v>COMMERICAL</v>
          </cell>
        </row>
        <row r="2521">
          <cell r="I2521" t="str">
            <v>COMMERICAL</v>
          </cell>
        </row>
        <row r="2522">
          <cell r="I2522" t="str">
            <v>COMMERICAL</v>
          </cell>
        </row>
        <row r="2523">
          <cell r="I2523" t="str">
            <v>COMMERICAL</v>
          </cell>
        </row>
        <row r="2524">
          <cell r="I2524" t="str">
            <v>CONTRACTOR</v>
          </cell>
        </row>
        <row r="2525">
          <cell r="I2525" t="str">
            <v>CONTRACTOR</v>
          </cell>
        </row>
        <row r="2526">
          <cell r="I2526" t="str">
            <v>COMMERICAL</v>
          </cell>
        </row>
        <row r="2527">
          <cell r="I2527" t="str">
            <v>COMMERCIAL</v>
          </cell>
        </row>
        <row r="2528">
          <cell r="I2528" t="str">
            <v>COMMERICAL</v>
          </cell>
        </row>
        <row r="2529">
          <cell r="I2529" t="str">
            <v>COMMERICAL</v>
          </cell>
        </row>
        <row r="2530">
          <cell r="I2530" t="str">
            <v>COMMERICAL</v>
          </cell>
        </row>
        <row r="2531">
          <cell r="I2531" t="str">
            <v>CONTRACTOR</v>
          </cell>
        </row>
        <row r="2532">
          <cell r="I2532" t="str">
            <v>COMMERICAL</v>
          </cell>
        </row>
        <row r="2533">
          <cell r="I2533" t="str">
            <v>COMMERICAL</v>
          </cell>
        </row>
        <row r="2534">
          <cell r="I2534" t="str">
            <v>COMMERCIAL</v>
          </cell>
        </row>
        <row r="2535">
          <cell r="I2535" t="str">
            <v>COMMERCIAL</v>
          </cell>
        </row>
        <row r="2536">
          <cell r="I2536" t="str">
            <v>COMMERCIAL</v>
          </cell>
        </row>
        <row r="2537">
          <cell r="I2537" t="str">
            <v>CONTRACTOR</v>
          </cell>
        </row>
        <row r="2538">
          <cell r="I2538" t="str">
            <v>COMMERCIAL</v>
          </cell>
        </row>
        <row r="2539">
          <cell r="I2539" t="str">
            <v>CONTRACTOR</v>
          </cell>
        </row>
        <row r="2540">
          <cell r="I2540" t="str">
            <v>COMMERCIAL</v>
          </cell>
        </row>
        <row r="2541">
          <cell r="I2541" t="str">
            <v>COMMERCIAL</v>
          </cell>
        </row>
        <row r="2542">
          <cell r="I2542" t="str">
            <v>COMMERCIAL</v>
          </cell>
        </row>
        <row r="2543">
          <cell r="I2543" t="str">
            <v>CONTRACTOR</v>
          </cell>
        </row>
        <row r="2544">
          <cell r="I2544" t="str">
            <v>CONTRACTOR</v>
          </cell>
        </row>
        <row r="2545">
          <cell r="I2545" t="str">
            <v>CONTRACTOR</v>
          </cell>
        </row>
        <row r="2546">
          <cell r="I2546" t="str">
            <v>CONTRACTOR</v>
          </cell>
        </row>
        <row r="2547">
          <cell r="I2547" t="str">
            <v>COMMERCIAL</v>
          </cell>
        </row>
        <row r="2548">
          <cell r="I2548" t="str">
            <v>CONTRACTOR</v>
          </cell>
        </row>
        <row r="2549">
          <cell r="I2549" t="str">
            <v>CONTRACTOR</v>
          </cell>
        </row>
        <row r="2550">
          <cell r="I2550" t="str">
            <v>CONTRACTOR</v>
          </cell>
        </row>
        <row r="2551">
          <cell r="I2551" t="str">
            <v>COMMERCIAL</v>
          </cell>
        </row>
        <row r="2552">
          <cell r="I2552" t="str">
            <v>COMMERCIAL</v>
          </cell>
        </row>
        <row r="2553">
          <cell r="I2553" t="str">
            <v>COMMERCIAL</v>
          </cell>
        </row>
        <row r="2554">
          <cell r="I2554" t="str">
            <v>COMMERCIAL</v>
          </cell>
        </row>
        <row r="2555">
          <cell r="I2555" t="str">
            <v>COMMERCIAL</v>
          </cell>
        </row>
        <row r="2556">
          <cell r="I2556" t="str">
            <v>CONTRACTOR</v>
          </cell>
        </row>
        <row r="2557">
          <cell r="I2557" t="str">
            <v>COMMERCIAL</v>
          </cell>
        </row>
        <row r="2558">
          <cell r="I2558" t="str">
            <v>COMMERCIAL</v>
          </cell>
        </row>
        <row r="2559">
          <cell r="I2559" t="str">
            <v>COMMERCIAL</v>
          </cell>
        </row>
        <row r="2560">
          <cell r="I2560" t="str">
            <v>COMMERICAL</v>
          </cell>
        </row>
        <row r="2561">
          <cell r="I2561" t="str">
            <v>COMMERICAL</v>
          </cell>
        </row>
        <row r="2562">
          <cell r="I2562" t="str">
            <v>COMMERICLA</v>
          </cell>
        </row>
        <row r="2563">
          <cell r="I2563" t="str">
            <v>COMMERICAL</v>
          </cell>
        </row>
        <row r="2564">
          <cell r="I2564" t="str">
            <v>COMMERICAL</v>
          </cell>
        </row>
        <row r="2565">
          <cell r="I2565" t="str">
            <v>COMMERICAL</v>
          </cell>
        </row>
        <row r="2566">
          <cell r="I2566" t="str">
            <v>COMMERICAL</v>
          </cell>
        </row>
        <row r="2567">
          <cell r="I2567" t="str">
            <v>COMMERCIAL</v>
          </cell>
        </row>
        <row r="2568">
          <cell r="I2568" t="str">
            <v>COMMERCIAL</v>
          </cell>
        </row>
        <row r="2569">
          <cell r="I2569" t="str">
            <v>COMMERCIAL</v>
          </cell>
        </row>
        <row r="2570">
          <cell r="I2570" t="str">
            <v>COMMERCIAL</v>
          </cell>
        </row>
        <row r="2571">
          <cell r="I2571" t="str">
            <v>COMMERCIAL</v>
          </cell>
        </row>
        <row r="2572">
          <cell r="I2572" t="str">
            <v>CONTRACTOR</v>
          </cell>
        </row>
        <row r="2573">
          <cell r="I2573" t="str">
            <v>COMMERCIAL</v>
          </cell>
        </row>
        <row r="2574">
          <cell r="I2574" t="str">
            <v>CONTRACTOR</v>
          </cell>
        </row>
        <row r="2575">
          <cell r="I2575" t="str">
            <v>COMMERCIAL</v>
          </cell>
        </row>
        <row r="2576">
          <cell r="I2576" t="str">
            <v>COMMERCIAL</v>
          </cell>
        </row>
        <row r="2577">
          <cell r="I2577" t="str">
            <v>COMMERCIAL</v>
          </cell>
        </row>
        <row r="2578">
          <cell r="I2578" t="str">
            <v>COMMERCIAL</v>
          </cell>
        </row>
        <row r="2579">
          <cell r="I2579" t="str">
            <v>COMMERCIAL</v>
          </cell>
        </row>
        <row r="2580">
          <cell r="I2580" t="str">
            <v>CONTRACTOR</v>
          </cell>
        </row>
        <row r="2581">
          <cell r="I2581" t="str">
            <v>COMMERCIAL</v>
          </cell>
        </row>
        <row r="2582">
          <cell r="I2582" t="str">
            <v>COMMERCIAL</v>
          </cell>
        </row>
        <row r="2583">
          <cell r="I2583" t="str">
            <v>COMMERCIAL</v>
          </cell>
        </row>
        <row r="2584">
          <cell r="I2584" t="str">
            <v>COMMERCIAL</v>
          </cell>
        </row>
        <row r="2585">
          <cell r="I2585" t="str">
            <v>COMMERCIAL</v>
          </cell>
        </row>
        <row r="2586">
          <cell r="I2586" t="str">
            <v>COMMERCIAL</v>
          </cell>
        </row>
        <row r="2587">
          <cell r="I2587" t="str">
            <v>COMMERCIAL</v>
          </cell>
        </row>
        <row r="2588">
          <cell r="I2588" t="str">
            <v>COMMERCIAL</v>
          </cell>
        </row>
        <row r="2589">
          <cell r="I2589" t="str">
            <v>COMMERCIAL</v>
          </cell>
        </row>
        <row r="2590">
          <cell r="I2590" t="str">
            <v>CONTRACTOR</v>
          </cell>
        </row>
        <row r="2591">
          <cell r="I2591" t="str">
            <v>CONTRACTOR</v>
          </cell>
        </row>
        <row r="2592">
          <cell r="I2592" t="str">
            <v>COMMERCIAL</v>
          </cell>
        </row>
        <row r="2593">
          <cell r="I2593" t="str">
            <v>COMMERCIAL</v>
          </cell>
        </row>
        <row r="2594">
          <cell r="I2594" t="str">
            <v>COMMERCIAL</v>
          </cell>
        </row>
        <row r="2595">
          <cell r="I2595" t="str">
            <v>CONTRACTOR</v>
          </cell>
        </row>
        <row r="2596">
          <cell r="I2596" t="str">
            <v>CONTRACTOR</v>
          </cell>
        </row>
        <row r="2597">
          <cell r="I2597" t="str">
            <v>COMMERCIAL</v>
          </cell>
        </row>
        <row r="2598">
          <cell r="I2598" t="str">
            <v>COMMERCIAL</v>
          </cell>
        </row>
        <row r="2599">
          <cell r="I2599" t="str">
            <v>CONTRACTOR</v>
          </cell>
        </row>
        <row r="2600">
          <cell r="I2600" t="str">
            <v>CONTRACTOR</v>
          </cell>
        </row>
        <row r="2601">
          <cell r="I2601" t="str">
            <v>CONTRACTOR</v>
          </cell>
        </row>
        <row r="2602">
          <cell r="I2602" t="str">
            <v>CONTRACTOR</v>
          </cell>
        </row>
        <row r="2603">
          <cell r="I2603" t="str">
            <v>CONTRACTOR</v>
          </cell>
        </row>
        <row r="2604">
          <cell r="I2604" t="str">
            <v>CONTRACTOR</v>
          </cell>
        </row>
        <row r="2605">
          <cell r="I2605" t="str">
            <v>CONTRACTOR</v>
          </cell>
        </row>
        <row r="2606">
          <cell r="I2606" t="str">
            <v>COMMERICAL</v>
          </cell>
        </row>
        <row r="2607">
          <cell r="I2607" t="str">
            <v>CONTRACTOR</v>
          </cell>
        </row>
        <row r="2608">
          <cell r="I2608" t="str">
            <v>COMMERCIAL</v>
          </cell>
        </row>
        <row r="2609">
          <cell r="I2609" t="str">
            <v>COMMERICAL</v>
          </cell>
        </row>
        <row r="2610">
          <cell r="I2610" t="str">
            <v>COMMERICAL</v>
          </cell>
        </row>
        <row r="2611">
          <cell r="I2611" t="str">
            <v>CONTRACTOR</v>
          </cell>
        </row>
        <row r="2612">
          <cell r="I2612" t="str">
            <v>CONTRACTOR</v>
          </cell>
        </row>
        <row r="2613">
          <cell r="I2613" t="str">
            <v>COMMERICAL</v>
          </cell>
        </row>
        <row r="2614">
          <cell r="I2614" t="str">
            <v>COMMERCIAL</v>
          </cell>
        </row>
        <row r="2615">
          <cell r="I2615" t="str">
            <v>COMMERICAL</v>
          </cell>
        </row>
        <row r="2616">
          <cell r="I2616" t="str">
            <v>CONTRACTOR</v>
          </cell>
        </row>
        <row r="2617">
          <cell r="I2617" t="str">
            <v>CONTRACTOR</v>
          </cell>
        </row>
        <row r="2618">
          <cell r="I2618" t="str">
            <v>CONTRACTOR</v>
          </cell>
        </row>
        <row r="2619">
          <cell r="I2619" t="str">
            <v>COMMERICAL</v>
          </cell>
        </row>
        <row r="2620">
          <cell r="I2620" t="str">
            <v>COMMERICAL</v>
          </cell>
        </row>
        <row r="2621">
          <cell r="I2621" t="str">
            <v>COMMERICAL</v>
          </cell>
        </row>
        <row r="2622">
          <cell r="I2622" t="str">
            <v>CONTRACTOR</v>
          </cell>
        </row>
        <row r="2623">
          <cell r="I2623" t="str">
            <v>COMMERCIAL</v>
          </cell>
        </row>
        <row r="2624">
          <cell r="I2624" t="str">
            <v>COMMERCIAL</v>
          </cell>
        </row>
        <row r="2625">
          <cell r="I2625" t="str">
            <v>COMMERCIAL</v>
          </cell>
        </row>
        <row r="2626">
          <cell r="I2626" t="str">
            <v>CONTRACTOR</v>
          </cell>
        </row>
        <row r="2627">
          <cell r="I2627" t="str">
            <v>COMMERCIAL</v>
          </cell>
        </row>
        <row r="2628">
          <cell r="I2628" t="str">
            <v>COMMERCIAL</v>
          </cell>
        </row>
        <row r="2629">
          <cell r="I2629" t="str">
            <v>COMMERCIAL</v>
          </cell>
        </row>
        <row r="2630">
          <cell r="I2630" t="str">
            <v>COMMERCIAL</v>
          </cell>
        </row>
        <row r="2631">
          <cell r="I2631" t="str">
            <v>COMMERCIAL</v>
          </cell>
        </row>
        <row r="2632">
          <cell r="I2632" t="str">
            <v>COMMERCIAL</v>
          </cell>
        </row>
        <row r="2633">
          <cell r="I2633" t="str">
            <v>CONTRACTOR</v>
          </cell>
        </row>
        <row r="2634">
          <cell r="I2634" t="str">
            <v>CONTRACTOR</v>
          </cell>
        </row>
        <row r="2635">
          <cell r="I2635" t="str">
            <v>COMMERCIAL</v>
          </cell>
        </row>
        <row r="2636">
          <cell r="I2636" t="str">
            <v>CONTRACTOR</v>
          </cell>
        </row>
        <row r="2637">
          <cell r="I2637" t="str">
            <v>CONTRACTOR</v>
          </cell>
        </row>
        <row r="2638">
          <cell r="I2638" t="str">
            <v>COMMERICAL</v>
          </cell>
        </row>
        <row r="2639">
          <cell r="I2639" t="str">
            <v>COMMERICAL</v>
          </cell>
        </row>
        <row r="2640">
          <cell r="I2640" t="str">
            <v>COMMERICAL</v>
          </cell>
        </row>
        <row r="2641">
          <cell r="I2641" t="str">
            <v>CONTRACTOR</v>
          </cell>
        </row>
        <row r="2642">
          <cell r="I2642" t="str">
            <v>CONTRACTOR</v>
          </cell>
        </row>
        <row r="2643">
          <cell r="I2643" t="str">
            <v>CONTRACTOR</v>
          </cell>
        </row>
        <row r="2644">
          <cell r="I2644" t="str">
            <v>CONTRACTOR</v>
          </cell>
        </row>
        <row r="2645">
          <cell r="I2645" t="str">
            <v>CONTRACTOR</v>
          </cell>
        </row>
        <row r="2646">
          <cell r="I2646" t="str">
            <v>COMMERICAL</v>
          </cell>
        </row>
        <row r="2647">
          <cell r="I2647" t="str">
            <v>COMMERICAL</v>
          </cell>
        </row>
        <row r="2648">
          <cell r="I2648" t="str">
            <v>COMMERICAL</v>
          </cell>
        </row>
        <row r="2649">
          <cell r="I2649" t="str">
            <v>COMMERICAL</v>
          </cell>
        </row>
        <row r="2650">
          <cell r="I2650" t="str">
            <v>COMMERICAL</v>
          </cell>
        </row>
        <row r="2651">
          <cell r="I2651" t="str">
            <v>COMMERICAL</v>
          </cell>
        </row>
        <row r="2652">
          <cell r="I2652" t="str">
            <v>COMMERCIAL</v>
          </cell>
        </row>
        <row r="2653">
          <cell r="I2653" t="str">
            <v>CONTRACTOR</v>
          </cell>
        </row>
        <row r="2654">
          <cell r="I2654" t="str">
            <v>COMMERICAL</v>
          </cell>
        </row>
        <row r="2655">
          <cell r="I2655" t="str">
            <v>COMMERICAL</v>
          </cell>
        </row>
        <row r="2656">
          <cell r="I2656" t="str">
            <v>COMMERICAL</v>
          </cell>
        </row>
        <row r="2657">
          <cell r="I2657" t="str">
            <v>COMMERICAL</v>
          </cell>
        </row>
        <row r="2658">
          <cell r="I2658" t="str">
            <v>CONTRACTOR</v>
          </cell>
        </row>
        <row r="2659">
          <cell r="I2659" t="str">
            <v>COMMERICAL</v>
          </cell>
        </row>
        <row r="2660">
          <cell r="I2660" t="str">
            <v>COMMERICAL</v>
          </cell>
        </row>
        <row r="2661">
          <cell r="I2661" t="str">
            <v>COMMERICAL</v>
          </cell>
        </row>
        <row r="2662">
          <cell r="I2662" t="str">
            <v>COMMERICAL</v>
          </cell>
        </row>
        <row r="2663">
          <cell r="I2663" t="str">
            <v>COMMERICAL</v>
          </cell>
        </row>
        <row r="2664">
          <cell r="I2664" t="str">
            <v>COMMERICAL</v>
          </cell>
        </row>
        <row r="2665">
          <cell r="I2665" t="str">
            <v>COMMERICAL</v>
          </cell>
        </row>
        <row r="2666">
          <cell r="I2666" t="str">
            <v>COMMERICAL</v>
          </cell>
        </row>
        <row r="2667">
          <cell r="I2667" t="str">
            <v>COMMERICAL</v>
          </cell>
        </row>
        <row r="2668">
          <cell r="I2668" t="str">
            <v>COMMERICAL</v>
          </cell>
        </row>
        <row r="2669">
          <cell r="I2669" t="str">
            <v>CONTRACTOR</v>
          </cell>
        </row>
        <row r="2670">
          <cell r="I2670" t="str">
            <v>COMMERICAL</v>
          </cell>
        </row>
        <row r="2671">
          <cell r="I2671" t="str">
            <v>CONTRACTOR</v>
          </cell>
        </row>
        <row r="2672">
          <cell r="I2672" t="str">
            <v>CONTRACTOR</v>
          </cell>
        </row>
        <row r="2673">
          <cell r="I2673" t="str">
            <v>CONTRACTOR</v>
          </cell>
        </row>
        <row r="2674">
          <cell r="I2674" t="str">
            <v>COMMERICAL</v>
          </cell>
        </row>
        <row r="2675">
          <cell r="I2675" t="str">
            <v>COMMERICAL</v>
          </cell>
        </row>
        <row r="2676">
          <cell r="I2676" t="str">
            <v>COMMERCIAL</v>
          </cell>
        </row>
        <row r="2677">
          <cell r="I2677" t="str">
            <v>COMMERCIAL</v>
          </cell>
        </row>
        <row r="2678">
          <cell r="I2678" t="str">
            <v>COMMERCIAL</v>
          </cell>
        </row>
        <row r="2679">
          <cell r="I2679" t="str">
            <v>CONTRACTOR</v>
          </cell>
        </row>
        <row r="2680">
          <cell r="I2680" t="str">
            <v>COMMERCIAL</v>
          </cell>
        </row>
        <row r="2681">
          <cell r="I2681" t="str">
            <v>CONTRACTOR</v>
          </cell>
        </row>
        <row r="2682">
          <cell r="I2682" t="str">
            <v>COMMERCIAL</v>
          </cell>
        </row>
        <row r="2683">
          <cell r="I2683" t="str">
            <v>COMMERCIAL</v>
          </cell>
        </row>
        <row r="2684">
          <cell r="I2684" t="str">
            <v>COMMERCIAL</v>
          </cell>
        </row>
        <row r="2685">
          <cell r="I2685" t="str">
            <v>CONTRACTOR</v>
          </cell>
        </row>
        <row r="2686">
          <cell r="I2686" t="str">
            <v>COMMERCIAL</v>
          </cell>
        </row>
        <row r="2687">
          <cell r="I2687" t="str">
            <v>COMMERCIAL</v>
          </cell>
        </row>
        <row r="2688">
          <cell r="I2688" t="str">
            <v>COMMERCIAL</v>
          </cell>
        </row>
        <row r="2689">
          <cell r="I2689" t="str">
            <v>COMMERCIAL</v>
          </cell>
        </row>
        <row r="2690">
          <cell r="I2690" t="str">
            <v>COMMERCIAL</v>
          </cell>
        </row>
        <row r="2691">
          <cell r="I2691" t="str">
            <v>CONTRACTOR</v>
          </cell>
        </row>
        <row r="2692">
          <cell r="I2692" t="str">
            <v>COMMERCIAL</v>
          </cell>
        </row>
        <row r="2693">
          <cell r="I2693" t="str">
            <v>CONTRACTOR</v>
          </cell>
        </row>
        <row r="2694">
          <cell r="I2694" t="str">
            <v>CONTRACTOR</v>
          </cell>
        </row>
        <row r="2695">
          <cell r="I2695" t="str">
            <v>COMMERICAL</v>
          </cell>
        </row>
        <row r="2696">
          <cell r="I2696" t="str">
            <v>COMMERICAL</v>
          </cell>
        </row>
        <row r="2697">
          <cell r="I2697" t="str">
            <v>COMMERICAL</v>
          </cell>
        </row>
        <row r="2698">
          <cell r="I2698" t="str">
            <v>COMMERICAL</v>
          </cell>
        </row>
        <row r="2699">
          <cell r="I2699" t="str">
            <v>COMMERICAL</v>
          </cell>
        </row>
        <row r="2700">
          <cell r="I2700" t="str">
            <v>COMMERICAL</v>
          </cell>
        </row>
        <row r="2701">
          <cell r="I2701" t="str">
            <v>COMMERICAL</v>
          </cell>
        </row>
        <row r="2702">
          <cell r="I2702" t="str">
            <v>COMMERICAL</v>
          </cell>
        </row>
        <row r="2703">
          <cell r="I2703" t="str">
            <v>COMMERICAL</v>
          </cell>
        </row>
        <row r="2704">
          <cell r="I2704" t="str">
            <v>CONTRACTOR</v>
          </cell>
        </row>
        <row r="2705">
          <cell r="I2705" t="str">
            <v>COMMERICAL</v>
          </cell>
        </row>
        <row r="2706">
          <cell r="I2706" t="str">
            <v>COMMERICAL</v>
          </cell>
        </row>
        <row r="2707">
          <cell r="I2707" t="str">
            <v>COMMERICAL</v>
          </cell>
        </row>
        <row r="2708">
          <cell r="I2708" t="str">
            <v>COMMERICAL</v>
          </cell>
        </row>
        <row r="2709">
          <cell r="I2709" t="str">
            <v>CONTRACTOR</v>
          </cell>
        </row>
        <row r="2710">
          <cell r="I2710" t="str">
            <v>CONTRACTOR</v>
          </cell>
        </row>
        <row r="2711">
          <cell r="I2711" t="str">
            <v>CONTRACTOR</v>
          </cell>
        </row>
        <row r="2712">
          <cell r="I2712" t="str">
            <v>COMMERCIAL</v>
          </cell>
        </row>
        <row r="2713">
          <cell r="I2713" t="str">
            <v>CONTRACTOR</v>
          </cell>
        </row>
        <row r="2714">
          <cell r="I2714" t="str">
            <v>COMMERCIAL</v>
          </cell>
        </row>
        <row r="2715">
          <cell r="I2715" t="str">
            <v>COMMERCIAL</v>
          </cell>
        </row>
        <row r="2716">
          <cell r="I2716" t="str">
            <v>CONTRACTOR</v>
          </cell>
        </row>
        <row r="2717">
          <cell r="I2717" t="str">
            <v>CONTRACTOR</v>
          </cell>
        </row>
        <row r="2718">
          <cell r="I2718" t="str">
            <v>CONTRACTOR</v>
          </cell>
        </row>
        <row r="2719">
          <cell r="I2719" t="str">
            <v>CONTRACTOR</v>
          </cell>
        </row>
        <row r="2720">
          <cell r="I2720" t="str">
            <v>COMMERCIAL</v>
          </cell>
        </row>
        <row r="2721">
          <cell r="I2721" t="str">
            <v>COMMERCIAL</v>
          </cell>
        </row>
        <row r="2722">
          <cell r="I2722" t="str">
            <v>COMMERCIAL</v>
          </cell>
        </row>
        <row r="2723">
          <cell r="I2723" t="str">
            <v>COMMERICAL</v>
          </cell>
        </row>
        <row r="2724">
          <cell r="I2724" t="str">
            <v>COMMERICAL</v>
          </cell>
        </row>
        <row r="2725">
          <cell r="I2725" t="str">
            <v>COMMERICAL</v>
          </cell>
        </row>
        <row r="2726">
          <cell r="I2726" t="str">
            <v>COMMERICAL</v>
          </cell>
        </row>
        <row r="2727">
          <cell r="I2727" t="str">
            <v>COMMERICAL</v>
          </cell>
        </row>
        <row r="2728">
          <cell r="I2728" t="str">
            <v>CONTRACTOR</v>
          </cell>
        </row>
        <row r="2729">
          <cell r="I2729" t="str">
            <v>COMMERICAL</v>
          </cell>
        </row>
        <row r="2730">
          <cell r="I2730" t="str">
            <v>COMMERICAL</v>
          </cell>
        </row>
        <row r="2731">
          <cell r="I2731" t="str">
            <v>COMMERICAL</v>
          </cell>
        </row>
        <row r="2732">
          <cell r="I2732" t="str">
            <v>COMMERICAL</v>
          </cell>
        </row>
        <row r="2733">
          <cell r="I2733" t="str">
            <v>CONTRACTOR</v>
          </cell>
        </row>
        <row r="2734">
          <cell r="I2734" t="str">
            <v>CONTRACTOR</v>
          </cell>
        </row>
        <row r="2735">
          <cell r="I2735" t="str">
            <v>COMMERICAL</v>
          </cell>
        </row>
        <row r="2736">
          <cell r="I2736" t="str">
            <v>CONTRACTOR</v>
          </cell>
        </row>
        <row r="2737">
          <cell r="I2737" t="str">
            <v>CONTRACTOR</v>
          </cell>
        </row>
        <row r="2738">
          <cell r="I2738" t="str">
            <v>COMMERCIAL</v>
          </cell>
        </row>
        <row r="2739">
          <cell r="I2739" t="str">
            <v>CONTRACTOR</v>
          </cell>
        </row>
        <row r="2740">
          <cell r="I2740" t="str">
            <v>COMMERCIAL</v>
          </cell>
        </row>
        <row r="2741">
          <cell r="I2741" t="str">
            <v>COMMERCIAL</v>
          </cell>
        </row>
        <row r="2742">
          <cell r="I2742" t="str">
            <v>COMMERCIAL</v>
          </cell>
        </row>
        <row r="2743">
          <cell r="I2743" t="str">
            <v>COMMERCIAL</v>
          </cell>
        </row>
        <row r="2744">
          <cell r="I2744" t="str">
            <v>CONTRACTOR</v>
          </cell>
        </row>
        <row r="2745">
          <cell r="I2745" t="str">
            <v>CONTRACTOR</v>
          </cell>
        </row>
        <row r="2746">
          <cell r="I2746" t="str">
            <v>COMMERCIAL</v>
          </cell>
        </row>
        <row r="2747">
          <cell r="I2747" t="str">
            <v>COMMERCIAL</v>
          </cell>
        </row>
        <row r="2748">
          <cell r="I2748" t="str">
            <v>COMMERCIAL</v>
          </cell>
        </row>
        <row r="2749">
          <cell r="I2749" t="str">
            <v>COMMERICAL</v>
          </cell>
        </row>
        <row r="2750">
          <cell r="I2750" t="str">
            <v>CONTRACTOR</v>
          </cell>
        </row>
        <row r="2751">
          <cell r="I2751" t="str">
            <v>COMMERICAL</v>
          </cell>
        </row>
        <row r="2752">
          <cell r="I2752" t="str">
            <v>CONTRACTOR</v>
          </cell>
        </row>
        <row r="2753">
          <cell r="I2753" t="str">
            <v>CONTRACTOR</v>
          </cell>
        </row>
        <row r="2754">
          <cell r="I2754" t="str">
            <v>CONTRACTOR</v>
          </cell>
        </row>
        <row r="2755">
          <cell r="I2755" t="str">
            <v>CONTRACTOR</v>
          </cell>
        </row>
        <row r="2756">
          <cell r="I2756" t="str">
            <v>COMMERICAL</v>
          </cell>
        </row>
        <row r="2757">
          <cell r="I2757" t="str">
            <v>COMMERICAL</v>
          </cell>
        </row>
        <row r="2758">
          <cell r="I2758" t="str">
            <v>COMMERICAL</v>
          </cell>
        </row>
        <row r="2759">
          <cell r="I2759" t="str">
            <v>COMMERICAL</v>
          </cell>
        </row>
        <row r="2760">
          <cell r="I2760" t="str">
            <v>COMMERICAL</v>
          </cell>
        </row>
        <row r="2761">
          <cell r="I2761" t="str">
            <v>CONTRACTOR</v>
          </cell>
        </row>
        <row r="2762">
          <cell r="I2762" t="str">
            <v>COMMERICAL</v>
          </cell>
        </row>
        <row r="2763">
          <cell r="I2763" t="str">
            <v>CONTRACTOR</v>
          </cell>
        </row>
        <row r="2764">
          <cell r="I2764" t="str">
            <v>COMMERICAL</v>
          </cell>
        </row>
        <row r="2765">
          <cell r="I2765" t="str">
            <v>COMMERICAL</v>
          </cell>
        </row>
        <row r="2766">
          <cell r="I2766" t="str">
            <v>COMMERICAL</v>
          </cell>
        </row>
        <row r="2767">
          <cell r="I2767" t="str">
            <v>COMMERICAL</v>
          </cell>
        </row>
        <row r="2768">
          <cell r="I2768" t="str">
            <v>COMMERICAL</v>
          </cell>
        </row>
        <row r="2769">
          <cell r="I2769" t="str">
            <v>COMMERICAL</v>
          </cell>
        </row>
        <row r="2770">
          <cell r="I2770" t="str">
            <v>COMMERICAL</v>
          </cell>
        </row>
        <row r="2771">
          <cell r="I2771" t="str">
            <v>COMMERICAL</v>
          </cell>
        </row>
        <row r="2772">
          <cell r="I2772" t="str">
            <v>CONTRACTOR</v>
          </cell>
        </row>
        <row r="2773">
          <cell r="I2773" t="str">
            <v>COMMERICAL</v>
          </cell>
        </row>
        <row r="2774">
          <cell r="I2774" t="str">
            <v>COMMERICAL</v>
          </cell>
        </row>
        <row r="2775">
          <cell r="I2775" t="str">
            <v>COMMERICAL</v>
          </cell>
        </row>
        <row r="2776">
          <cell r="I2776" t="str">
            <v>COMMERICAL</v>
          </cell>
        </row>
        <row r="2777">
          <cell r="I2777" t="str">
            <v>COMMERICAL</v>
          </cell>
        </row>
        <row r="2778">
          <cell r="I2778" t="str">
            <v>CONTRACTOR</v>
          </cell>
        </row>
        <row r="2779">
          <cell r="I2779" t="str">
            <v>COMMERICAL</v>
          </cell>
        </row>
        <row r="2780">
          <cell r="I2780" t="str">
            <v>CONTRACTOR</v>
          </cell>
        </row>
        <row r="2781">
          <cell r="I2781" t="str">
            <v>COMMERICAL</v>
          </cell>
        </row>
        <row r="2782">
          <cell r="I2782" t="str">
            <v>COMMERCIAL</v>
          </cell>
        </row>
        <row r="2783">
          <cell r="I2783" t="str">
            <v>CONTRACTOR</v>
          </cell>
        </row>
        <row r="2784">
          <cell r="I2784" t="str">
            <v>COMMERCIAL</v>
          </cell>
        </row>
        <row r="2785">
          <cell r="I2785" t="str">
            <v>COMMERICAL</v>
          </cell>
        </row>
        <row r="2786">
          <cell r="I2786" t="str">
            <v>CONTRACTOR</v>
          </cell>
        </row>
        <row r="2787">
          <cell r="I2787" t="str">
            <v>CONTRACTOR</v>
          </cell>
        </row>
        <row r="2788">
          <cell r="I2788" t="str">
            <v>CONTRACTOR</v>
          </cell>
        </row>
        <row r="2789">
          <cell r="I2789" t="str">
            <v>CONTRACTOR</v>
          </cell>
        </row>
        <row r="2790">
          <cell r="I2790" t="str">
            <v>CONTRACTOR</v>
          </cell>
        </row>
        <row r="2791">
          <cell r="I2791" t="str">
            <v>COMMERICAL</v>
          </cell>
        </row>
        <row r="2792">
          <cell r="I2792" t="str">
            <v>COMMERCIAL</v>
          </cell>
        </row>
        <row r="2793">
          <cell r="I2793" t="str">
            <v>CONTRACTOR</v>
          </cell>
        </row>
        <row r="2794">
          <cell r="I2794" t="str">
            <v>CONTRACTOR</v>
          </cell>
        </row>
        <row r="2795">
          <cell r="I2795" t="str">
            <v>COMMERICAL</v>
          </cell>
        </row>
        <row r="2796">
          <cell r="I2796" t="str">
            <v>CONTRACTOR</v>
          </cell>
        </row>
        <row r="2797">
          <cell r="I2797" t="str">
            <v>COMMERICAL</v>
          </cell>
        </row>
        <row r="2798">
          <cell r="I2798" t="str">
            <v>CONTRACTOR</v>
          </cell>
        </row>
        <row r="2799">
          <cell r="I2799" t="str">
            <v>COMMERICAL</v>
          </cell>
        </row>
        <row r="2800">
          <cell r="I2800" t="str">
            <v>COMMERICAL</v>
          </cell>
        </row>
        <row r="2801">
          <cell r="I2801" t="str">
            <v>COMMERICAL</v>
          </cell>
        </row>
        <row r="2802">
          <cell r="I2802" t="str">
            <v>COMMERICAL</v>
          </cell>
        </row>
        <row r="2803">
          <cell r="I2803" t="str">
            <v>CONTRACTOR</v>
          </cell>
        </row>
        <row r="2804">
          <cell r="I2804" t="str">
            <v>COMMERICAL</v>
          </cell>
        </row>
        <row r="2805">
          <cell r="I2805" t="str">
            <v>COMMERICAL</v>
          </cell>
        </row>
        <row r="2806">
          <cell r="I2806" t="str">
            <v>COMMERICAL</v>
          </cell>
        </row>
        <row r="2807">
          <cell r="I2807" t="str">
            <v>COMMERICAL</v>
          </cell>
        </row>
        <row r="2808">
          <cell r="I2808" t="str">
            <v>COMMERICAL</v>
          </cell>
        </row>
        <row r="2809">
          <cell r="I2809" t="str">
            <v>COMMERICAL</v>
          </cell>
        </row>
        <row r="2810">
          <cell r="I2810" t="str">
            <v>COMMERICAL</v>
          </cell>
        </row>
        <row r="2811">
          <cell r="I2811" t="str">
            <v>COMMERICAL</v>
          </cell>
        </row>
        <row r="2812">
          <cell r="I2812" t="str">
            <v>COMMERICAL</v>
          </cell>
        </row>
        <row r="2813">
          <cell r="I2813" t="str">
            <v>COMMERCIAL</v>
          </cell>
        </row>
        <row r="2814">
          <cell r="I2814" t="str">
            <v>COMMERCIAL</v>
          </cell>
        </row>
        <row r="2815">
          <cell r="I2815" t="str">
            <v>COMMERICAL</v>
          </cell>
        </row>
        <row r="2816">
          <cell r="I2816" t="str">
            <v>COMMERICAL</v>
          </cell>
        </row>
        <row r="2817">
          <cell r="I2817" t="str">
            <v>COMMERICAL</v>
          </cell>
        </row>
        <row r="2818">
          <cell r="I2818" t="str">
            <v>COMMERICAL</v>
          </cell>
        </row>
        <row r="2819">
          <cell r="I2819" t="str">
            <v>COMMERICAL</v>
          </cell>
        </row>
        <row r="2820">
          <cell r="I2820" t="str">
            <v>COMMERICAL</v>
          </cell>
        </row>
        <row r="2821">
          <cell r="I2821" t="str">
            <v>COMMERICAL</v>
          </cell>
        </row>
        <row r="2822">
          <cell r="I2822" t="str">
            <v>COMMERICAL</v>
          </cell>
        </row>
        <row r="2823">
          <cell r="I2823" t="str">
            <v>COMMERICAL</v>
          </cell>
        </row>
        <row r="2824">
          <cell r="I2824" t="str">
            <v>CONTRACTOR</v>
          </cell>
        </row>
        <row r="2825">
          <cell r="I2825" t="str">
            <v>COMMERICAL</v>
          </cell>
        </row>
        <row r="2826">
          <cell r="I2826" t="str">
            <v>COMMERICAL</v>
          </cell>
        </row>
        <row r="2827">
          <cell r="I2827" t="str">
            <v>CONTRACTOR</v>
          </cell>
        </row>
        <row r="2828">
          <cell r="I2828" t="str">
            <v>COMMERCIAL</v>
          </cell>
        </row>
        <row r="2829">
          <cell r="I2829" t="str">
            <v>COMMERICAL</v>
          </cell>
        </row>
        <row r="2830">
          <cell r="I2830" t="str">
            <v>COMMERICAL</v>
          </cell>
        </row>
        <row r="2831">
          <cell r="I2831" t="str">
            <v>COMMERCIAL</v>
          </cell>
        </row>
        <row r="2832">
          <cell r="I2832" t="str">
            <v>CONTRACTOR</v>
          </cell>
        </row>
        <row r="2833">
          <cell r="I2833" t="str">
            <v>CONTRACTOR</v>
          </cell>
        </row>
        <row r="2834">
          <cell r="I2834" t="str">
            <v>COMMERCIAL</v>
          </cell>
        </row>
        <row r="2835">
          <cell r="I2835" t="str">
            <v>COMMERCIAL</v>
          </cell>
        </row>
        <row r="2836">
          <cell r="I2836" t="str">
            <v>COMMERCIAL</v>
          </cell>
        </row>
        <row r="2837">
          <cell r="I2837" t="str">
            <v>COMMERCIAL</v>
          </cell>
        </row>
        <row r="2838">
          <cell r="I2838" t="str">
            <v>CONTRACTOR</v>
          </cell>
        </row>
        <row r="2839">
          <cell r="I2839" t="str">
            <v>COMMERCIAL</v>
          </cell>
        </row>
        <row r="2840">
          <cell r="I2840" t="str">
            <v>COMMERCIAL</v>
          </cell>
        </row>
        <row r="2841">
          <cell r="I2841" t="str">
            <v>COMMERCIAL</v>
          </cell>
        </row>
        <row r="2842">
          <cell r="I2842" t="str">
            <v>CONTRACTOR</v>
          </cell>
        </row>
        <row r="2843">
          <cell r="I2843" t="str">
            <v>COMMERCIAL</v>
          </cell>
        </row>
        <row r="2844">
          <cell r="I2844" t="str">
            <v>COMMERCIAL</v>
          </cell>
        </row>
        <row r="2845">
          <cell r="I2845" t="str">
            <v>CONTRACTOR</v>
          </cell>
        </row>
        <row r="2846">
          <cell r="I2846" t="str">
            <v>CONTRACTOR</v>
          </cell>
        </row>
        <row r="2847">
          <cell r="I2847" t="str">
            <v>COMMERCIAL</v>
          </cell>
        </row>
        <row r="2848">
          <cell r="I2848" t="str">
            <v>CONTRACTOR</v>
          </cell>
        </row>
        <row r="2849">
          <cell r="I2849" t="str">
            <v>CONTRACTOR</v>
          </cell>
        </row>
        <row r="2850">
          <cell r="I2850" t="str">
            <v>COMMERCIAL</v>
          </cell>
        </row>
        <row r="2851">
          <cell r="I2851" t="str">
            <v>COMMERCIAL</v>
          </cell>
        </row>
        <row r="2852">
          <cell r="I2852" t="str">
            <v>COMMERCIAL</v>
          </cell>
        </row>
        <row r="2853">
          <cell r="I2853" t="str">
            <v>COMMERCIAL</v>
          </cell>
        </row>
        <row r="2854">
          <cell r="I2854" t="str">
            <v>COMMERCIAL</v>
          </cell>
        </row>
        <row r="2855">
          <cell r="I2855" t="str">
            <v>COMMERCIAL</v>
          </cell>
        </row>
        <row r="2856">
          <cell r="I2856" t="str">
            <v>COMMERCIAL</v>
          </cell>
        </row>
        <row r="2857">
          <cell r="I2857" t="str">
            <v>COMMERCIAL</v>
          </cell>
        </row>
        <row r="2858">
          <cell r="I2858" t="str">
            <v>COMMERCIAL</v>
          </cell>
        </row>
        <row r="2859">
          <cell r="I2859" t="str">
            <v>CONTRACTOR</v>
          </cell>
        </row>
        <row r="2860">
          <cell r="I2860" t="str">
            <v>CONTRACTOR</v>
          </cell>
        </row>
        <row r="2861">
          <cell r="I2861" t="str">
            <v>COMMERICAL</v>
          </cell>
        </row>
        <row r="2862">
          <cell r="I2862" t="str">
            <v>COMMERICAL</v>
          </cell>
        </row>
        <row r="2863">
          <cell r="I2863" t="str">
            <v>COMMERICAL</v>
          </cell>
        </row>
        <row r="2864">
          <cell r="I2864" t="str">
            <v>COMMERICAL</v>
          </cell>
        </row>
        <row r="2865">
          <cell r="I2865" t="str">
            <v>CONTRACTOR</v>
          </cell>
        </row>
        <row r="2866">
          <cell r="I2866" t="str">
            <v>COMMERICAL</v>
          </cell>
        </row>
        <row r="2867">
          <cell r="I2867" t="str">
            <v>COMMERICAL</v>
          </cell>
        </row>
        <row r="2868">
          <cell r="I2868" t="str">
            <v>CONTRACTOR</v>
          </cell>
        </row>
        <row r="2869">
          <cell r="I2869" t="str">
            <v>COMMERICAL</v>
          </cell>
        </row>
        <row r="2870">
          <cell r="I2870" t="str">
            <v>CONTRACTOR</v>
          </cell>
        </row>
        <row r="2871">
          <cell r="I2871" t="str">
            <v>CONTRACTOR</v>
          </cell>
        </row>
        <row r="2872">
          <cell r="I2872" t="str">
            <v>CONTRACTOR</v>
          </cell>
        </row>
        <row r="2873">
          <cell r="I2873" t="str">
            <v>CONTRACTOR</v>
          </cell>
        </row>
        <row r="2874">
          <cell r="I2874" t="str">
            <v>COMMERICAL</v>
          </cell>
        </row>
        <row r="2875">
          <cell r="I2875" t="str">
            <v>CONTRACTOR</v>
          </cell>
        </row>
        <row r="2876">
          <cell r="I2876" t="str">
            <v>COMMERICAL</v>
          </cell>
        </row>
        <row r="2877">
          <cell r="I2877" t="str">
            <v>COMMERICAL</v>
          </cell>
        </row>
        <row r="2878">
          <cell r="I2878" t="str">
            <v>CONTRACTOR</v>
          </cell>
        </row>
        <row r="2879">
          <cell r="I2879" t="str">
            <v>COMMERICAL</v>
          </cell>
        </row>
        <row r="2880">
          <cell r="I2880" t="str">
            <v>COMMERICAL</v>
          </cell>
        </row>
        <row r="2881">
          <cell r="I2881" t="str">
            <v>CONTRACTOR</v>
          </cell>
        </row>
        <row r="2882">
          <cell r="I2882" t="str">
            <v>COMMERICAL</v>
          </cell>
        </row>
        <row r="2883">
          <cell r="I2883" t="str">
            <v>COMMERICAL</v>
          </cell>
        </row>
        <row r="2884">
          <cell r="I2884" t="str">
            <v>COMMERICAL</v>
          </cell>
        </row>
        <row r="2885">
          <cell r="I2885" t="str">
            <v>COMMERICAL</v>
          </cell>
        </row>
        <row r="2886">
          <cell r="I2886" t="str">
            <v>COMMERICAL</v>
          </cell>
        </row>
        <row r="2887">
          <cell r="I2887" t="str">
            <v>CONTRACTOR</v>
          </cell>
        </row>
        <row r="2888">
          <cell r="I2888" t="str">
            <v>CONTRACTOR</v>
          </cell>
        </row>
        <row r="2889">
          <cell r="I2889" t="str">
            <v>COMMERCIAL</v>
          </cell>
        </row>
        <row r="2890">
          <cell r="I2890" t="str">
            <v>COMMERICAL</v>
          </cell>
        </row>
        <row r="2891">
          <cell r="I2891" t="str">
            <v>COMMERICAL</v>
          </cell>
        </row>
        <row r="2892">
          <cell r="I2892" t="str">
            <v>COMMERICAL</v>
          </cell>
        </row>
        <row r="2893">
          <cell r="I2893" t="str">
            <v>COMMERICAL</v>
          </cell>
        </row>
        <row r="2894">
          <cell r="I2894" t="str">
            <v>COMMERICAL</v>
          </cell>
        </row>
        <row r="2895">
          <cell r="I2895" t="str">
            <v>COMMERICAL</v>
          </cell>
        </row>
        <row r="2896">
          <cell r="I2896" t="str">
            <v>COMMERICAL</v>
          </cell>
        </row>
        <row r="2897">
          <cell r="I2897" t="str">
            <v>COMMERICAL</v>
          </cell>
        </row>
        <row r="2898">
          <cell r="I2898" t="str">
            <v>COMMERICAL</v>
          </cell>
        </row>
        <row r="2899">
          <cell r="I2899" t="str">
            <v>COMMERICAL</v>
          </cell>
        </row>
        <row r="2900">
          <cell r="I2900" t="str">
            <v>COMMERICAL</v>
          </cell>
        </row>
        <row r="2901">
          <cell r="I2901" t="str">
            <v>CONTRACTOR</v>
          </cell>
        </row>
        <row r="2902">
          <cell r="I2902" t="str">
            <v>CONTRACTOR</v>
          </cell>
        </row>
        <row r="2903">
          <cell r="I2903" t="str">
            <v>COMMERCIAL</v>
          </cell>
        </row>
        <row r="2904">
          <cell r="I2904" t="str">
            <v>CONTRACTOR</v>
          </cell>
        </row>
        <row r="2905">
          <cell r="I2905" t="str">
            <v>COMMERCIAL</v>
          </cell>
        </row>
        <row r="2906">
          <cell r="I2906" t="str">
            <v>CONTRACTOR</v>
          </cell>
        </row>
        <row r="2907">
          <cell r="I2907" t="str">
            <v>CONTRACTOR</v>
          </cell>
        </row>
        <row r="2908">
          <cell r="I2908" t="str">
            <v>COMMERCIAL</v>
          </cell>
        </row>
        <row r="2909">
          <cell r="I2909" t="str">
            <v>COMMERCIAL</v>
          </cell>
        </row>
        <row r="2910">
          <cell r="I2910" t="str">
            <v>COMMERCIAL</v>
          </cell>
        </row>
        <row r="2911">
          <cell r="I2911" t="str">
            <v>COMMERCIAL</v>
          </cell>
        </row>
        <row r="2912">
          <cell r="I2912" t="str">
            <v>COMMERCIAL</v>
          </cell>
        </row>
        <row r="2913">
          <cell r="I2913" t="str">
            <v>CONTRACTOR</v>
          </cell>
        </row>
        <row r="2914">
          <cell r="I2914" t="str">
            <v>CONTRACTOR</v>
          </cell>
        </row>
        <row r="2915">
          <cell r="I2915" t="str">
            <v>COMMERCIAL</v>
          </cell>
        </row>
        <row r="2916">
          <cell r="I2916" t="str">
            <v>CONTRACTOR</v>
          </cell>
        </row>
        <row r="2917">
          <cell r="I2917" t="str">
            <v>COMMERCIAL</v>
          </cell>
        </row>
        <row r="2918">
          <cell r="I2918" t="str">
            <v>COMMERCIAL</v>
          </cell>
        </row>
        <row r="2919">
          <cell r="I2919" t="str">
            <v>CONTRACTOR</v>
          </cell>
        </row>
        <row r="2920">
          <cell r="I2920" t="str">
            <v>CONTRACTOR</v>
          </cell>
        </row>
        <row r="2921">
          <cell r="I2921" t="str">
            <v>CONTRACTOR</v>
          </cell>
        </row>
        <row r="2922">
          <cell r="I2922" t="str">
            <v>COMMERCIAL</v>
          </cell>
        </row>
        <row r="2923">
          <cell r="I2923" t="str">
            <v>COMMERCIAL</v>
          </cell>
        </row>
        <row r="2924">
          <cell r="I2924" t="str">
            <v>CONTRACTOR</v>
          </cell>
        </row>
        <row r="2925">
          <cell r="I2925" t="str">
            <v>CONTRACTOR</v>
          </cell>
        </row>
        <row r="2926">
          <cell r="I2926" t="str">
            <v>CONTRACTOR</v>
          </cell>
        </row>
        <row r="2927">
          <cell r="I2927" t="str">
            <v>COMMERCIAL</v>
          </cell>
        </row>
        <row r="2928">
          <cell r="I2928" t="str">
            <v>COMMERCIAL</v>
          </cell>
        </row>
        <row r="2929">
          <cell r="I2929" t="str">
            <v>COMMERCIAL</v>
          </cell>
        </row>
        <row r="2930">
          <cell r="I2930" t="str">
            <v>CONTRACTOR</v>
          </cell>
        </row>
        <row r="2931">
          <cell r="I2931" t="str">
            <v>COMMERCIAL</v>
          </cell>
        </row>
        <row r="2932">
          <cell r="I2932" t="str">
            <v>COMMERCIAL</v>
          </cell>
        </row>
        <row r="2933">
          <cell r="I2933" t="str">
            <v>COMMERCIAL</v>
          </cell>
        </row>
        <row r="2934">
          <cell r="I2934" t="str">
            <v>COMMERCIAL</v>
          </cell>
        </row>
        <row r="2935">
          <cell r="I2935" t="str">
            <v>COMMERCIAL</v>
          </cell>
        </row>
        <row r="2936">
          <cell r="I2936" t="str">
            <v>COMMERCIAL</v>
          </cell>
        </row>
        <row r="2937">
          <cell r="I2937" t="str">
            <v>COMMERICAL</v>
          </cell>
        </row>
        <row r="2938">
          <cell r="I2938" t="str">
            <v>CONTRACTOR</v>
          </cell>
        </row>
        <row r="2939">
          <cell r="I2939" t="str">
            <v>CONTRACTOR</v>
          </cell>
        </row>
        <row r="2940">
          <cell r="I2940" t="str">
            <v>CONTRACTOR</v>
          </cell>
        </row>
        <row r="2941">
          <cell r="I2941" t="str">
            <v>COMMERICAL</v>
          </cell>
        </row>
        <row r="2942">
          <cell r="I2942" t="str">
            <v>CONTRACTOR</v>
          </cell>
        </row>
        <row r="2943">
          <cell r="I2943" t="str">
            <v>COMMERICAL</v>
          </cell>
        </row>
        <row r="2944">
          <cell r="I2944" t="str">
            <v>COMMERICAL</v>
          </cell>
        </row>
        <row r="2945">
          <cell r="I2945" t="str">
            <v>COMMERICAL</v>
          </cell>
        </row>
        <row r="2946">
          <cell r="I2946" t="str">
            <v>CONTRACTOR</v>
          </cell>
        </row>
        <row r="2947">
          <cell r="I2947" t="str">
            <v>COMMERICAL</v>
          </cell>
        </row>
        <row r="2948">
          <cell r="I2948" t="str">
            <v>COMMERICAL</v>
          </cell>
        </row>
        <row r="2949">
          <cell r="I2949" t="str">
            <v>CONTRACTOR</v>
          </cell>
        </row>
        <row r="2950">
          <cell r="I2950" t="str">
            <v>COMMERICAL</v>
          </cell>
        </row>
        <row r="2951">
          <cell r="I2951" t="str">
            <v>CONTRACTOR</v>
          </cell>
        </row>
        <row r="2952">
          <cell r="I2952" t="str">
            <v>COMMERICAL</v>
          </cell>
        </row>
        <row r="2953">
          <cell r="I2953" t="str">
            <v>COMMERICAL</v>
          </cell>
        </row>
        <row r="2954">
          <cell r="I2954" t="str">
            <v>COMMERICAL</v>
          </cell>
        </row>
        <row r="2955">
          <cell r="I2955" t="str">
            <v>COMMERICAL</v>
          </cell>
        </row>
        <row r="2956">
          <cell r="I2956" t="str">
            <v>COMMERICAL</v>
          </cell>
        </row>
        <row r="2957">
          <cell r="I2957" t="str">
            <v>CONTRACTOR</v>
          </cell>
        </row>
        <row r="2958">
          <cell r="I2958" t="str">
            <v>COMMERICAL</v>
          </cell>
        </row>
        <row r="2959">
          <cell r="I2959" t="str">
            <v>COMMERICAL</v>
          </cell>
        </row>
        <row r="2960">
          <cell r="I2960" t="str">
            <v>COMMERIAL</v>
          </cell>
        </row>
        <row r="2961">
          <cell r="I2961" t="str">
            <v>COMMERICAL</v>
          </cell>
        </row>
        <row r="2962">
          <cell r="I2962" t="str">
            <v>COMMERICAL</v>
          </cell>
        </row>
        <row r="2963">
          <cell r="I2963" t="str">
            <v>CONTRACTOR</v>
          </cell>
        </row>
        <row r="2964">
          <cell r="I2964" t="str">
            <v>COMMERCIAL</v>
          </cell>
        </row>
        <row r="2965">
          <cell r="I2965" t="str">
            <v>COMMERCIAL</v>
          </cell>
        </row>
        <row r="2966">
          <cell r="I2966" t="str">
            <v>CONTRACTOR</v>
          </cell>
        </row>
        <row r="2967">
          <cell r="I2967" t="str">
            <v>COMMERCIAL</v>
          </cell>
        </row>
        <row r="2968">
          <cell r="I2968" t="str">
            <v>COMMERCIAL</v>
          </cell>
        </row>
        <row r="2969">
          <cell r="I2969" t="str">
            <v>COMMERCIAL</v>
          </cell>
        </row>
        <row r="2970">
          <cell r="I2970" t="str">
            <v>COMMERCIAL</v>
          </cell>
        </row>
        <row r="2971">
          <cell r="I2971" t="str">
            <v>COMMERCIAL</v>
          </cell>
        </row>
        <row r="2972">
          <cell r="I2972" t="str">
            <v>COMMERCIAL</v>
          </cell>
        </row>
        <row r="2973">
          <cell r="I2973" t="str">
            <v>COMMERCIAL</v>
          </cell>
        </row>
        <row r="2974">
          <cell r="I2974" t="str">
            <v>COMMERICAL</v>
          </cell>
        </row>
        <row r="2975">
          <cell r="I2975" t="str">
            <v>COMMERICAL</v>
          </cell>
        </row>
        <row r="2976">
          <cell r="I2976" t="str">
            <v>CONTRACTOR</v>
          </cell>
        </row>
        <row r="2977">
          <cell r="I2977" t="str">
            <v>CONTRACTOR</v>
          </cell>
        </row>
        <row r="2978">
          <cell r="I2978" t="str">
            <v>CONTRACTOR</v>
          </cell>
        </row>
        <row r="2979">
          <cell r="I2979" t="str">
            <v>CONTRACTOR</v>
          </cell>
        </row>
        <row r="2980">
          <cell r="I2980" t="str">
            <v>CONTRACTOR</v>
          </cell>
        </row>
        <row r="2981">
          <cell r="I2981" t="str">
            <v>CONTRACTOR</v>
          </cell>
        </row>
        <row r="2982">
          <cell r="I2982" t="str">
            <v>COMMERICAL</v>
          </cell>
        </row>
        <row r="2983">
          <cell r="I2983" t="str">
            <v>CONTRACTOR</v>
          </cell>
        </row>
        <row r="2984">
          <cell r="I2984" t="str">
            <v>CONTRACTOR</v>
          </cell>
        </row>
        <row r="2985">
          <cell r="I2985" t="str">
            <v>COMMERICAL</v>
          </cell>
        </row>
        <row r="2986">
          <cell r="I2986" t="str">
            <v>COMMERICAL</v>
          </cell>
        </row>
        <row r="2987">
          <cell r="I2987" t="str">
            <v>COMMERCIAL</v>
          </cell>
        </row>
        <row r="2988">
          <cell r="I2988" t="str">
            <v>COMMERICAL</v>
          </cell>
        </row>
        <row r="2989">
          <cell r="I2989" t="str">
            <v>COMMERICAL</v>
          </cell>
        </row>
        <row r="2990">
          <cell r="I2990" t="str">
            <v>COMMERCIAL</v>
          </cell>
        </row>
        <row r="2991">
          <cell r="I2991" t="str">
            <v>COMMERCIAL</v>
          </cell>
        </row>
        <row r="2992">
          <cell r="I2992" t="str">
            <v>COMMERCIAL</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Table254" displayName="Table254" ref="A1:H38" headerRowCount="1" totalsRowCount="1" headerRowDxfId="24" dataDxfId="22" totalsRowDxfId="21" headerRowBorderDxfId="23">
  <autoFilter ref="A1:H37"/>
  <tableColumns count="8">
    <tableColumn id="3" name="DRIVER NAME DRIVER " totalsRowLabel="COPELAND MAX" dataDxfId="20" totalsRowDxfId="19"/>
    <tableColumn id="8" name="LICENCE NUMBER AND STATE" totalsRowLabel="*032829415 GA" dataDxfId="18" totalsRowDxfId="17"/>
    <tableColumn id="4" name="COMPANY NAME" totalsRowLabel="SAIA" dataDxfId="16" totalsRowDxfId="15"/>
    <tableColumn id="9" name="PHONE NUMBER" totalsRowLabel="2295075148" dataDxfId="14" totalsRowDxfId="13"/>
    <tableColumn id="5" name="TYPE" totalsRowLabel="SEMI BOX" dataDxfId="12" totalsRowDxfId="11"/>
    <tableColumn id="6" name="VEHICLE REGISTRATION, STATE" totalsRowLabel="P253486 LA" dataDxfId="10" totalsRowDxfId="9"/>
    <tableColumn id="10" name="MAKE MODEL COLOR" totalsRowLabel="FREIGHTLINER, RED" dataDxfId="8" totalsRowDxfId="7"/>
    <tableColumn id="7" name="DESTINATION" totalsRowLabel="1221" dataDxfId="6" totalsRowDxfId="5"/>
  </tableColumns>
  <tableStyleInfo name="TableStyleMedium2" showFirstColumn="0" showLastColumn="0" showRowStripes="1" showColumnStripes="0"/>
</table>
</file>

<file path=xl/tables/table2.xml><?xml version="1.0" encoding="utf-8"?>
<table xmlns="http://schemas.openxmlformats.org/spreadsheetml/2006/main" id="2" name="Table26" displayName="Table26" ref="I1:I1048576" headerRowCount="1" totalsRowShown="0" headerRowDxfId="4" dataDxfId="2" headerRowBorderDxfId="3" tableBorderDxfId="1">
  <autoFilter ref="I1:I1048576"/>
  <tableColumns count="1">
    <tableColumn id="1" name="TYPE "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ailto:AT@T" TargetMode="External" Id="rId1" /><Relationship Type="http://schemas.openxmlformats.org/officeDocument/2006/relationships/table" Target="/xl/tables/table1.xml" Id="rId2" /><Relationship Type="http://schemas.openxmlformats.org/officeDocument/2006/relationships/table" Target="/xl/tables/table2.xml" Id="rId3" /></Relationships>
</file>

<file path=xl/worksheets/sheet1.xml><?xml version="1.0" encoding="utf-8"?>
<worksheet xmlns="http://schemas.openxmlformats.org/spreadsheetml/2006/main">
  <sheetPr codeName="Sheet7">
    <outlinePr summaryBelow="1" summaryRight="1"/>
    <pageSetUpPr/>
  </sheetPr>
  <dimension ref="A1:O60"/>
  <sheetViews>
    <sheetView view="pageBreakPreview" zoomScale="75" zoomScaleNormal="100" zoomScaleSheetLayoutView="100" workbookViewId="0">
      <selection activeCell="R10" sqref="R10"/>
    </sheetView>
  </sheetViews>
  <sheetFormatPr baseColWidth="8" defaultRowHeight="12.5"/>
  <cols>
    <col width="5.7265625" customWidth="1" style="7" min="1" max="1"/>
    <col width="6.7265625" customWidth="1" style="7" min="2" max="2"/>
    <col width="11.7265625" customWidth="1" style="7" min="3" max="8"/>
    <col width="11.7265625" customWidth="1" style="7" min="10" max="12"/>
    <col width="6.7265625" customWidth="1" style="7" min="13" max="14"/>
  </cols>
  <sheetData>
    <row r="1" ht="20.25" customHeight="1" s="7">
      <c r="A1" s="4" t="n"/>
      <c r="B1" s="5" t="n"/>
      <c r="C1" s="5" t="n"/>
      <c r="D1" s="6" t="n"/>
      <c r="E1" s="6" t="n"/>
      <c r="F1" s="6" t="n"/>
      <c r="G1" s="6" t="n"/>
      <c r="H1" s="6" t="n"/>
      <c r="I1" s="6" t="n"/>
      <c r="J1" s="6" t="n"/>
      <c r="K1" s="6" t="n"/>
      <c r="L1" s="6" t="n"/>
      <c r="M1" s="17" t="n"/>
      <c r="N1" s="18" t="n"/>
      <c r="O1" s="19" t="n"/>
    </row>
    <row r="2" ht="15.75" customHeight="1" s="7">
      <c r="A2" s="218" t="inlineStr">
        <is>
          <t xml:space="preserve">   Police Officers:           JAMES        HALL         JENNINGS         STEPHENS          ADAMS           Date:           __05_  / SEPT/  25 /                 </t>
        </is>
      </c>
      <c r="N2" s="219" t="n"/>
      <c r="O2" s="120" t="n"/>
    </row>
    <row r="3" ht="15.75" customHeight="1" s="7">
      <c r="A3" s="114" t="n"/>
      <c r="B3" s="115" t="n"/>
      <c r="L3" s="22" t="n"/>
      <c r="M3" s="120" t="n"/>
      <c r="N3" s="121" t="n"/>
      <c r="O3" s="120" t="n"/>
    </row>
    <row r="4" ht="15.75" customHeight="1" s="7">
      <c r="A4" s="118" t="inlineStr">
        <is>
          <t>Put a line through police officer(s) name(s) that are not on duty (Example: Fenn)</t>
        </is>
      </c>
      <c r="J4" s="12" t="inlineStr">
        <is>
          <t>K-9 Officer(s) present</t>
        </is>
      </c>
      <c r="K4" s="115" t="n"/>
      <c r="L4" s="13" t="n"/>
      <c r="M4" s="14" t="n"/>
      <c r="N4" s="15" t="n"/>
      <c r="O4" s="120" t="n"/>
    </row>
    <row r="5" ht="5.15" customHeight="1" s="7" thickBot="1">
      <c r="A5" s="8" t="n"/>
      <c r="B5" s="9" t="n"/>
      <c r="C5" s="9" t="n"/>
      <c r="D5" s="9" t="n"/>
      <c r="E5" s="9" t="n"/>
      <c r="F5" s="9" t="n"/>
      <c r="G5" s="9" t="n"/>
      <c r="H5" s="9" t="n"/>
      <c r="I5" s="9" t="n"/>
      <c r="J5" s="9" t="n"/>
      <c r="K5" s="9" t="n"/>
      <c r="L5" s="9" t="inlineStr">
        <is>
          <t> </t>
        </is>
      </c>
      <c r="M5" s="10" t="inlineStr">
        <is>
          <t> </t>
        </is>
      </c>
      <c r="N5" s="11" t="n"/>
      <c r="O5" s="19" t="n"/>
    </row>
    <row r="6" ht="20.15" customFormat="1" customHeight="1" s="1" thickBot="1">
      <c r="A6" s="105" t="inlineStr">
        <is>
          <t>100 % Inspection of Commercial Vehicle    (Open hood, all exterior doors, compartments, interior compartments, storage boxes)</t>
        </is>
      </c>
      <c r="B6" s="220" t="n"/>
      <c r="C6" s="220" t="n"/>
      <c r="D6" s="220" t="n"/>
      <c r="E6" s="220" t="n"/>
      <c r="F6" s="220" t="n"/>
      <c r="G6" s="220" t="n"/>
      <c r="H6" s="220" t="n"/>
      <c r="I6" s="220" t="n"/>
      <c r="J6" s="220" t="n"/>
      <c r="K6" s="220" t="n"/>
      <c r="L6" s="220" t="n"/>
      <c r="M6" s="220" t="n"/>
      <c r="N6" s="221" t="n"/>
    </row>
    <row r="7" ht="16" customHeight="1" s="7" thickBot="1">
      <c r="A7" s="105" t="inlineStr">
        <is>
          <t>#</t>
        </is>
      </c>
      <c r="B7" s="105" t="inlineStr">
        <is>
          <t>Time</t>
        </is>
      </c>
      <c r="C7" s="105" t="inlineStr">
        <is>
          <t>Driver Name</t>
        </is>
      </c>
      <c r="D7" s="220" t="n"/>
      <c r="E7" s="221" t="n"/>
      <c r="F7" s="105" t="inlineStr">
        <is>
          <t>Company Name</t>
        </is>
      </c>
      <c r="G7" s="220" t="n"/>
      <c r="H7" s="220" t="n"/>
      <c r="I7" s="221" t="n"/>
      <c r="J7" s="105" t="inlineStr">
        <is>
          <t xml:space="preserve">Vehicle Registration or Tag # </t>
        </is>
      </c>
      <c r="K7" s="220" t="n"/>
      <c r="L7" s="221" t="n"/>
      <c r="M7" s="105" t="inlineStr">
        <is>
          <t>State</t>
        </is>
      </c>
      <c r="N7" s="221" t="n"/>
    </row>
    <row r="8" ht="20.15" customHeight="1" s="7" thickBot="1">
      <c r="A8" s="222" t="n"/>
      <c r="B8" s="222" t="n"/>
      <c r="C8" s="103" t="inlineStr">
        <is>
          <t> </t>
        </is>
      </c>
      <c r="D8" s="220" t="n"/>
      <c r="E8" s="221" t="n"/>
      <c r="F8" s="103" t="inlineStr">
        <is>
          <t> </t>
        </is>
      </c>
      <c r="G8" s="220" t="n"/>
      <c r="H8" s="220" t="n"/>
      <c r="I8" s="221" t="n"/>
      <c r="J8" s="103" t="inlineStr">
        <is>
          <t> </t>
        </is>
      </c>
      <c r="K8" s="220" t="n"/>
      <c r="L8" s="221" t="n"/>
      <c r="M8" s="102" t="n"/>
      <c r="N8" s="221" t="n"/>
    </row>
    <row r="9" ht="16" customHeight="1" s="7" thickBot="1">
      <c r="A9" s="103" t="inlineStr">
        <is>
          <t> </t>
        </is>
      </c>
      <c r="B9" s="103" t="inlineStr">
        <is>
          <t> </t>
        </is>
      </c>
      <c r="C9" s="105" t="inlineStr">
        <is>
          <t>Driver License Number &amp; State</t>
        </is>
      </c>
      <c r="D9" s="220" t="n"/>
      <c r="E9" s="221" t="n"/>
      <c r="F9" s="105" t="inlineStr">
        <is>
          <t>Phone Number</t>
        </is>
      </c>
      <c r="G9" s="220" t="n"/>
      <c r="H9" s="220" t="n"/>
      <c r="I9" s="221" t="n"/>
      <c r="J9" s="105" t="inlineStr">
        <is>
          <t>Vehicle VIN #</t>
        </is>
      </c>
      <c r="K9" s="220" t="n"/>
      <c r="L9" s="220" t="n"/>
      <c r="M9" s="220" t="n"/>
      <c r="N9" s="221" t="n"/>
    </row>
    <row r="10" ht="20.15" customHeight="1" s="7" thickBot="1">
      <c r="A10" s="222" t="n"/>
      <c r="B10" s="222" t="n"/>
      <c r="C10" s="101" t="n"/>
      <c r="D10" s="220" t="n"/>
      <c r="E10" s="221" t="n"/>
      <c r="F10" s="103" t="inlineStr">
        <is>
          <t> </t>
        </is>
      </c>
      <c r="G10" s="220" t="n"/>
      <c r="H10" s="220" t="n"/>
      <c r="I10" s="221" t="n"/>
      <c r="J10" s="103" t="inlineStr">
        <is>
          <t> </t>
        </is>
      </c>
      <c r="K10" s="220" t="n"/>
      <c r="L10" s="220" t="n"/>
      <c r="M10" s="220" t="n"/>
      <c r="N10" s="221" t="n"/>
    </row>
    <row r="11" ht="16" customHeight="1" s="7" thickBot="1">
      <c r="A11" s="105" t="inlineStr">
        <is>
          <t>Driver's Home Address with City &amp; State</t>
        </is>
      </c>
      <c r="B11" s="220" t="n"/>
      <c r="C11" s="220" t="n"/>
      <c r="D11" s="220" t="n"/>
      <c r="E11" s="221" t="n"/>
      <c r="F11" s="105" t="inlineStr">
        <is>
          <t>Company Address with City &amp; State</t>
        </is>
      </c>
      <c r="G11" s="220" t="n"/>
      <c r="H11" s="220" t="n"/>
      <c r="I11" s="221" t="n"/>
      <c r="J11" s="105" t="inlineStr">
        <is>
          <t>Make</t>
        </is>
      </c>
      <c r="K11" s="105" t="inlineStr">
        <is>
          <t>Model</t>
        </is>
      </c>
      <c r="L11" s="105" t="inlineStr">
        <is>
          <t>Color</t>
        </is>
      </c>
      <c r="M11" s="105" t="inlineStr">
        <is>
          <t>Destination</t>
        </is>
      </c>
      <c r="N11" s="221" t="n"/>
    </row>
    <row r="12" ht="20.15" customHeight="1" s="7" thickBot="1">
      <c r="A12" s="112" t="n"/>
      <c r="B12" s="220" t="n"/>
      <c r="C12" s="220" t="n"/>
      <c r="D12" s="220" t="n"/>
      <c r="E12" s="221" t="n"/>
      <c r="F12" s="103" t="n"/>
      <c r="G12" s="220" t="n"/>
      <c r="H12" s="220" t="n"/>
      <c r="I12" s="221" t="n"/>
      <c r="J12" s="103" t="inlineStr">
        <is>
          <t> </t>
        </is>
      </c>
      <c r="K12" s="103" t="inlineStr">
        <is>
          <t> </t>
        </is>
      </c>
      <c r="L12" s="103" t="inlineStr">
        <is>
          <t> </t>
        </is>
      </c>
      <c r="M12" s="102" t="n"/>
      <c r="N12" s="223" t="n"/>
    </row>
    <row r="13" ht="20.15" customHeight="1" s="7" thickBot="1">
      <c r="A13" s="103" t="inlineStr">
        <is>
          <t> </t>
        </is>
      </c>
      <c r="B13" s="220" t="n"/>
      <c r="C13" s="220" t="n"/>
      <c r="D13" s="220" t="n"/>
      <c r="E13" s="221" t="n"/>
      <c r="F13" s="101" t="n"/>
      <c r="G13" s="220" t="n"/>
      <c r="H13" s="220" t="n"/>
      <c r="I13" s="221" t="n"/>
      <c r="J13" s="222" t="n"/>
      <c r="K13" s="222" t="n"/>
      <c r="L13" s="222" t="n"/>
      <c r="M13" s="8" t="n"/>
      <c r="N13" s="224" t="n"/>
    </row>
    <row r="14" ht="16" customHeight="1" s="7" thickBot="1">
      <c r="A14" s="105" t="inlineStr">
        <is>
          <t>Gender</t>
        </is>
      </c>
      <c r="B14" s="221" t="n"/>
      <c r="C14" s="105" t="inlineStr">
        <is>
          <t>Race</t>
        </is>
      </c>
      <c r="D14" s="105" t="inlineStr">
        <is>
          <t>Height</t>
        </is>
      </c>
      <c r="E14" s="105" t="inlineStr">
        <is>
          <t>Weight</t>
        </is>
      </c>
      <c r="F14" s="106" t="inlineStr">
        <is>
          <t>Trailer Type (Flat, Box, Dump, Liquid)</t>
        </is>
      </c>
      <c r="G14" s="220" t="n"/>
      <c r="H14" s="220" t="n"/>
      <c r="I14" s="221" t="n"/>
      <c r="J14" s="105" t="inlineStr">
        <is>
          <t>TLR Tag #</t>
        </is>
      </c>
      <c r="K14" s="105" t="inlineStr">
        <is>
          <t>State</t>
        </is>
      </c>
      <c r="L14" s="105" t="inlineStr">
        <is>
          <t>Seal (Y/N)</t>
        </is>
      </c>
      <c r="M14" s="105" t="inlineStr">
        <is>
          <t>Seal #</t>
        </is>
      </c>
      <c r="N14" s="221" t="n"/>
    </row>
    <row r="15" ht="30" customHeight="1" s="7" thickBot="1">
      <c r="A15" s="101" t="n"/>
      <c r="B15" s="221" t="n"/>
      <c r="C15" s="101" t="n"/>
      <c r="D15" s="102" t="n"/>
      <c r="E15" s="102" t="n"/>
      <c r="F15" s="2" t="inlineStr">
        <is>
          <t>□ Flat</t>
        </is>
      </c>
      <c r="G15" s="2" t="inlineStr">
        <is>
          <t>□Dump</t>
        </is>
      </c>
      <c r="H15" s="2" t="inlineStr">
        <is>
          <t>□Liquid</t>
        </is>
      </c>
      <c r="I15" s="3" t="inlineStr">
        <is>
          <t>□Box</t>
        </is>
      </c>
      <c r="J15" s="102" t="n"/>
      <c r="K15" s="101" t="n"/>
      <c r="L15" s="101" t="inlineStr">
        <is>
          <t> </t>
        </is>
      </c>
      <c r="M15" s="102" t="n"/>
      <c r="N15" s="221" t="n"/>
    </row>
    <row r="16" ht="16" customHeight="1" s="7" thickBot="1">
      <c r="A16" s="105" t="inlineStr">
        <is>
          <t>Contraband Found (Yes/No)</t>
        </is>
      </c>
      <c r="B16" s="220" t="n"/>
      <c r="C16" s="220" t="n"/>
      <c r="D16" s="221" t="n"/>
      <c r="E16" s="105" t="inlineStr">
        <is>
          <t>Contraband Type</t>
        </is>
      </c>
      <c r="F16" s="220" t="n"/>
      <c r="G16" s="220" t="n"/>
      <c r="H16" s="220" t="n"/>
      <c r="I16" s="220" t="n"/>
      <c r="J16" s="220" t="n"/>
      <c r="K16" s="221" t="n"/>
      <c r="L16" s="105" t="inlineStr">
        <is>
          <t>Citation issued</t>
        </is>
      </c>
      <c r="M16" s="220" t="n"/>
      <c r="N16" s="221" t="n"/>
    </row>
    <row r="17" ht="30" customHeight="1" s="7">
      <c r="A17" s="225" t="inlineStr">
        <is>
          <t>□ Yes      □ No</t>
        </is>
      </c>
      <c r="B17" s="5" t="n"/>
      <c r="C17" s="5" t="n"/>
      <c r="D17" s="223" t="n"/>
      <c r="E17" s="96" t="inlineStr">
        <is>
          <t xml:space="preserve"> □Pistol      □ Rifle      □Knife (3" or more)       □ Narcotics/Drugs/Pills</t>
        </is>
      </c>
      <c r="F17" s="5" t="n"/>
      <c r="G17" s="5" t="n"/>
      <c r="H17" s="5" t="n"/>
      <c r="I17" s="5" t="n"/>
      <c r="J17" s="5" t="n"/>
      <c r="K17" s="223" t="n"/>
      <c r="L17" s="226" t="inlineStr">
        <is>
          <t>□ Yes      □ No</t>
        </is>
      </c>
      <c r="M17" s="5" t="n"/>
      <c r="N17" s="223" t="n"/>
    </row>
    <row r="18" ht="30" customHeight="1" s="7" thickBot="1">
      <c r="A18" s="8" t="n"/>
      <c r="B18" s="9" t="n"/>
      <c r="C18" s="9" t="n"/>
      <c r="D18" s="224" t="n"/>
      <c r="E18" s="99" t="inlineStr">
        <is>
          <t xml:space="preserve"> □OC Spray      □ Billy Club      □Stun Gun/Taser      □ Explosives</t>
        </is>
      </c>
      <c r="F18" s="9" t="n"/>
      <c r="G18" s="9" t="n"/>
      <c r="H18" s="9" t="n"/>
      <c r="I18" s="9" t="n"/>
      <c r="J18" s="9" t="n"/>
      <c r="K18" s="224" t="n"/>
      <c r="L18" s="8" t="n"/>
      <c r="M18" s="9" t="n"/>
      <c r="N18" s="224" t="n"/>
    </row>
    <row r="19" ht="16" customHeight="1" s="7" thickBot="1">
      <c r="A19" s="105" t="inlineStr">
        <is>
          <t>#</t>
        </is>
      </c>
      <c r="B19" s="105" t="inlineStr">
        <is>
          <t>Time</t>
        </is>
      </c>
      <c r="C19" s="105" t="inlineStr">
        <is>
          <t>Driver Name</t>
        </is>
      </c>
      <c r="D19" s="220" t="n"/>
      <c r="E19" s="221" t="n"/>
      <c r="F19" s="105" t="inlineStr">
        <is>
          <t>Company Name</t>
        </is>
      </c>
      <c r="G19" s="220" t="n"/>
      <c r="H19" s="220" t="n"/>
      <c r="I19" s="221" t="n"/>
      <c r="J19" s="105" t="inlineStr">
        <is>
          <t xml:space="preserve">Vehicle Registration or Tag # </t>
        </is>
      </c>
      <c r="K19" s="220" t="n"/>
      <c r="L19" s="221" t="n"/>
      <c r="M19" s="105" t="inlineStr">
        <is>
          <t>State</t>
        </is>
      </c>
      <c r="N19" s="221" t="n"/>
    </row>
    <row r="20" ht="20.15" customHeight="1" s="7" thickBot="1">
      <c r="A20" s="222" t="n"/>
      <c r="B20" s="222" t="n"/>
      <c r="C20" s="103" t="inlineStr">
        <is>
          <t> </t>
        </is>
      </c>
      <c r="D20" s="220" t="n"/>
      <c r="E20" s="221" t="n"/>
      <c r="F20" s="103" t="inlineStr">
        <is>
          <t> </t>
        </is>
      </c>
      <c r="G20" s="220" t="n"/>
      <c r="H20" s="220" t="n"/>
      <c r="I20" s="221" t="n"/>
      <c r="J20" s="103" t="inlineStr">
        <is>
          <t> </t>
        </is>
      </c>
      <c r="K20" s="220" t="n"/>
      <c r="L20" s="221" t="n"/>
      <c r="M20" s="102" t="n"/>
      <c r="N20" s="221" t="n"/>
    </row>
    <row r="21" ht="16" customHeight="1" s="7" thickBot="1">
      <c r="A21" s="103" t="inlineStr">
        <is>
          <t> </t>
        </is>
      </c>
      <c r="B21" s="103" t="inlineStr">
        <is>
          <t> </t>
        </is>
      </c>
      <c r="C21" s="105" t="inlineStr">
        <is>
          <t>Driver License Number &amp; State</t>
        </is>
      </c>
      <c r="D21" s="220" t="n"/>
      <c r="E21" s="221" t="n"/>
      <c r="F21" s="105" t="inlineStr">
        <is>
          <t>Phone Number</t>
        </is>
      </c>
      <c r="G21" s="220" t="n"/>
      <c r="H21" s="220" t="n"/>
      <c r="I21" s="221" t="n"/>
      <c r="J21" s="105" t="inlineStr">
        <is>
          <t>Vehicle VIN #</t>
        </is>
      </c>
      <c r="K21" s="220" t="n"/>
      <c r="L21" s="220" t="n"/>
      <c r="M21" s="220" t="n"/>
      <c r="N21" s="221" t="n"/>
    </row>
    <row r="22" ht="20.15" customHeight="1" s="7" thickBot="1">
      <c r="A22" s="222" t="n"/>
      <c r="B22" s="222" t="n"/>
      <c r="C22" s="101" t="n"/>
      <c r="D22" s="220" t="n"/>
      <c r="E22" s="221" t="n"/>
      <c r="F22" s="103" t="inlineStr">
        <is>
          <t> </t>
        </is>
      </c>
      <c r="G22" s="220" t="n"/>
      <c r="H22" s="220" t="n"/>
      <c r="I22" s="221" t="n"/>
      <c r="J22" s="103" t="inlineStr">
        <is>
          <t> </t>
        </is>
      </c>
      <c r="K22" s="220" t="n"/>
      <c r="L22" s="220" t="n"/>
      <c r="M22" s="220" t="n"/>
      <c r="N22" s="221" t="n"/>
    </row>
    <row r="23" ht="16" customHeight="1" s="7" thickBot="1">
      <c r="A23" s="105" t="inlineStr">
        <is>
          <t>Driver's Home Address with City &amp; State</t>
        </is>
      </c>
      <c r="B23" s="220" t="n"/>
      <c r="C23" s="220" t="n"/>
      <c r="D23" s="220" t="n"/>
      <c r="E23" s="221" t="n"/>
      <c r="F23" s="105" t="inlineStr">
        <is>
          <t>Company Address with City &amp; State</t>
        </is>
      </c>
      <c r="G23" s="220" t="n"/>
      <c r="H23" s="220" t="n"/>
      <c r="I23" s="221" t="n"/>
      <c r="J23" s="105" t="inlineStr">
        <is>
          <t>Make</t>
        </is>
      </c>
      <c r="K23" s="105" t="inlineStr">
        <is>
          <t>Model</t>
        </is>
      </c>
      <c r="L23" s="105" t="inlineStr">
        <is>
          <t>Color</t>
        </is>
      </c>
      <c r="M23" s="105" t="inlineStr">
        <is>
          <t>Destination</t>
        </is>
      </c>
      <c r="N23" s="221" t="n"/>
    </row>
    <row r="24" ht="20.15" customHeight="1" s="7" thickBot="1">
      <c r="A24" s="112" t="n"/>
      <c r="B24" s="220" t="n"/>
      <c r="C24" s="220" t="n"/>
      <c r="D24" s="220" t="n"/>
      <c r="E24" s="221" t="n"/>
      <c r="F24" s="103" t="n"/>
      <c r="G24" s="220" t="n"/>
      <c r="H24" s="220" t="n"/>
      <c r="I24" s="221" t="n"/>
      <c r="J24" s="103" t="inlineStr">
        <is>
          <t> </t>
        </is>
      </c>
      <c r="K24" s="103" t="inlineStr">
        <is>
          <t> </t>
        </is>
      </c>
      <c r="L24" s="103" t="inlineStr">
        <is>
          <t> </t>
        </is>
      </c>
      <c r="M24" s="102" t="n"/>
      <c r="N24" s="223" t="n"/>
    </row>
    <row r="25" ht="20.15" customHeight="1" s="7" thickBot="1">
      <c r="A25" s="103" t="inlineStr">
        <is>
          <t> </t>
        </is>
      </c>
      <c r="B25" s="220" t="n"/>
      <c r="C25" s="220" t="n"/>
      <c r="D25" s="220" t="n"/>
      <c r="E25" s="221" t="n"/>
      <c r="F25" s="101" t="n"/>
      <c r="G25" s="220" t="n"/>
      <c r="H25" s="220" t="n"/>
      <c r="I25" s="221" t="n"/>
      <c r="J25" s="222" t="n"/>
      <c r="K25" s="222" t="n"/>
      <c r="L25" s="222" t="n"/>
      <c r="M25" s="8" t="n"/>
      <c r="N25" s="224" t="n"/>
    </row>
    <row r="26" ht="16" customHeight="1" s="7" thickBot="1">
      <c r="A26" s="105" t="inlineStr">
        <is>
          <t>Gender</t>
        </is>
      </c>
      <c r="B26" s="221" t="n"/>
      <c r="C26" s="105" t="inlineStr">
        <is>
          <t>Race</t>
        </is>
      </c>
      <c r="D26" s="105" t="inlineStr">
        <is>
          <t>Height</t>
        </is>
      </c>
      <c r="E26" s="105" t="inlineStr">
        <is>
          <t>Weight</t>
        </is>
      </c>
      <c r="F26" s="106" t="inlineStr">
        <is>
          <t>Trailer Type (Flat, Box, Dump, Liquid)</t>
        </is>
      </c>
      <c r="G26" s="220" t="n"/>
      <c r="H26" s="220" t="n"/>
      <c r="I26" s="221" t="n"/>
      <c r="J26" s="105" t="inlineStr">
        <is>
          <t>TLR Tag #</t>
        </is>
      </c>
      <c r="K26" s="105" t="inlineStr">
        <is>
          <t>State</t>
        </is>
      </c>
      <c r="L26" s="105" t="inlineStr">
        <is>
          <t>Seal (Y/N)</t>
        </is>
      </c>
      <c r="M26" s="105" t="inlineStr">
        <is>
          <t>Seal #</t>
        </is>
      </c>
      <c r="N26" s="221" t="n"/>
    </row>
    <row r="27" ht="30" customHeight="1" s="7" thickBot="1">
      <c r="A27" s="101" t="n"/>
      <c r="B27" s="221" t="n"/>
      <c r="C27" s="101" t="n"/>
      <c r="D27" s="102" t="n"/>
      <c r="E27" s="102" t="n"/>
      <c r="F27" s="2" t="inlineStr">
        <is>
          <t>□ Flat</t>
        </is>
      </c>
      <c r="G27" s="2" t="inlineStr">
        <is>
          <t>□Dump</t>
        </is>
      </c>
      <c r="H27" s="2" t="inlineStr">
        <is>
          <t>□Liquid</t>
        </is>
      </c>
      <c r="I27" s="3" t="inlineStr">
        <is>
          <t>□Box</t>
        </is>
      </c>
      <c r="J27" s="102" t="n"/>
      <c r="K27" s="101" t="n"/>
      <c r="L27" s="101" t="inlineStr">
        <is>
          <t> </t>
        </is>
      </c>
      <c r="M27" s="102" t="n"/>
      <c r="N27" s="221" t="n"/>
    </row>
    <row r="28" ht="16" customHeight="1" s="7" thickBot="1">
      <c r="A28" s="105" t="inlineStr">
        <is>
          <t>Contraband Found (Yes/No)</t>
        </is>
      </c>
      <c r="B28" s="220" t="n"/>
      <c r="C28" s="220" t="n"/>
      <c r="D28" s="221" t="n"/>
      <c r="E28" s="105" t="inlineStr">
        <is>
          <t>Contraband Type</t>
        </is>
      </c>
      <c r="F28" s="220" t="n"/>
      <c r="G28" s="220" t="n"/>
      <c r="H28" s="220" t="n"/>
      <c r="I28" s="220" t="n"/>
      <c r="J28" s="220" t="n"/>
      <c r="K28" s="221" t="n"/>
      <c r="L28" s="105" t="inlineStr">
        <is>
          <t>Citation issued</t>
        </is>
      </c>
      <c r="M28" s="220" t="n"/>
      <c r="N28" s="221" t="n"/>
    </row>
    <row r="29" ht="30" customHeight="1" s="7">
      <c r="A29" s="225" t="inlineStr">
        <is>
          <t>□ Yes      □ No</t>
        </is>
      </c>
      <c r="B29" s="5" t="n"/>
      <c r="C29" s="5" t="n"/>
      <c r="D29" s="223" t="n"/>
      <c r="E29" s="96" t="inlineStr">
        <is>
          <t xml:space="preserve"> □Pistol      □ Rifle      □Knife (3" or more)       □ Narcotics/Drugs/Pills</t>
        </is>
      </c>
      <c r="F29" s="5" t="n"/>
      <c r="G29" s="5" t="n"/>
      <c r="H29" s="5" t="n"/>
      <c r="I29" s="5" t="n"/>
      <c r="J29" s="5" t="n"/>
      <c r="K29" s="223" t="n"/>
      <c r="L29" s="226" t="inlineStr">
        <is>
          <t>□ Yes      □ No</t>
        </is>
      </c>
      <c r="M29" s="5" t="n"/>
      <c r="N29" s="223" t="n"/>
    </row>
    <row r="30" ht="20.25" customHeight="1" s="7" thickBot="1">
      <c r="A30" s="8" t="n"/>
      <c r="B30" s="9" t="n"/>
      <c r="C30" s="9" t="n"/>
      <c r="D30" s="224" t="n"/>
      <c r="E30" s="99" t="inlineStr">
        <is>
          <t xml:space="preserve"> □OC Spray      □ Billy Club      □Stun Gun/Taser      □ Explosives</t>
        </is>
      </c>
      <c r="F30" s="9" t="n"/>
      <c r="G30" s="9" t="n"/>
      <c r="H30" s="9" t="n"/>
      <c r="I30" s="9" t="n"/>
      <c r="J30" s="9" t="n"/>
      <c r="K30" s="224" t="n"/>
      <c r="L30" s="8" t="n"/>
      <c r="M30" s="9" t="n"/>
      <c r="N30" s="224" t="n"/>
    </row>
    <row r="31" ht="20.25" customHeight="1" s="7">
      <c r="A31" s="4" t="n"/>
      <c r="B31" s="5" t="n"/>
      <c r="C31" s="5" t="n"/>
      <c r="D31" s="6" t="n"/>
      <c r="E31" s="6" t="n"/>
      <c r="F31" s="6" t="n"/>
      <c r="G31" s="6" t="n"/>
      <c r="H31" s="6" t="n"/>
      <c r="I31" s="6" t="n"/>
      <c r="J31" s="6" t="n"/>
      <c r="K31" s="6" t="n"/>
      <c r="L31" s="6" t="n"/>
      <c r="M31" s="17" t="n"/>
      <c r="N31" s="18" t="n"/>
      <c r="O31" s="19" t="n"/>
    </row>
    <row r="32" ht="15.75" customHeight="1" s="7">
      <c r="A32" s="218" t="inlineStr">
        <is>
          <t xml:space="preserve">   Police Officers:           JAMES        HALL         JENNINGS         STEPHENS          ADAMS           Date:           __05_  / SEPT/  25 /            </t>
        </is>
      </c>
      <c r="N32" s="219" t="n"/>
      <c r="O32" s="120" t="n"/>
    </row>
    <row r="33" ht="15.75" customHeight="1" s="7">
      <c r="A33" s="114" t="n"/>
      <c r="B33" s="115" t="n"/>
      <c r="L33" s="22" t="n"/>
      <c r="M33" s="120" t="n"/>
      <c r="N33" s="121" t="n"/>
      <c r="O33" s="120" t="n"/>
    </row>
    <row r="34" ht="15.75" customHeight="1" s="7">
      <c r="A34" s="118" t="inlineStr">
        <is>
          <t>Put a line through police officer(s) name(s) that are not on duty (Example: Fenn)</t>
        </is>
      </c>
      <c r="J34" s="12" t="inlineStr">
        <is>
          <t>K-9 Officer(s) present</t>
        </is>
      </c>
      <c r="K34" s="115" t="n"/>
      <c r="L34" s="13" t="n"/>
      <c r="M34" s="14" t="n"/>
      <c r="N34" s="15" t="n"/>
      <c r="O34" s="16" t="n"/>
    </row>
    <row r="35" ht="5.15" customHeight="1" s="7" thickBot="1">
      <c r="A35" s="8" t="n"/>
      <c r="B35" s="9" t="n"/>
      <c r="C35" s="9" t="n"/>
      <c r="D35" s="9" t="n"/>
      <c r="E35" s="9" t="n"/>
      <c r="F35" s="9" t="n"/>
      <c r="G35" s="9" t="n"/>
      <c r="H35" s="9" t="n"/>
      <c r="I35" s="9" t="n"/>
      <c r="J35" s="9" t="n"/>
      <c r="K35" s="9" t="n"/>
      <c r="L35" s="9" t="inlineStr">
        <is>
          <t> </t>
        </is>
      </c>
      <c r="M35" s="10" t="inlineStr">
        <is>
          <t> </t>
        </is>
      </c>
      <c r="N35" s="11" t="n"/>
      <c r="O35" s="19" t="n"/>
    </row>
    <row r="36" ht="20.15" customFormat="1" customHeight="1" s="1" thickBot="1">
      <c r="A36" s="105" t="inlineStr">
        <is>
          <t>100 % Inspection of Commercial Vehicle    (Open hood, all exterior doors, compartments, interior compartments, storage boxes)</t>
        </is>
      </c>
      <c r="B36" s="220" t="n"/>
      <c r="C36" s="220" t="n"/>
      <c r="D36" s="220" t="n"/>
      <c r="E36" s="220" t="n"/>
      <c r="F36" s="220" t="n"/>
      <c r="G36" s="220" t="n"/>
      <c r="H36" s="220" t="n"/>
      <c r="I36" s="220" t="n"/>
      <c r="J36" s="220" t="n"/>
      <c r="K36" s="220" t="n"/>
      <c r="L36" s="220" t="n"/>
      <c r="M36" s="220" t="n"/>
      <c r="N36" s="221" t="n"/>
    </row>
    <row r="37" ht="16" customHeight="1" s="7" thickBot="1">
      <c r="A37" s="105" t="inlineStr">
        <is>
          <t>#</t>
        </is>
      </c>
      <c r="B37" s="105" t="inlineStr">
        <is>
          <t>Time</t>
        </is>
      </c>
      <c r="C37" s="105" t="inlineStr">
        <is>
          <t>Driver Name</t>
        </is>
      </c>
      <c r="D37" s="220" t="n"/>
      <c r="E37" s="221" t="n"/>
      <c r="F37" s="105" t="inlineStr">
        <is>
          <t>Company Name</t>
        </is>
      </c>
      <c r="G37" s="220" t="n"/>
      <c r="H37" s="220" t="n"/>
      <c r="I37" s="221" t="n"/>
      <c r="J37" s="105" t="inlineStr">
        <is>
          <t xml:space="preserve">Vehicle Registration or Tag # </t>
        </is>
      </c>
      <c r="K37" s="220" t="n"/>
      <c r="L37" s="221" t="n"/>
      <c r="M37" s="105" t="inlineStr">
        <is>
          <t>State</t>
        </is>
      </c>
      <c r="N37" s="221" t="n"/>
    </row>
    <row r="38" ht="20.15" customHeight="1" s="7" thickBot="1">
      <c r="A38" s="222" t="n"/>
      <c r="B38" s="222" t="n"/>
      <c r="C38" s="103" t="inlineStr">
        <is>
          <t> </t>
        </is>
      </c>
      <c r="D38" s="220" t="n"/>
      <c r="E38" s="221" t="n"/>
      <c r="F38" s="103" t="inlineStr">
        <is>
          <t> </t>
        </is>
      </c>
      <c r="G38" s="220" t="n"/>
      <c r="H38" s="220" t="n"/>
      <c r="I38" s="221" t="n"/>
      <c r="J38" s="103" t="inlineStr">
        <is>
          <t> </t>
        </is>
      </c>
      <c r="K38" s="220" t="n"/>
      <c r="L38" s="221" t="n"/>
      <c r="M38" s="102" t="n"/>
      <c r="N38" s="221" t="n"/>
    </row>
    <row r="39" ht="16" customHeight="1" s="7" thickBot="1">
      <c r="A39" s="103" t="inlineStr">
        <is>
          <t> </t>
        </is>
      </c>
      <c r="B39" s="103" t="inlineStr">
        <is>
          <t> </t>
        </is>
      </c>
      <c r="C39" s="105" t="inlineStr">
        <is>
          <t>Driver License Number &amp; State</t>
        </is>
      </c>
      <c r="D39" s="220" t="n"/>
      <c r="E39" s="221" t="n"/>
      <c r="F39" s="105" t="inlineStr">
        <is>
          <t>Phone Number</t>
        </is>
      </c>
      <c r="G39" s="220" t="n"/>
      <c r="H39" s="220" t="n"/>
      <c r="I39" s="221" t="n"/>
      <c r="J39" s="105" t="inlineStr">
        <is>
          <t>Vehicle VIN #</t>
        </is>
      </c>
      <c r="K39" s="220" t="n"/>
      <c r="L39" s="220" t="n"/>
      <c r="M39" s="220" t="n"/>
      <c r="N39" s="221" t="n"/>
    </row>
    <row r="40" ht="20.15" customHeight="1" s="7" thickBot="1">
      <c r="A40" s="222" t="n"/>
      <c r="B40" s="222" t="n"/>
      <c r="C40" s="101" t="n"/>
      <c r="D40" s="220" t="n"/>
      <c r="E40" s="221" t="n"/>
      <c r="F40" s="103" t="inlineStr">
        <is>
          <t> </t>
        </is>
      </c>
      <c r="G40" s="220" t="n"/>
      <c r="H40" s="220" t="n"/>
      <c r="I40" s="221" t="n"/>
      <c r="J40" s="103" t="inlineStr">
        <is>
          <t> </t>
        </is>
      </c>
      <c r="K40" s="220" t="n"/>
      <c r="L40" s="220" t="n"/>
      <c r="M40" s="220" t="n"/>
      <c r="N40" s="221" t="n"/>
    </row>
    <row r="41" ht="16" customHeight="1" s="7" thickBot="1">
      <c r="A41" s="105" t="inlineStr">
        <is>
          <t>Driver's Home Address with City &amp; State</t>
        </is>
      </c>
      <c r="B41" s="220" t="n"/>
      <c r="C41" s="220" t="n"/>
      <c r="D41" s="220" t="n"/>
      <c r="E41" s="221" t="n"/>
      <c r="F41" s="105" t="inlineStr">
        <is>
          <t>Company Address with City &amp; State</t>
        </is>
      </c>
      <c r="G41" s="220" t="n"/>
      <c r="H41" s="220" t="n"/>
      <c r="I41" s="221" t="n"/>
      <c r="J41" s="105" t="inlineStr">
        <is>
          <t>Make</t>
        </is>
      </c>
      <c r="K41" s="105" t="inlineStr">
        <is>
          <t>Model</t>
        </is>
      </c>
      <c r="L41" s="105" t="inlineStr">
        <is>
          <t>Color</t>
        </is>
      </c>
      <c r="M41" s="105" t="inlineStr">
        <is>
          <t>Destination</t>
        </is>
      </c>
      <c r="N41" s="221" t="n"/>
    </row>
    <row r="42" ht="20.15" customHeight="1" s="7" thickBot="1">
      <c r="A42" s="112" t="n"/>
      <c r="B42" s="220" t="n"/>
      <c r="C42" s="220" t="n"/>
      <c r="D42" s="220" t="n"/>
      <c r="E42" s="221" t="n"/>
      <c r="F42" s="103" t="n"/>
      <c r="G42" s="220" t="n"/>
      <c r="H42" s="220" t="n"/>
      <c r="I42" s="221" t="n"/>
      <c r="J42" s="103" t="inlineStr">
        <is>
          <t> </t>
        </is>
      </c>
      <c r="K42" s="103" t="inlineStr">
        <is>
          <t> </t>
        </is>
      </c>
      <c r="L42" s="103" t="inlineStr">
        <is>
          <t> </t>
        </is>
      </c>
      <c r="M42" s="102" t="n"/>
      <c r="N42" s="223" t="n"/>
    </row>
    <row r="43" ht="20.15" customHeight="1" s="7" thickBot="1">
      <c r="A43" s="103" t="inlineStr">
        <is>
          <t> </t>
        </is>
      </c>
      <c r="B43" s="220" t="n"/>
      <c r="C43" s="220" t="n"/>
      <c r="D43" s="220" t="n"/>
      <c r="E43" s="221" t="n"/>
      <c r="F43" s="101" t="n"/>
      <c r="G43" s="220" t="n"/>
      <c r="H43" s="220" t="n"/>
      <c r="I43" s="221" t="n"/>
      <c r="J43" s="222" t="n"/>
      <c r="K43" s="222" t="n"/>
      <c r="L43" s="222" t="n"/>
      <c r="M43" s="8" t="n"/>
      <c r="N43" s="224" t="n"/>
    </row>
    <row r="44" ht="16" customHeight="1" s="7" thickBot="1">
      <c r="A44" s="105" t="inlineStr">
        <is>
          <t>Gender</t>
        </is>
      </c>
      <c r="B44" s="221" t="n"/>
      <c r="C44" s="105" t="inlineStr">
        <is>
          <t>Race</t>
        </is>
      </c>
      <c r="D44" s="105" t="inlineStr">
        <is>
          <t>Height</t>
        </is>
      </c>
      <c r="E44" s="105" t="inlineStr">
        <is>
          <t>Weight</t>
        </is>
      </c>
      <c r="F44" s="106" t="inlineStr">
        <is>
          <t>Trailer Type (Flat, Box, Dump, Liquid)</t>
        </is>
      </c>
      <c r="G44" s="220" t="n"/>
      <c r="H44" s="220" t="n"/>
      <c r="I44" s="221" t="n"/>
      <c r="J44" s="105" t="inlineStr">
        <is>
          <t>TLR Tag #</t>
        </is>
      </c>
      <c r="K44" s="105" t="inlineStr">
        <is>
          <t>State</t>
        </is>
      </c>
      <c r="L44" s="105" t="inlineStr">
        <is>
          <t>Seal (Y/N)</t>
        </is>
      </c>
      <c r="M44" s="105" t="inlineStr">
        <is>
          <t>Seal #</t>
        </is>
      </c>
      <c r="N44" s="221" t="n"/>
    </row>
    <row r="45" ht="30" customHeight="1" s="7" thickBot="1">
      <c r="A45" s="101" t="n"/>
      <c r="B45" s="221" t="n"/>
      <c r="C45" s="101" t="n"/>
      <c r="D45" s="102" t="n"/>
      <c r="E45" s="102" t="n"/>
      <c r="F45" s="2" t="inlineStr">
        <is>
          <t>□ Flat</t>
        </is>
      </c>
      <c r="G45" s="2" t="inlineStr">
        <is>
          <t>□Dump</t>
        </is>
      </c>
      <c r="H45" s="2" t="inlineStr">
        <is>
          <t>□Liquid</t>
        </is>
      </c>
      <c r="I45" s="3" t="inlineStr">
        <is>
          <t>□Box</t>
        </is>
      </c>
      <c r="J45" s="102" t="n"/>
      <c r="K45" s="101" t="n"/>
      <c r="L45" s="101" t="inlineStr">
        <is>
          <t> </t>
        </is>
      </c>
      <c r="M45" s="102" t="n"/>
      <c r="N45" s="221" t="n"/>
    </row>
    <row r="46" ht="16" customHeight="1" s="7" thickBot="1">
      <c r="A46" s="105" t="inlineStr">
        <is>
          <t>Contraband Found (Yes/No)</t>
        </is>
      </c>
      <c r="B46" s="220" t="n"/>
      <c r="C46" s="220" t="n"/>
      <c r="D46" s="221" t="n"/>
      <c r="E46" s="105" t="inlineStr">
        <is>
          <t>Contraband Type</t>
        </is>
      </c>
      <c r="F46" s="220" t="n"/>
      <c r="G46" s="220" t="n"/>
      <c r="H46" s="220" t="n"/>
      <c r="I46" s="220" t="n"/>
      <c r="J46" s="220" t="n"/>
      <c r="K46" s="221" t="n"/>
      <c r="L46" s="105" t="inlineStr">
        <is>
          <t>Citation issued</t>
        </is>
      </c>
      <c r="M46" s="220" t="n"/>
      <c r="N46" s="221" t="n"/>
    </row>
    <row r="47" ht="30" customHeight="1" s="7">
      <c r="A47" s="225" t="inlineStr">
        <is>
          <t>□ Yes      □ No</t>
        </is>
      </c>
      <c r="B47" s="5" t="n"/>
      <c r="C47" s="5" t="n"/>
      <c r="D47" s="223" t="n"/>
      <c r="E47" s="96" t="inlineStr">
        <is>
          <t xml:space="preserve"> □Pistol      □ Rifle      □Knife (3" or more)       □ Narcotics/Drugs/Pills</t>
        </is>
      </c>
      <c r="F47" s="5" t="n"/>
      <c r="G47" s="5" t="n"/>
      <c r="H47" s="5" t="n"/>
      <c r="I47" s="5" t="n"/>
      <c r="J47" s="5" t="n"/>
      <c r="K47" s="223" t="n"/>
      <c r="L47" s="226" t="inlineStr">
        <is>
          <t>□ Yes      □ No</t>
        </is>
      </c>
      <c r="M47" s="5" t="n"/>
      <c r="N47" s="223" t="n"/>
    </row>
    <row r="48" ht="30" customHeight="1" s="7" thickBot="1">
      <c r="A48" s="8" t="n"/>
      <c r="B48" s="9" t="n"/>
      <c r="C48" s="9" t="n"/>
      <c r="D48" s="224" t="n"/>
      <c r="E48" s="99" t="inlineStr">
        <is>
          <t xml:space="preserve"> □OC Spray      □ Billy Club      □Stun Gun/Taser      □ Explosives</t>
        </is>
      </c>
      <c r="F48" s="9" t="n"/>
      <c r="G48" s="9" t="n"/>
      <c r="H48" s="9" t="n"/>
      <c r="I48" s="9" t="n"/>
      <c r="J48" s="9" t="n"/>
      <c r="K48" s="224" t="n"/>
      <c r="L48" s="8" t="n"/>
      <c r="M48" s="9" t="n"/>
      <c r="N48" s="224" t="n"/>
    </row>
    <row r="49" ht="16" customHeight="1" s="7" thickBot="1">
      <c r="A49" s="105" t="inlineStr">
        <is>
          <t>#</t>
        </is>
      </c>
      <c r="B49" s="105" t="inlineStr">
        <is>
          <t>Time</t>
        </is>
      </c>
      <c r="C49" s="105" t="inlineStr">
        <is>
          <t>Driver Name</t>
        </is>
      </c>
      <c r="D49" s="220" t="n"/>
      <c r="E49" s="221" t="n"/>
      <c r="F49" s="105" t="inlineStr">
        <is>
          <t>Company Name</t>
        </is>
      </c>
      <c r="G49" s="220" t="n"/>
      <c r="H49" s="220" t="n"/>
      <c r="I49" s="221" t="n"/>
      <c r="J49" s="105" t="inlineStr">
        <is>
          <t xml:space="preserve">Vehicle Registration or Tag # </t>
        </is>
      </c>
      <c r="K49" s="220" t="n"/>
      <c r="L49" s="221" t="n"/>
      <c r="M49" s="105" t="inlineStr">
        <is>
          <t>State</t>
        </is>
      </c>
      <c r="N49" s="221" t="n"/>
    </row>
    <row r="50" ht="20.15" customHeight="1" s="7" thickBot="1">
      <c r="A50" s="222" t="n"/>
      <c r="B50" s="222" t="n"/>
      <c r="C50" s="103" t="inlineStr">
        <is>
          <t> </t>
        </is>
      </c>
      <c r="D50" s="220" t="n"/>
      <c r="E50" s="221" t="n"/>
      <c r="F50" s="103" t="inlineStr">
        <is>
          <t> </t>
        </is>
      </c>
      <c r="G50" s="220" t="n"/>
      <c r="H50" s="220" t="n"/>
      <c r="I50" s="221" t="n"/>
      <c r="J50" s="103" t="inlineStr">
        <is>
          <t> </t>
        </is>
      </c>
      <c r="K50" s="220" t="n"/>
      <c r="L50" s="221" t="n"/>
      <c r="M50" s="102" t="n"/>
      <c r="N50" s="221" t="n"/>
    </row>
    <row r="51" ht="16" customHeight="1" s="7" thickBot="1">
      <c r="A51" s="103" t="inlineStr">
        <is>
          <t> </t>
        </is>
      </c>
      <c r="B51" s="103" t="inlineStr">
        <is>
          <t> </t>
        </is>
      </c>
      <c r="C51" s="105" t="inlineStr">
        <is>
          <t>Driver License Number &amp; State</t>
        </is>
      </c>
      <c r="D51" s="220" t="n"/>
      <c r="E51" s="221" t="n"/>
      <c r="F51" s="105" t="inlineStr">
        <is>
          <t>Phone Number</t>
        </is>
      </c>
      <c r="G51" s="220" t="n"/>
      <c r="H51" s="220" t="n"/>
      <c r="I51" s="221" t="n"/>
      <c r="J51" s="105" t="inlineStr">
        <is>
          <t>Vehicle VIN #</t>
        </is>
      </c>
      <c r="K51" s="220" t="n"/>
      <c r="L51" s="220" t="n"/>
      <c r="M51" s="220" t="n"/>
      <c r="N51" s="221" t="n"/>
    </row>
    <row r="52" ht="20.15" customHeight="1" s="7" thickBot="1">
      <c r="A52" s="222" t="n"/>
      <c r="B52" s="222" t="n"/>
      <c r="C52" s="101" t="n"/>
      <c r="D52" s="220" t="n"/>
      <c r="E52" s="221" t="n"/>
      <c r="F52" s="103" t="inlineStr">
        <is>
          <t> </t>
        </is>
      </c>
      <c r="G52" s="220" t="n"/>
      <c r="H52" s="220" t="n"/>
      <c r="I52" s="221" t="n"/>
      <c r="J52" s="103" t="inlineStr">
        <is>
          <t> </t>
        </is>
      </c>
      <c r="K52" s="220" t="n"/>
      <c r="L52" s="220" t="n"/>
      <c r="M52" s="220" t="n"/>
      <c r="N52" s="221" t="n"/>
    </row>
    <row r="53" ht="16" customHeight="1" s="7" thickBot="1">
      <c r="A53" s="105" t="inlineStr">
        <is>
          <t>Driver's Home Address with City &amp; State</t>
        </is>
      </c>
      <c r="B53" s="220" t="n"/>
      <c r="C53" s="220" t="n"/>
      <c r="D53" s="220" t="n"/>
      <c r="E53" s="221" t="n"/>
      <c r="F53" s="105" t="inlineStr">
        <is>
          <t>Company Address with City &amp; State</t>
        </is>
      </c>
      <c r="G53" s="220" t="n"/>
      <c r="H53" s="220" t="n"/>
      <c r="I53" s="221" t="n"/>
      <c r="J53" s="105" t="inlineStr">
        <is>
          <t>Make</t>
        </is>
      </c>
      <c r="K53" s="105" t="inlineStr">
        <is>
          <t>Model</t>
        </is>
      </c>
      <c r="L53" s="105" t="inlineStr">
        <is>
          <t>Color</t>
        </is>
      </c>
      <c r="M53" s="105" t="inlineStr">
        <is>
          <t>Destination</t>
        </is>
      </c>
      <c r="N53" s="221" t="n"/>
    </row>
    <row r="54" ht="20.15" customHeight="1" s="7" thickBot="1">
      <c r="A54" s="112" t="n"/>
      <c r="B54" s="220" t="n"/>
      <c r="C54" s="220" t="n"/>
      <c r="D54" s="220" t="n"/>
      <c r="E54" s="221" t="n"/>
      <c r="F54" s="103" t="n"/>
      <c r="G54" s="220" t="n"/>
      <c r="H54" s="220" t="n"/>
      <c r="I54" s="221" t="n"/>
      <c r="J54" s="103" t="inlineStr">
        <is>
          <t> </t>
        </is>
      </c>
      <c r="K54" s="103" t="inlineStr">
        <is>
          <t> </t>
        </is>
      </c>
      <c r="L54" s="103" t="inlineStr">
        <is>
          <t> </t>
        </is>
      </c>
      <c r="M54" s="102" t="n"/>
      <c r="N54" s="223" t="n"/>
    </row>
    <row r="55" ht="20.15" customHeight="1" s="7" thickBot="1">
      <c r="A55" s="103" t="inlineStr">
        <is>
          <t> </t>
        </is>
      </c>
      <c r="B55" s="220" t="n"/>
      <c r="C55" s="220" t="n"/>
      <c r="D55" s="220" t="n"/>
      <c r="E55" s="221" t="n"/>
      <c r="F55" s="101" t="n"/>
      <c r="G55" s="220" t="n"/>
      <c r="H55" s="220" t="n"/>
      <c r="I55" s="221" t="n"/>
      <c r="J55" s="222" t="n"/>
      <c r="K55" s="222" t="n"/>
      <c r="L55" s="222" t="n"/>
      <c r="M55" s="8" t="n"/>
      <c r="N55" s="224" t="n"/>
    </row>
    <row r="56" ht="16" customHeight="1" s="7" thickBot="1">
      <c r="A56" s="105" t="inlineStr">
        <is>
          <t>Gender</t>
        </is>
      </c>
      <c r="B56" s="221" t="n"/>
      <c r="C56" s="105" t="inlineStr">
        <is>
          <t>Race</t>
        </is>
      </c>
      <c r="D56" s="105" t="inlineStr">
        <is>
          <t>Height</t>
        </is>
      </c>
      <c r="E56" s="105" t="inlineStr">
        <is>
          <t>Weight</t>
        </is>
      </c>
      <c r="F56" s="106" t="inlineStr">
        <is>
          <t>Trailer Type (Flat, Box, Dump, Liquid)</t>
        </is>
      </c>
      <c r="G56" s="220" t="n"/>
      <c r="H56" s="220" t="n"/>
      <c r="I56" s="221" t="n"/>
      <c r="J56" s="105" t="inlineStr">
        <is>
          <t>TLR Tag #</t>
        </is>
      </c>
      <c r="K56" s="105" t="inlineStr">
        <is>
          <t>State</t>
        </is>
      </c>
      <c r="L56" s="105" t="inlineStr">
        <is>
          <t>Seal (Y/N)</t>
        </is>
      </c>
      <c r="M56" s="105" t="inlineStr">
        <is>
          <t>Seal #</t>
        </is>
      </c>
      <c r="N56" s="221" t="n"/>
    </row>
    <row r="57" ht="30" customHeight="1" s="7" thickBot="1">
      <c r="A57" s="101" t="n"/>
      <c r="B57" s="221" t="n"/>
      <c r="C57" s="101" t="n"/>
      <c r="D57" s="102" t="n"/>
      <c r="E57" s="102" t="n"/>
      <c r="F57" s="2" t="inlineStr">
        <is>
          <t>□ Flat</t>
        </is>
      </c>
      <c r="G57" s="2" t="inlineStr">
        <is>
          <t>□Dump</t>
        </is>
      </c>
      <c r="H57" s="2" t="inlineStr">
        <is>
          <t>□Liquid</t>
        </is>
      </c>
      <c r="I57" s="3" t="inlineStr">
        <is>
          <t>□Box</t>
        </is>
      </c>
      <c r="J57" s="102" t="n"/>
      <c r="K57" s="101" t="n"/>
      <c r="L57" s="101" t="inlineStr">
        <is>
          <t> </t>
        </is>
      </c>
      <c r="M57" s="102" t="n"/>
      <c r="N57" s="221" t="n"/>
    </row>
    <row r="58" ht="16" customHeight="1" s="7" thickBot="1">
      <c r="A58" s="105" t="inlineStr">
        <is>
          <t>Contraband Found (Yes/No)</t>
        </is>
      </c>
      <c r="B58" s="220" t="n"/>
      <c r="C58" s="220" t="n"/>
      <c r="D58" s="221" t="n"/>
      <c r="E58" s="105" t="inlineStr">
        <is>
          <t>Contraband Type</t>
        </is>
      </c>
      <c r="F58" s="220" t="n"/>
      <c r="G58" s="220" t="n"/>
      <c r="H58" s="220" t="n"/>
      <c r="I58" s="220" t="n"/>
      <c r="J58" s="220" t="n"/>
      <c r="K58" s="221" t="n"/>
      <c r="L58" s="105" t="inlineStr">
        <is>
          <t>Citation issued</t>
        </is>
      </c>
      <c r="M58" s="220" t="n"/>
      <c r="N58" s="221" t="n"/>
    </row>
    <row r="59" ht="30" customHeight="1" s="7">
      <c r="A59" s="225" t="inlineStr">
        <is>
          <t>□ Yes      □ No</t>
        </is>
      </c>
      <c r="B59" s="5" t="n"/>
      <c r="C59" s="5" t="n"/>
      <c r="D59" s="223" t="n"/>
      <c r="E59" s="96" t="inlineStr">
        <is>
          <t xml:space="preserve"> □Pistol      □ Rifle      □Knife (3" or more)       □ Narcotics/Drugs/Pills</t>
        </is>
      </c>
      <c r="F59" s="5" t="n"/>
      <c r="G59" s="5" t="n"/>
      <c r="H59" s="5" t="n"/>
      <c r="I59" s="5" t="n"/>
      <c r="J59" s="5" t="n"/>
      <c r="K59" s="223" t="n"/>
      <c r="L59" s="226" t="inlineStr">
        <is>
          <t>□ Yes      □ No</t>
        </is>
      </c>
      <c r="M59" s="5" t="n"/>
      <c r="N59" s="223" t="n"/>
    </row>
    <row r="60" ht="20.25" customHeight="1" s="7" thickBot="1">
      <c r="A60" s="8" t="n"/>
      <c r="B60" s="9" t="n"/>
      <c r="C60" s="9" t="n"/>
      <c r="D60" s="224" t="n"/>
      <c r="E60" s="99" t="inlineStr">
        <is>
          <t xml:space="preserve"> □OC Spray      □ Billy Club      □Stun Gun/Taser      □ Explosives</t>
        </is>
      </c>
      <c r="F60" s="9" t="n"/>
      <c r="G60" s="9" t="n"/>
      <c r="H60" s="9" t="n"/>
      <c r="I60" s="9" t="n"/>
      <c r="J60" s="9" t="n"/>
      <c r="K60" s="224" t="n"/>
      <c r="L60" s="8" t="n"/>
      <c r="M60" s="9" t="n"/>
      <c r="N60" s="224" t="n"/>
    </row>
  </sheetData>
  <mergeCells count="170">
    <mergeCell ref="K54:K55"/>
    <mergeCell ref="A15:B15"/>
    <mergeCell ref="A51:A52"/>
    <mergeCell ref="L12:L13"/>
    <mergeCell ref="A11:E11"/>
    <mergeCell ref="A7:A8"/>
    <mergeCell ref="C40:E40"/>
    <mergeCell ref="C21:E21"/>
    <mergeCell ref="L58:N58"/>
    <mergeCell ref="C51:E51"/>
    <mergeCell ref="A58:D58"/>
    <mergeCell ref="F53:I53"/>
    <mergeCell ref="A56:B56"/>
    <mergeCell ref="J50:L50"/>
    <mergeCell ref="F25:I25"/>
    <mergeCell ref="A27:B27"/>
    <mergeCell ref="B37:B38"/>
    <mergeCell ref="C7:E7"/>
    <mergeCell ref="L46:N46"/>
    <mergeCell ref="E48:K48"/>
    <mergeCell ref="E29:K29"/>
    <mergeCell ref="K42:K43"/>
    <mergeCell ref="C49:E49"/>
    <mergeCell ref="A23:E23"/>
    <mergeCell ref="M45:N45"/>
    <mergeCell ref="A16:D16"/>
    <mergeCell ref="M8:N8"/>
    <mergeCell ref="J22:N22"/>
    <mergeCell ref="J38:L38"/>
    <mergeCell ref="A43:E43"/>
    <mergeCell ref="M19:N19"/>
    <mergeCell ref="M50:N50"/>
    <mergeCell ref="J52:N52"/>
    <mergeCell ref="F23:I23"/>
    <mergeCell ref="C20:E20"/>
    <mergeCell ref="J39:N39"/>
    <mergeCell ref="F13:I13"/>
    <mergeCell ref="F56:I56"/>
    <mergeCell ref="M12:N13"/>
    <mergeCell ref="F43:I43"/>
    <mergeCell ref="C22:E22"/>
    <mergeCell ref="A45:B45"/>
    <mergeCell ref="M44:N44"/>
    <mergeCell ref="F52:I52"/>
    <mergeCell ref="F37:I37"/>
    <mergeCell ref="E16:K16"/>
    <mergeCell ref="A28:D28"/>
    <mergeCell ref="A36:N36"/>
    <mergeCell ref="L17:N18"/>
    <mergeCell ref="J7:L7"/>
    <mergeCell ref="J40:N40"/>
    <mergeCell ref="C52:E52"/>
    <mergeCell ref="E18:K18"/>
    <mergeCell ref="E58:K58"/>
    <mergeCell ref="C39:E39"/>
    <mergeCell ref="F44:I44"/>
    <mergeCell ref="L42:L43"/>
    <mergeCell ref="A37:A38"/>
    <mergeCell ref="F54:I54"/>
    <mergeCell ref="F19:I19"/>
    <mergeCell ref="A21:A22"/>
    <mergeCell ref="C38:E38"/>
    <mergeCell ref="A26:B26"/>
    <mergeCell ref="A12:E12"/>
    <mergeCell ref="M7:N7"/>
    <mergeCell ref="A55:E55"/>
    <mergeCell ref="A47:D48"/>
    <mergeCell ref="J12:J13"/>
    <mergeCell ref="M27:N27"/>
    <mergeCell ref="M41:N41"/>
    <mergeCell ref="A34:I34"/>
    <mergeCell ref="F20:I20"/>
    <mergeCell ref="A32:N32"/>
    <mergeCell ref="A46:D46"/>
    <mergeCell ref="A19:A20"/>
    <mergeCell ref="F42:I42"/>
    <mergeCell ref="L29:N30"/>
    <mergeCell ref="A9:A10"/>
    <mergeCell ref="L28:N28"/>
    <mergeCell ref="J37:L37"/>
    <mergeCell ref="E30:K30"/>
    <mergeCell ref="A39:A40"/>
    <mergeCell ref="B7:B8"/>
    <mergeCell ref="E59:K59"/>
    <mergeCell ref="A49:A50"/>
    <mergeCell ref="E46:K46"/>
    <mergeCell ref="M53:N53"/>
    <mergeCell ref="C10:E10"/>
    <mergeCell ref="C50:E50"/>
    <mergeCell ref="A24:E24"/>
    <mergeCell ref="F9:I9"/>
    <mergeCell ref="F39:I39"/>
    <mergeCell ref="C9:E9"/>
    <mergeCell ref="M49:N49"/>
    <mergeCell ref="E47:K47"/>
    <mergeCell ref="A6:N6"/>
    <mergeCell ref="M11:N11"/>
    <mergeCell ref="A25:E25"/>
    <mergeCell ref="J24:J25"/>
    <mergeCell ref="M42:N43"/>
    <mergeCell ref="A4:I4"/>
    <mergeCell ref="F10:I10"/>
    <mergeCell ref="B9:B10"/>
    <mergeCell ref="B49:B50"/>
    <mergeCell ref="M15:N15"/>
    <mergeCell ref="E17:K17"/>
    <mergeCell ref="C37:E37"/>
    <mergeCell ref="F7:I7"/>
    <mergeCell ref="M37:N37"/>
    <mergeCell ref="A42:E42"/>
    <mergeCell ref="A2:N2"/>
    <mergeCell ref="A57:B57"/>
    <mergeCell ref="J8:L8"/>
    <mergeCell ref="A29:D30"/>
    <mergeCell ref="A14:B14"/>
    <mergeCell ref="M26:N26"/>
    <mergeCell ref="E28:K28"/>
    <mergeCell ref="F50:I50"/>
    <mergeCell ref="E60:K60"/>
    <mergeCell ref="F8:I8"/>
    <mergeCell ref="J19:L19"/>
    <mergeCell ref="M38:N38"/>
    <mergeCell ref="M23:N23"/>
    <mergeCell ref="M54:N55"/>
    <mergeCell ref="J42:J43"/>
    <mergeCell ref="A13:E13"/>
    <mergeCell ref="B21:B22"/>
    <mergeCell ref="F22:I22"/>
    <mergeCell ref="L59:N60"/>
    <mergeCell ref="J49:L49"/>
    <mergeCell ref="J10:N10"/>
    <mergeCell ref="M24:N25"/>
    <mergeCell ref="J20:L20"/>
    <mergeCell ref="F49:I49"/>
    <mergeCell ref="L24:L25"/>
    <mergeCell ref="F14:I14"/>
    <mergeCell ref="B39:B40"/>
    <mergeCell ref="J9:N9"/>
    <mergeCell ref="M20:N20"/>
    <mergeCell ref="A54:E54"/>
    <mergeCell ref="F11:I11"/>
    <mergeCell ref="C8:E8"/>
    <mergeCell ref="K12:K13"/>
    <mergeCell ref="A41:E41"/>
    <mergeCell ref="J54:J55"/>
    <mergeCell ref="L47:N48"/>
    <mergeCell ref="L54:L55"/>
    <mergeCell ref="B19:B20"/>
    <mergeCell ref="F40:I40"/>
    <mergeCell ref="A17:D18"/>
    <mergeCell ref="C19:E19"/>
    <mergeCell ref="F55:I55"/>
    <mergeCell ref="F12:I12"/>
    <mergeCell ref="F24:I24"/>
    <mergeCell ref="F21:I21"/>
    <mergeCell ref="F51:I51"/>
    <mergeCell ref="A53:E53"/>
    <mergeCell ref="L16:N16"/>
    <mergeCell ref="F26:I26"/>
    <mergeCell ref="F41:I41"/>
    <mergeCell ref="B51:B52"/>
    <mergeCell ref="J21:N21"/>
    <mergeCell ref="M57:N57"/>
    <mergeCell ref="J51:N51"/>
    <mergeCell ref="M14:N14"/>
    <mergeCell ref="F38:I38"/>
    <mergeCell ref="K24:K25"/>
    <mergeCell ref="A44:B44"/>
    <mergeCell ref="A59:D60"/>
    <mergeCell ref="M56:N56"/>
  </mergeCells>
  <pageMargins left="0" right="0" top="0.5" bottom="0" header="0" footer="0"/>
  <pageSetup orientation="landscape" scale="95"/>
  <headerFooter alignWithMargins="0">
    <oddHeader>&amp;C&amp;"Arial,Bold"&amp;16 Commercial Vehicle Entrance(Gate 5) Log: 100% Inspection &amp;R&amp;"Arial,Bold"&amp;12 Time:_____________</oddHeader>
    <oddFooter>&amp;R&amp;"Arial,Bold"&amp;12 Page_____ of _____ Pages</oddFooter>
    <evenHeader/>
    <evenFooter/>
    <firstHeader/>
    <firstFooter/>
  </headerFooter>
  <rowBreaks count="1" manualBreakCount="1">
    <brk id="30" min="0" max="15" man="1"/>
  </rowBreaks>
</worksheet>
</file>

<file path=xl/worksheets/sheet2.xml><?xml version="1.0" encoding="utf-8"?>
<worksheet xmlns="http://schemas.openxmlformats.org/spreadsheetml/2006/main">
  <sheetPr codeName="Sheet1">
    <outlinePr summaryBelow="1" summaryRight="1"/>
    <pageSetUpPr fitToPage="1"/>
  </sheetPr>
  <dimension ref="A1:AK410"/>
  <sheetViews>
    <sheetView tabSelected="1" topLeftCell="A93" zoomScale="70" zoomScaleNormal="70" zoomScaleSheetLayoutView="75" zoomScalePageLayoutView="70" workbookViewId="0">
      <selection activeCell="B107" sqref="B107:B108"/>
    </sheetView>
  </sheetViews>
  <sheetFormatPr baseColWidth="8" defaultColWidth="9.1796875" defaultRowHeight="12.5"/>
  <cols>
    <col width="6.1796875" bestFit="1" customWidth="1" style="79" min="1" max="1"/>
    <col width="8.453125" customWidth="1" style="79" min="2" max="2"/>
    <col width="13.1796875" bestFit="1" customWidth="1" style="79" min="3" max="3"/>
    <col width="8.453125" bestFit="1" customWidth="1" style="79" min="4" max="4"/>
    <col width="10.453125" bestFit="1" customWidth="1" style="79" min="5" max="5"/>
    <col width="11.7265625" customWidth="1" style="79" min="6" max="7"/>
    <col width="13.81640625" customWidth="1" style="79" min="8" max="8"/>
    <col width="13" customWidth="1" style="79" min="9" max="9"/>
    <col width="11.453125" customWidth="1" style="79" min="10" max="10"/>
    <col width="7.7265625" customWidth="1" style="79" min="11" max="11"/>
    <col width="5.54296875" customWidth="1" style="79" min="12" max="12"/>
    <col width="11.7265625" customWidth="1" style="79" min="13" max="15"/>
    <col width="5.453125" customWidth="1" style="79" min="16" max="16"/>
    <col width="5.26953125" customWidth="1" style="79" min="17" max="17"/>
    <col width="8.453125" customWidth="1" style="79" min="18" max="18"/>
    <col width="1.54296875" bestFit="1" customWidth="1" style="79" min="19" max="19"/>
    <col width="6.453125" customWidth="1" style="79" min="20" max="20"/>
    <col width="6.7265625" customWidth="1" style="79" min="21" max="21"/>
    <col width="8.1796875" customWidth="1" style="79" min="22" max="22"/>
    <col width="12.7265625" customWidth="1" style="79" min="23" max="23"/>
    <col width="13.1796875" customWidth="1" style="79" min="24" max="24"/>
    <col hidden="1" width="44.7265625" customWidth="1" style="79" min="25" max="25"/>
    <col hidden="1" width="45.26953125" customWidth="1" style="79" min="26" max="26"/>
    <col hidden="1" width="32.453125" customWidth="1" style="79" min="27" max="27"/>
    <col hidden="1" width="21" customWidth="1" style="79" min="28" max="28"/>
    <col hidden="1" width="23.453125" customWidth="1" style="79" min="29" max="29"/>
    <col hidden="1" width="14.26953125" customWidth="1" style="79" min="30" max="30"/>
    <col hidden="1" width="30.1796875" customWidth="1" style="79" min="31" max="31"/>
    <col hidden="1" width="65" customWidth="1" style="79" min="32" max="32"/>
    <col hidden="1" width="11" customWidth="1" style="79" min="33" max="33"/>
    <col hidden="1" width="9.453125" customWidth="1" style="79" min="34" max="34"/>
    <col hidden="1" width="19.1796875" customWidth="1" style="79" min="35" max="35"/>
    <col hidden="1" width="13" customWidth="1" style="79" min="36" max="36"/>
    <col hidden="1" width="10" customWidth="1" style="79" min="37" max="37"/>
    <col width="9.1796875" customWidth="1" style="79" min="38" max="16384"/>
  </cols>
  <sheetData>
    <row r="1" ht="20" customHeight="1" s="7">
      <c r="A1" s="75" t="n"/>
      <c r="B1" s="75" t="n"/>
      <c r="C1" s="75" t="n"/>
      <c r="D1" s="75" t="n"/>
      <c r="E1" s="75" t="n"/>
      <c r="F1" s="142" t="inlineStr">
        <is>
          <t xml:space="preserve">Inspectors:             </t>
        </is>
      </c>
      <c r="G1" s="227" t="n"/>
      <c r="H1" s="76" t="n"/>
      <c r="I1" s="76" t="n"/>
      <c r="J1" s="76" t="n"/>
      <c r="K1" s="76" t="n"/>
      <c r="L1" s="76" t="n"/>
      <c r="M1" s="76" t="n"/>
      <c r="N1" s="76" t="n"/>
      <c r="O1" s="76" t="n"/>
      <c r="P1" s="76" t="n"/>
      <c r="Q1" s="76" t="n"/>
      <c r="R1" s="76" t="n"/>
      <c r="S1" s="77" t="n"/>
      <c r="T1" s="77" t="n"/>
      <c r="U1" s="77" t="n"/>
      <c r="V1" s="77" t="n"/>
      <c r="W1" s="75" t="n"/>
      <c r="X1" s="75" t="n"/>
    </row>
    <row r="2" ht="15.5" customHeight="1" s="7">
      <c r="A2" s="79" t="n"/>
      <c r="B2" s="79" t="n"/>
      <c r="C2" s="79" t="n"/>
      <c r="D2" s="79" t="n"/>
      <c r="E2" s="79" t="n"/>
      <c r="F2" s="150" t="inlineStr">
        <is>
          <t>Ofc James</t>
        </is>
      </c>
      <c r="G2" s="86" t="n"/>
      <c r="H2" s="150" t="inlineStr">
        <is>
          <t>Lt Qualls</t>
        </is>
      </c>
      <c r="I2" s="86" t="n"/>
      <c r="J2" s="144" t="inlineStr">
        <is>
          <t>Ofc Hall</t>
        </is>
      </c>
      <c r="K2" s="79" t="n"/>
      <c r="L2" s="150" t="n"/>
      <c r="M2" s="86" t="n"/>
      <c r="N2" s="144" t="n"/>
      <c r="O2" s="79" t="n"/>
      <c r="P2" s="144" t="n"/>
      <c r="Q2" s="151" t="n"/>
      <c r="R2" s="79" t="n"/>
      <c r="S2" s="79" t="n"/>
      <c r="T2" s="151" t="n"/>
      <c r="U2" s="81" t="n"/>
      <c r="V2" s="81" t="n"/>
      <c r="W2" s="82" t="inlineStr">
        <is>
          <t>Date:</t>
        </is>
      </c>
      <c r="X2" s="83" t="n">
        <v>46080</v>
      </c>
    </row>
    <row r="3" ht="15.5" customHeight="1" s="7">
      <c r="A3" s="79" t="n"/>
      <c r="B3" s="79" t="n"/>
      <c r="C3" s="79" t="n"/>
      <c r="D3" s="79" t="n"/>
      <c r="E3" s="79" t="n"/>
      <c r="F3" s="143" t="inlineStr">
        <is>
          <t>Lt Qualls</t>
        </is>
      </c>
      <c r="G3" s="228" t="n"/>
      <c r="H3" s="143" t="inlineStr">
        <is>
          <t>LCPL BLAIR</t>
        </is>
      </c>
      <c r="I3" s="228" t="n"/>
      <c r="J3" s="143" t="n"/>
      <c r="K3" s="228" t="n"/>
      <c r="L3" s="143" t="n"/>
      <c r="M3" s="228" t="n"/>
      <c r="N3" s="144" t="n"/>
      <c r="O3" s="79" t="n"/>
      <c r="P3" s="144" t="n"/>
      <c r="Q3" s="151" t="n"/>
      <c r="R3" s="84" t="n"/>
      <c r="S3" s="151" t="n"/>
      <c r="T3" s="151" t="n"/>
      <c r="U3" s="81" t="n"/>
      <c r="V3" s="81" t="n"/>
      <c r="W3" s="82" t="n"/>
      <c r="X3" s="83" t="n"/>
    </row>
    <row r="4" ht="15.5" customHeight="1" s="7">
      <c r="A4" s="79" t="n"/>
      <c r="B4" s="79" t="n"/>
      <c r="C4" s="50" t="n"/>
      <c r="D4" s="50" t="n"/>
      <c r="E4" s="50" t="n"/>
      <c r="F4" s="144" t="n"/>
      <c r="G4" s="79" t="n"/>
      <c r="H4" s="144" t="n"/>
      <c r="I4" s="144" t="n"/>
      <c r="J4" s="144" t="n"/>
      <c r="K4" s="144" t="n"/>
      <c r="L4" s="144" t="n"/>
      <c r="M4" s="144" t="n"/>
      <c r="N4" s="144" t="n"/>
      <c r="O4" s="144" t="n"/>
      <c r="P4" s="144" t="n"/>
      <c r="Q4" s="81" t="n"/>
      <c r="R4" s="81" t="n"/>
      <c r="S4" s="85" t="n"/>
      <c r="T4" s="85" t="n"/>
      <c r="U4" s="85" t="n"/>
      <c r="V4" s="85" t="n"/>
      <c r="W4" s="79" t="n"/>
      <c r="X4" s="79" t="n"/>
    </row>
    <row r="5" ht="15.5" customHeight="1" s="7">
      <c r="A5" s="144" t="n"/>
      <c r="B5" s="79" t="n"/>
      <c r="C5" s="79" t="n"/>
      <c r="D5" s="79" t="n"/>
      <c r="E5" s="79" t="n"/>
      <c r="F5" s="79" t="n"/>
      <c r="G5" s="79" t="n"/>
      <c r="H5" s="79" t="n"/>
      <c r="I5" s="79" t="n"/>
      <c r="J5" s="79" t="n"/>
      <c r="K5" s="79" t="n"/>
      <c r="L5" s="79" t="n"/>
      <c r="M5" s="144" t="n"/>
      <c r="N5" s="136" t="inlineStr">
        <is>
          <t>K-9/Police present:</t>
        </is>
      </c>
      <c r="O5" s="79" t="n"/>
      <c r="P5" s="144" t="inlineStr">
        <is>
          <t>NONE</t>
        </is>
      </c>
      <c r="Q5" s="79" t="n"/>
      <c r="R5" s="79" t="n"/>
      <c r="S5" s="139" t="n"/>
      <c r="T5" s="79" t="n"/>
      <c r="U5" s="79" t="n"/>
      <c r="V5" s="79" t="n"/>
      <c r="W5" s="139" t="n"/>
      <c r="X5" s="79" t="n"/>
    </row>
    <row r="6" ht="14" customHeight="1" s="7">
      <c r="A6" s="86" t="n"/>
      <c r="B6" s="86" t="n"/>
      <c r="C6" s="86" t="n"/>
      <c r="D6" s="86" t="n"/>
      <c r="E6" s="86" t="n"/>
      <c r="F6" s="86" t="n"/>
      <c r="G6" s="86" t="n"/>
      <c r="H6" s="86" t="n"/>
      <c r="I6" s="86" t="n"/>
      <c r="J6" s="86" t="n"/>
      <c r="K6" s="86" t="n"/>
      <c r="L6" s="86" t="n"/>
      <c r="M6" s="86" t="n"/>
      <c r="N6" s="86" t="n"/>
      <c r="O6" s="86" t="n"/>
      <c r="P6" s="140" t="inlineStr">
        <is>
          <t> </t>
        </is>
      </c>
      <c r="Q6" s="86" t="n"/>
      <c r="R6" s="86" t="n"/>
      <c r="S6" s="141" t="inlineStr">
        <is>
          <t> </t>
        </is>
      </c>
      <c r="T6" s="86" t="n"/>
      <c r="U6" s="86" t="n"/>
      <c r="V6" s="86" t="n"/>
      <c r="W6" s="140" t="n"/>
      <c r="X6" s="86" t="n"/>
    </row>
    <row r="7" ht="15.5" customFormat="1" customHeight="1" s="89">
      <c r="A7" s="87" t="n"/>
      <c r="B7" s="87" t="n"/>
      <c r="C7" s="87" t="n"/>
      <c r="D7" s="87" t="n"/>
      <c r="E7" s="87" t="n"/>
      <c r="F7" s="145" t="inlineStr">
        <is>
          <t>Driver Name</t>
        </is>
      </c>
      <c r="G7" s="86" t="n"/>
      <c r="H7" s="229" t="n"/>
      <c r="I7" s="145" t="inlineStr">
        <is>
          <t>Company Name</t>
        </is>
      </c>
      <c r="J7" s="86" t="n"/>
      <c r="K7" s="86" t="n"/>
      <c r="L7" s="229" t="n"/>
      <c r="M7" s="145" t="inlineStr">
        <is>
          <t xml:space="preserve">Type </t>
        </is>
      </c>
      <c r="N7" s="229" t="n"/>
      <c r="O7" s="145" t="inlineStr">
        <is>
          <t>Vehicle Registration, State</t>
        </is>
      </c>
      <c r="P7" s="86" t="n"/>
      <c r="Q7" s="86" t="n"/>
      <c r="R7" s="86" t="n"/>
      <c r="S7" s="86" t="n"/>
      <c r="T7" s="229" t="n"/>
      <c r="U7" s="149" t="n"/>
      <c r="V7" s="229" t="n"/>
      <c r="W7" s="145" t="inlineStr">
        <is>
          <t>Number of</t>
        </is>
      </c>
      <c r="X7" s="145" t="inlineStr">
        <is>
          <t>Return</t>
        </is>
      </c>
      <c r="Y7" s="185" t="inlineStr">
        <is>
          <t>JOE PERRY</t>
        </is>
      </c>
      <c r="Z7" s="230" t="n"/>
      <c r="AA7" s="231" t="n"/>
      <c r="AB7" s="232">
        <f>IFERROR(VLOOKUP(L7,'[1]DATA BASE'!I:Q,3,FALSE),"")</f>
        <v/>
      </c>
      <c r="AC7" s="230" t="n"/>
      <c r="AD7" s="231" t="n"/>
      <c r="AE7" s="233">
        <f>IFERROR(VLOOKUP(L7,'[1]DATA BASE'!I:Q,9,FALSE),"")</f>
        <v/>
      </c>
      <c r="AF7" s="231" t="n"/>
      <c r="AG7" s="232">
        <f>IFERROR(VLOOKUP(L7,'[1]DATA BASE'!I:Q,6,FALSE),"")</f>
        <v/>
      </c>
      <c r="AH7" s="230" t="n"/>
      <c r="AI7" s="231" t="n"/>
      <c r="AJ7" s="234">
        <f>VLOOKUP(L7,'[1]DATA BASE'!I:Q,8,FALSE)</f>
        <v/>
      </c>
      <c r="AK7" s="235" t="n"/>
    </row>
    <row r="8" ht="15.5" customFormat="1" customHeight="1" s="89">
      <c r="A8" s="146" t="inlineStr">
        <is>
          <t>#</t>
        </is>
      </c>
      <c r="B8" s="146" t="inlineStr">
        <is>
          <t>G, F, R</t>
        </is>
      </c>
      <c r="C8" s="146" t="inlineStr">
        <is>
          <t>Occupants</t>
        </is>
      </c>
      <c r="D8" s="146" t="inlineStr">
        <is>
          <t>LG/SM</t>
        </is>
      </c>
      <c r="E8" s="146" t="inlineStr">
        <is>
          <t>Time</t>
        </is>
      </c>
      <c r="F8" s="146" t="inlineStr">
        <is>
          <t>Driver License Number &amp; State</t>
        </is>
      </c>
      <c r="G8" s="228" t="n"/>
      <c r="H8" s="236" t="n"/>
      <c r="I8" s="146" t="inlineStr">
        <is>
          <t>Phone Number</t>
        </is>
      </c>
      <c r="J8" s="228" t="n"/>
      <c r="K8" s="228" t="n"/>
      <c r="L8" s="236" t="n"/>
      <c r="M8" s="147" t="inlineStr">
        <is>
          <t>(Circle the type of trailer)</t>
        </is>
      </c>
      <c r="N8" s="236" t="n"/>
      <c r="O8" s="146" t="inlineStr">
        <is>
          <t>Make, Model, Color</t>
        </is>
      </c>
      <c r="P8" s="228" t="n"/>
      <c r="Q8" s="228" t="n"/>
      <c r="R8" s="228" t="n"/>
      <c r="S8" s="228" t="n"/>
      <c r="T8" s="236" t="n"/>
      <c r="U8" s="146" t="inlineStr">
        <is>
          <t>Destination</t>
        </is>
      </c>
      <c r="V8" s="236" t="n"/>
      <c r="W8" s="146" t="inlineStr">
        <is>
          <t>Returns</t>
        </is>
      </c>
      <c r="X8" s="146" t="inlineStr">
        <is>
          <t>Occupants</t>
        </is>
      </c>
      <c r="Y8" s="185">
        <f>VLOOKUP(L7,'DATA BASE'!B:B,Y9,FALSE)</f>
        <v/>
      </c>
      <c r="Z8" s="230" t="n"/>
      <c r="AA8" s="231" t="n"/>
      <c r="AB8" s="237">
        <f>IFERROR(VLOOKUP(L7,'[1]DATA BASE'!I:Q,4,FALSE),"")</f>
        <v/>
      </c>
      <c r="AC8" s="230" t="n"/>
      <c r="AD8" s="231" t="n"/>
      <c r="AE8" s="232">
        <f>IFERROR(VLOOKUP(L7,'[1]DATA BASE'!I:Q,5,FALSE),"")</f>
        <v/>
      </c>
      <c r="AF8" s="231" t="n"/>
      <c r="AG8" s="232">
        <f>IFERROR(VLOOKUP(L7,'[1]DATA BASE'!I:Q,7,FALSE),"")</f>
        <v/>
      </c>
      <c r="AH8" s="230" t="n"/>
      <c r="AI8" s="231" t="n"/>
      <c r="AJ8" s="238" t="n"/>
      <c r="AK8" s="239" t="n"/>
    </row>
    <row r="9" ht="15.5" customHeight="1" s="7">
      <c r="A9" s="157" t="n">
        <v>1</v>
      </c>
      <c r="B9" s="158" t="inlineStr">
        <is>
          <t>G</t>
        </is>
      </c>
      <c r="C9" s="159" t="n">
        <v>2</v>
      </c>
      <c r="D9" s="159" t="inlineStr">
        <is>
          <t>LG</t>
        </is>
      </c>
      <c r="E9" s="159" t="inlineStr">
        <is>
          <t>*0700</t>
        </is>
      </c>
      <c r="F9" s="148" t="inlineStr">
        <is>
          <t>JOSUHA AMMOS</t>
        </is>
      </c>
      <c r="G9" s="228" t="n"/>
      <c r="H9" s="236" t="n"/>
      <c r="I9" s="122" t="inlineStr">
        <is>
          <t>OXFORD</t>
        </is>
      </c>
      <c r="J9" s="240" t="n"/>
      <c r="K9" s="240" t="n"/>
      <c r="L9" s="241" t="n"/>
      <c r="M9" s="138" t="inlineStr">
        <is>
          <t>CONTRACTOR</t>
        </is>
      </c>
      <c r="N9" s="241" t="n"/>
      <c r="O9" s="122" t="inlineStr">
        <is>
          <t>JN2Y98 GA</t>
        </is>
      </c>
      <c r="P9" s="240" t="n"/>
      <c r="Q9" s="240" t="n"/>
      <c r="R9" s="240" t="n"/>
      <c r="S9" s="240" t="n"/>
      <c r="T9" s="241" t="n"/>
      <c r="U9" s="146" t="inlineStr">
        <is>
          <t>GATE 5</t>
        </is>
      </c>
      <c r="V9" s="227" t="n"/>
      <c r="W9" s="159" t="n">
        <v>1</v>
      </c>
      <c r="X9" s="159" t="n"/>
      <c r="Y9" s="185" t="inlineStr">
        <is>
          <t>DAVID WILDNER</t>
        </is>
      </c>
      <c r="Z9" s="230" t="n"/>
      <c r="AA9" s="231" t="n"/>
      <c r="AB9" s="232">
        <f>IFERROR(VLOOKUP(F9,'DATA BASE'!A:I,3,FALSE),"")</f>
        <v/>
      </c>
      <c r="AC9" s="230" t="n"/>
      <c r="AD9" s="231" t="n"/>
      <c r="AE9" s="233">
        <f>IFERROR(VLOOKUP(F9,'DATA BASE'!A:I,9,FALSE),"")</f>
        <v/>
      </c>
      <c r="AF9" s="231" t="n"/>
      <c r="AG9" s="232">
        <f>IFERROR(VLOOKUP(F9,'DATA BASE'!A:I,6,FALSE),"")</f>
        <v/>
      </c>
      <c r="AH9" s="230" t="n"/>
      <c r="AI9" s="231" t="n"/>
      <c r="AJ9" s="234">
        <f>IFERROR(VLOOKUP(F9,'DATA BASE'!A:I,8,FALSE),"")</f>
        <v/>
      </c>
      <c r="AK9" s="235" t="n"/>
    </row>
    <row r="10" ht="15.5" customHeight="1" s="7">
      <c r="A10" s="242" t="n"/>
      <c r="B10" s="242" t="n"/>
      <c r="C10" s="242" t="n"/>
      <c r="D10" s="242" t="n"/>
      <c r="E10" s="242" t="n"/>
      <c r="F10" s="148" t="inlineStr">
        <is>
          <t>070519264 GA</t>
        </is>
      </c>
      <c r="G10" s="228" t="n"/>
      <c r="H10" s="236" t="n"/>
      <c r="I10" s="122" t="n">
        <v>2294073239</v>
      </c>
      <c r="J10" s="240" t="n"/>
      <c r="K10" s="240" t="n"/>
      <c r="L10" s="241" t="n"/>
      <c r="M10" s="122" t="inlineStr">
        <is>
          <t>DUMP</t>
        </is>
      </c>
      <c r="N10" s="241" t="n"/>
      <c r="O10" s="122" t="inlineStr">
        <is>
          <t>WHITE INTERNATIONAL</t>
        </is>
      </c>
      <c r="P10" s="240" t="n"/>
      <c r="Q10" s="240" t="n"/>
      <c r="R10" s="240" t="n"/>
      <c r="S10" s="240" t="n"/>
      <c r="T10" s="241" t="n"/>
      <c r="U10" s="243" t="n"/>
      <c r="V10" s="229" t="n"/>
      <c r="W10" s="242" t="n"/>
      <c r="X10" s="242" t="n"/>
      <c r="Y10" s="185">
        <f>VLOOKUP(F9,'DATA BASE'!A:I,2,FALSE)</f>
        <v/>
      </c>
      <c r="Z10" s="230" t="n"/>
      <c r="AA10" s="231" t="n"/>
      <c r="AB10" s="232">
        <f>IFERROR(VLOOKUP(F9,'DATA BASE'!A:I,4,FALSE),"")</f>
        <v/>
      </c>
      <c r="AC10" s="230" t="n"/>
      <c r="AD10" s="231" t="n"/>
      <c r="AE10" s="232">
        <f>IFERROR(VLOOKUP(F9,'DATA BASE'!A:I,5,FALSE),"")</f>
        <v/>
      </c>
      <c r="AF10" s="231" t="n"/>
      <c r="AG10" s="232">
        <f>IFERROR(VLOOKUP(F9,'DATA BASE'!A:I,7,FALSE),"")</f>
        <v/>
      </c>
      <c r="AH10" s="230" t="n"/>
      <c r="AI10" s="231" t="n"/>
      <c r="AJ10" s="238" t="n"/>
      <c r="AK10" s="239" t="n"/>
    </row>
    <row r="11" ht="15.5" customHeight="1" s="7">
      <c r="A11" s="157" t="n">
        <v>2</v>
      </c>
      <c r="B11" s="158" t="inlineStr">
        <is>
          <t>G</t>
        </is>
      </c>
      <c r="C11" s="152" t="n">
        <v>3</v>
      </c>
      <c r="D11" s="159" t="inlineStr">
        <is>
          <t>SM</t>
        </is>
      </c>
      <c r="E11" s="159" t="inlineStr">
        <is>
          <t>*0702</t>
        </is>
      </c>
      <c r="F11" s="148" t="inlineStr">
        <is>
          <t>WILLIAMS AARON</t>
        </is>
      </c>
      <c r="G11" s="228" t="n"/>
      <c r="H11" s="236" t="n"/>
      <c r="I11" s="122" t="inlineStr">
        <is>
          <t>OXFORD</t>
        </is>
      </c>
      <c r="J11" s="240" t="n"/>
      <c r="K11" s="240" t="n"/>
      <c r="L11" s="241" t="n"/>
      <c r="M11" s="138" t="inlineStr">
        <is>
          <t>CONTRACTOR</t>
        </is>
      </c>
      <c r="N11" s="241" t="n"/>
      <c r="O11" s="122" t="inlineStr">
        <is>
          <t>SDL8511 GA</t>
        </is>
      </c>
      <c r="P11" s="240" t="n"/>
      <c r="Q11" s="240" t="n"/>
      <c r="R11" s="240" t="n"/>
      <c r="S11" s="240" t="n"/>
      <c r="T11" s="241" t="n"/>
      <c r="U11" s="146" t="inlineStr">
        <is>
          <t>GATE 5</t>
        </is>
      </c>
      <c r="V11" s="227" t="n"/>
      <c r="W11" s="152" t="n"/>
      <c r="X11" s="152" t="n"/>
      <c r="Y11" s="185" t="inlineStr">
        <is>
          <t>DAVID WILDNER</t>
        </is>
      </c>
      <c r="Z11" s="230" t="n"/>
      <c r="AA11" s="231" t="n"/>
      <c r="AB11" s="232">
        <f>IFERROR(VLOOKUP(F11,'DATA BASE'!A:I,3,FALSE),"")</f>
        <v/>
      </c>
      <c r="AC11" s="230" t="n"/>
      <c r="AD11" s="231" t="n"/>
      <c r="AE11" s="233">
        <f>IFERROR(VLOOKUP(F11,'DATA BASE'!A:I,9,FALSE),"")</f>
        <v/>
      </c>
      <c r="AF11" s="231" t="n"/>
      <c r="AG11" s="232">
        <f>IFERROR(VLOOKUP(F11,'DATA BASE'!A:I,6,FALSE),"")</f>
        <v/>
      </c>
      <c r="AH11" s="230" t="n"/>
      <c r="AI11" s="231" t="n"/>
      <c r="AJ11" s="234">
        <f>IFERROR(VLOOKUP(F11,'DATA BASE'!A:I,8,FALSE),"")</f>
        <v/>
      </c>
      <c r="AK11" s="235" t="n"/>
    </row>
    <row r="12" ht="15.5" customHeight="1" s="7">
      <c r="A12" s="242" t="n"/>
      <c r="B12" s="242" t="n"/>
      <c r="C12" s="242" t="n"/>
      <c r="D12" s="242" t="n"/>
      <c r="E12" s="242" t="n"/>
      <c r="F12" s="148" t="inlineStr">
        <is>
          <t>055944423 GA</t>
        </is>
      </c>
      <c r="G12" s="228" t="n"/>
      <c r="H12" s="236" t="n"/>
      <c r="I12" s="122" t="n">
        <v>2294073239</v>
      </c>
      <c r="J12" s="240" t="n"/>
      <c r="K12" s="240" t="n"/>
      <c r="L12" s="241" t="n"/>
      <c r="M12" s="122" t="inlineStr">
        <is>
          <t>PU</t>
        </is>
      </c>
      <c r="N12" s="241" t="n"/>
      <c r="O12" s="122" t="inlineStr">
        <is>
          <t>GREEN FORD</t>
        </is>
      </c>
      <c r="P12" s="240" t="n"/>
      <c r="Q12" s="240" t="n"/>
      <c r="R12" s="240" t="n"/>
      <c r="S12" s="240" t="n"/>
      <c r="T12" s="241" t="n"/>
      <c r="U12" s="243" t="n"/>
      <c r="V12" s="229" t="n"/>
      <c r="W12" s="242" t="n"/>
      <c r="X12" s="242" t="n"/>
      <c r="Y12" s="185">
        <f>VLOOKUP(F11,'DATA BASE'!A:I,2,FALSE)</f>
        <v/>
      </c>
      <c r="Z12" s="230" t="n"/>
      <c r="AA12" s="231" t="n"/>
      <c r="AB12" s="232">
        <f>IFERROR(VLOOKUP(F11,'DATA BASE'!A:I,4,FALSE),"")</f>
        <v/>
      </c>
      <c r="AC12" s="230" t="n"/>
      <c r="AD12" s="231" t="n"/>
      <c r="AE12" s="232">
        <f>IFERROR(VLOOKUP(F11,'DATA BASE'!A:I,5,FALSE),"")</f>
        <v/>
      </c>
      <c r="AF12" s="231" t="n"/>
      <c r="AG12" s="232">
        <f>IFERROR(VLOOKUP(F11,'DATA BASE'!A:I,7,FALSE),"")</f>
        <v/>
      </c>
      <c r="AH12" s="230" t="n"/>
      <c r="AI12" s="231" t="n"/>
      <c r="AJ12" s="238" t="n"/>
      <c r="AK12" s="239" t="n"/>
    </row>
    <row r="13" ht="15.5" customHeight="1" s="7">
      <c r="A13" s="157" t="n">
        <v>3</v>
      </c>
      <c r="B13" s="158" t="inlineStr">
        <is>
          <t>G</t>
        </is>
      </c>
      <c r="C13" s="152" t="n">
        <v>3</v>
      </c>
      <c r="D13" s="159" t="inlineStr">
        <is>
          <t>SM</t>
        </is>
      </c>
      <c r="E13" s="159" t="inlineStr">
        <is>
          <t>*0703</t>
        </is>
      </c>
      <c r="F13" s="148" t="inlineStr">
        <is>
          <t>GREG BROCK</t>
        </is>
      </c>
      <c r="G13" s="228" t="n"/>
      <c r="H13" s="236" t="n"/>
      <c r="I13" s="122" t="inlineStr">
        <is>
          <t>TASTY KAKE</t>
        </is>
      </c>
      <c r="J13" s="240" t="n"/>
      <c r="K13" s="240" t="n"/>
      <c r="L13" s="241" t="n"/>
      <c r="M13" s="138" t="inlineStr">
        <is>
          <t>COMMERCIAL</t>
        </is>
      </c>
      <c r="N13" s="241" t="n"/>
      <c r="O13" s="122" t="inlineStr">
        <is>
          <t>GBW501 GA</t>
        </is>
      </c>
      <c r="P13" s="240" t="n"/>
      <c r="Q13" s="240" t="n"/>
      <c r="R13" s="240" t="n"/>
      <c r="S13" s="240" t="n"/>
      <c r="T13" s="241" t="n"/>
      <c r="U13" s="146" t="inlineStr">
        <is>
          <t>BASEWIDE</t>
        </is>
      </c>
      <c r="V13" s="227" t="n"/>
      <c r="W13" s="152" t="n"/>
      <c r="X13" s="152" t="n"/>
      <c r="Y13" s="185" t="inlineStr">
        <is>
          <t>DAVID WILDNER</t>
        </is>
      </c>
      <c r="Z13" s="230" t="n"/>
      <c r="AA13" s="231" t="n"/>
      <c r="AB13" s="232">
        <f>IFERROR(VLOOKUP(F13,'DATA BASE'!A:I,3,FALSE),"")</f>
        <v/>
      </c>
      <c r="AC13" s="230" t="n"/>
      <c r="AD13" s="231" t="n"/>
      <c r="AE13" s="233">
        <f>IFERROR(VLOOKUP(F13,'DATA BASE'!A:I,9,FALSE),"")</f>
        <v/>
      </c>
      <c r="AF13" s="231" t="n"/>
      <c r="AG13" s="232">
        <f>IFERROR(VLOOKUP(F13,'DATA BASE'!A:I,6,FALSE),"")</f>
        <v/>
      </c>
      <c r="AH13" s="230" t="n"/>
      <c r="AI13" s="231" t="n"/>
      <c r="AJ13" s="234">
        <f>IFERROR(VLOOKUP(F13,'DATA BASE'!A:I,8,FALSE),"")</f>
        <v/>
      </c>
      <c r="AK13" s="235" t="n"/>
    </row>
    <row r="14" ht="15.5" customHeight="1" s="7">
      <c r="A14" s="242" t="n"/>
      <c r="B14" s="242" t="n"/>
      <c r="C14" s="242" t="n"/>
      <c r="D14" s="242" t="n"/>
      <c r="E14" s="242" t="n"/>
      <c r="F14" s="148" t="inlineStr">
        <is>
          <t>*054614269 GA</t>
        </is>
      </c>
      <c r="G14" s="228" t="n"/>
      <c r="H14" s="236" t="n"/>
      <c r="I14" s="122" t="n">
        <v>2298547008</v>
      </c>
      <c r="J14" s="240" t="n"/>
      <c r="K14" s="240" t="n"/>
      <c r="L14" s="241" t="n"/>
      <c r="M14" s="122" t="inlineStr">
        <is>
          <t>SEMI BOX</t>
        </is>
      </c>
      <c r="N14" s="241" t="n"/>
      <c r="O14" s="122" t="inlineStr">
        <is>
          <t>FREIGHTLINER, WHITE</t>
        </is>
      </c>
      <c r="P14" s="240" t="n"/>
      <c r="Q14" s="240" t="n"/>
      <c r="R14" s="240" t="n"/>
      <c r="S14" s="240" t="n"/>
      <c r="T14" s="241" t="n"/>
      <c r="U14" s="243" t="n"/>
      <c r="V14" s="229" t="n"/>
      <c r="W14" s="242" t="n"/>
      <c r="X14" s="242" t="n"/>
      <c r="Y14" s="185">
        <f>VLOOKUP(F13,'DATA BASE'!A:I,2,FALSE)</f>
        <v/>
      </c>
      <c r="Z14" s="230" t="n"/>
      <c r="AA14" s="231" t="n"/>
      <c r="AB14" s="232">
        <f>IFERROR(VLOOKUP(F13,'DATA BASE'!A:I,4,FALSE),"")</f>
        <v/>
      </c>
      <c r="AC14" s="230" t="n"/>
      <c r="AD14" s="231" t="n"/>
      <c r="AE14" s="232">
        <f>IFERROR(VLOOKUP(F13,'DATA BASE'!A:I,5,FALSE),"")</f>
        <v/>
      </c>
      <c r="AF14" s="231" t="n"/>
      <c r="AG14" s="232">
        <f>IFERROR(VLOOKUP(F13,'DATA BASE'!A:I,7,FALSE),"")</f>
        <v/>
      </c>
      <c r="AH14" s="230" t="n"/>
      <c r="AI14" s="231" t="n"/>
      <c r="AJ14" s="238" t="n"/>
      <c r="AK14" s="239" t="n"/>
    </row>
    <row r="15" ht="15.5" customHeight="1" s="7">
      <c r="A15" s="157" t="n">
        <v>4</v>
      </c>
      <c r="B15" s="158" t="inlineStr">
        <is>
          <t>G</t>
        </is>
      </c>
      <c r="C15" s="152" t="n">
        <v>1</v>
      </c>
      <c r="D15" s="159" t="inlineStr">
        <is>
          <t>SM</t>
        </is>
      </c>
      <c r="E15" s="159" t="inlineStr">
        <is>
          <t>*0705</t>
        </is>
      </c>
      <c r="F15" s="148" t="inlineStr">
        <is>
          <t>JOSEPH PERRY</t>
        </is>
      </c>
      <c r="G15" s="228" t="n"/>
      <c r="H15" s="236" t="n"/>
      <c r="I15" s="122" t="inlineStr">
        <is>
          <t>EMCO SERVICES</t>
        </is>
      </c>
      <c r="J15" s="240" t="n"/>
      <c r="K15" s="240" t="n"/>
      <c r="L15" s="241" t="n"/>
      <c r="M15" s="138" t="inlineStr">
        <is>
          <t xml:space="preserve">CONTRACTOR </t>
        </is>
      </c>
      <c r="N15" s="241" t="n"/>
      <c r="O15" s="122" t="inlineStr">
        <is>
          <t>PXQK65 FL</t>
        </is>
      </c>
      <c r="P15" s="240" t="n"/>
      <c r="Q15" s="240" t="n"/>
      <c r="R15" s="240" t="n"/>
      <c r="S15" s="240" t="n"/>
      <c r="T15" s="241" t="n"/>
      <c r="U15" s="146" t="inlineStr">
        <is>
          <t>BASEWIDE</t>
        </is>
      </c>
      <c r="V15" s="227" t="n"/>
      <c r="W15" s="152" t="n">
        <v>3</v>
      </c>
      <c r="X15" s="152" t="n"/>
      <c r="Y15" s="185" t="inlineStr">
        <is>
          <t>DAVID WILDNER</t>
        </is>
      </c>
      <c r="Z15" s="230" t="n"/>
      <c r="AA15" s="231" t="n"/>
      <c r="AB15" s="232">
        <f>IFERROR(VLOOKUP(F15,'DATA BASE'!A:I,3,FALSE),"")</f>
        <v/>
      </c>
      <c r="AC15" s="230" t="n"/>
      <c r="AD15" s="231" t="n"/>
      <c r="AE15" s="233">
        <f>IFERROR(VLOOKUP(F15,'DATA BASE'!A:I,9,FALSE),"")</f>
        <v/>
      </c>
      <c r="AF15" s="231" t="n"/>
      <c r="AG15" s="232">
        <f>IFERROR(VLOOKUP(F15,'DATA BASE'!A:I,6,FALSE),"")</f>
        <v/>
      </c>
      <c r="AH15" s="230" t="n"/>
      <c r="AI15" s="231" t="n"/>
      <c r="AJ15" s="234">
        <f>IFERROR(VLOOKUP(F15,'DATA BASE'!A:I,8,FALSE),"")</f>
        <v/>
      </c>
      <c r="AK15" s="235" t="n"/>
    </row>
    <row r="16" ht="15.5" customHeight="1" s="7">
      <c r="A16" s="242" t="n"/>
      <c r="B16" s="242" t="n"/>
      <c r="C16" s="242" t="n"/>
      <c r="D16" s="242" t="n"/>
      <c r="E16" s="242" t="n"/>
      <c r="F16" s="148" t="inlineStr">
        <is>
          <t>*049722562 GA</t>
        </is>
      </c>
      <c r="G16" s="228" t="n"/>
      <c r="H16" s="236" t="n"/>
      <c r="I16" s="122" t="n">
        <v>2298696940</v>
      </c>
      <c r="J16" s="240" t="n"/>
      <c r="K16" s="240" t="n"/>
      <c r="L16" s="241" t="n"/>
      <c r="M16" s="122" t="inlineStr">
        <is>
          <t>VAN</t>
        </is>
      </c>
      <c r="N16" s="241" t="n"/>
      <c r="O16" s="122" t="inlineStr">
        <is>
          <t>FORD, WHITE</t>
        </is>
      </c>
      <c r="P16" s="240" t="n"/>
      <c r="Q16" s="240" t="n"/>
      <c r="R16" s="240" t="n"/>
      <c r="S16" s="240" t="n"/>
      <c r="T16" s="241" t="n"/>
      <c r="U16" s="243" t="n"/>
      <c r="V16" s="229" t="n"/>
      <c r="W16" s="242" t="n"/>
      <c r="X16" s="242" t="n"/>
      <c r="Y16" s="185">
        <f>VLOOKUP(F15,'DATA BASE'!A:I,2,FALSE)</f>
        <v/>
      </c>
      <c r="Z16" s="230" t="n"/>
      <c r="AA16" s="231" t="n"/>
      <c r="AB16" s="232">
        <f>IFERROR(VLOOKUP(F15,'DATA BASE'!A:I,4,FALSE),"")</f>
        <v/>
      </c>
      <c r="AC16" s="230" t="n"/>
      <c r="AD16" s="231" t="n"/>
      <c r="AE16" s="232">
        <f>IFERROR(VLOOKUP(F15,'DATA BASE'!A:I,5,FALSE),"")</f>
        <v/>
      </c>
      <c r="AF16" s="231" t="n"/>
      <c r="AG16" s="232">
        <f>IFERROR(VLOOKUP(F15,'DATA BASE'!A:I,7,FALSE),"")</f>
        <v/>
      </c>
      <c r="AH16" s="230" t="n"/>
      <c r="AI16" s="231" t="n"/>
      <c r="AJ16" s="238" t="n"/>
      <c r="AK16" s="239" t="n"/>
    </row>
    <row r="17" ht="15.5" customHeight="1" s="7">
      <c r="A17" s="157" t="n">
        <v>5</v>
      </c>
      <c r="B17" s="158" t="inlineStr">
        <is>
          <t>G</t>
        </is>
      </c>
      <c r="C17" s="152" t="n">
        <v>1</v>
      </c>
      <c r="D17" s="159" t="inlineStr">
        <is>
          <t>LG</t>
        </is>
      </c>
      <c r="E17" s="159" t="inlineStr">
        <is>
          <t>*0709</t>
        </is>
      </c>
      <c r="F17" s="148" t="inlineStr">
        <is>
          <t>DZHUMANOV BOZULAN</t>
        </is>
      </c>
      <c r="G17" s="228" t="n"/>
      <c r="H17" s="236" t="n"/>
      <c r="I17" s="122" t="inlineStr">
        <is>
          <t>NEW TRANS</t>
        </is>
      </c>
      <c r="J17" s="240" t="n"/>
      <c r="K17" s="240" t="n"/>
      <c r="L17" s="241" t="n"/>
      <c r="M17" s="138" t="inlineStr">
        <is>
          <t>COMMERCIAL</t>
        </is>
      </c>
      <c r="N17" s="241" t="n"/>
      <c r="O17" s="122" t="inlineStr">
        <is>
          <t>P1302270 IL</t>
        </is>
      </c>
      <c r="P17" s="240" t="n"/>
      <c r="Q17" s="240" t="n"/>
      <c r="R17" s="240" t="n"/>
      <c r="S17" s="240" t="n"/>
      <c r="T17" s="241" t="n"/>
      <c r="U17" s="146" t="n">
        <v>1221</v>
      </c>
      <c r="V17" s="227" t="n"/>
      <c r="W17" s="152" t="n"/>
      <c r="X17" s="152" t="n"/>
      <c r="Y17" s="185" t="inlineStr">
        <is>
          <t>DAVID WILDNER</t>
        </is>
      </c>
      <c r="Z17" s="230" t="n"/>
      <c r="AA17" s="231" t="n"/>
      <c r="AB17" s="232">
        <f>IFERROR(VLOOKUP(F17,'DATA BASE'!A:I,3,FALSE),"")</f>
        <v/>
      </c>
      <c r="AC17" s="230" t="n"/>
      <c r="AD17" s="231" t="n"/>
      <c r="AE17" s="233">
        <f>IFERROR(VLOOKUP(F17,'DATA BASE'!A:I,9,FALSE),"")</f>
        <v/>
      </c>
      <c r="AF17" s="231" t="n"/>
      <c r="AG17" s="232">
        <f>IFERROR(VLOOKUP(F17,'DATA BASE'!A:I,6,FALSE),"")</f>
        <v/>
      </c>
      <c r="AH17" s="230" t="n"/>
      <c r="AI17" s="231" t="n"/>
      <c r="AJ17" s="234">
        <f>IFERROR(VLOOKUP(F17,'DATA BASE'!A:I,8,FALSE),"")</f>
        <v/>
      </c>
      <c r="AK17" s="235" t="n"/>
    </row>
    <row r="18" ht="15.5" customHeight="1" s="7">
      <c r="A18" s="242" t="n"/>
      <c r="B18" s="242" t="n"/>
      <c r="C18" s="242" t="n"/>
      <c r="D18" s="242" t="n"/>
      <c r="E18" s="242" t="n"/>
      <c r="F18" s="148" t="inlineStr">
        <is>
          <t>Y7912677 CA</t>
        </is>
      </c>
      <c r="G18" s="228" t="n"/>
      <c r="H18" s="236" t="n"/>
      <c r="I18" s="122" t="n">
        <v>6699462830</v>
      </c>
      <c r="J18" s="240" t="n"/>
      <c r="K18" s="240" t="n"/>
      <c r="L18" s="241" t="n"/>
      <c r="M18" s="122" t="inlineStr">
        <is>
          <t>FLAT</t>
        </is>
      </c>
      <c r="N18" s="241" t="n"/>
      <c r="O18" s="122" t="inlineStr">
        <is>
          <t>BLUE VOLVO</t>
        </is>
      </c>
      <c r="P18" s="240" t="n"/>
      <c r="Q18" s="240" t="n"/>
      <c r="R18" s="240" t="n"/>
      <c r="S18" s="240" t="n"/>
      <c r="T18" s="241" t="n"/>
      <c r="U18" s="243" t="n"/>
      <c r="V18" s="229" t="n"/>
      <c r="W18" s="242" t="n"/>
      <c r="X18" s="242" t="n"/>
      <c r="Y18" s="185">
        <f>VLOOKUP(F17,'DATA BASE'!A:I,2,FALSE)</f>
        <v/>
      </c>
      <c r="Z18" s="230" t="n"/>
      <c r="AA18" s="231" t="n"/>
      <c r="AB18" s="232">
        <f>IFERROR(VLOOKUP(F17,'DATA BASE'!A:I,4,FALSE),"")</f>
        <v/>
      </c>
      <c r="AC18" s="230" t="n"/>
      <c r="AD18" s="231" t="n"/>
      <c r="AE18" s="232">
        <f>IFERROR(VLOOKUP(F17,'DATA BASE'!A:I,5,FALSE),"")</f>
        <v/>
      </c>
      <c r="AF18" s="231" t="n"/>
      <c r="AG18" s="232">
        <f>IFERROR(VLOOKUP(F17,'DATA BASE'!A:I,7,FALSE),"")</f>
        <v/>
      </c>
      <c r="AH18" s="230" t="n"/>
      <c r="AI18" s="231" t="n"/>
      <c r="AJ18" s="238" t="n"/>
      <c r="AK18" s="239" t="n"/>
    </row>
    <row r="19" ht="15.5" customHeight="1" s="7">
      <c r="A19" s="157" t="n">
        <v>6</v>
      </c>
      <c r="B19" s="158" t="inlineStr">
        <is>
          <t>F</t>
        </is>
      </c>
      <c r="C19" s="152" t="n">
        <v>1</v>
      </c>
      <c r="D19" s="159" t="inlineStr">
        <is>
          <t>LG</t>
        </is>
      </c>
      <c r="E19" s="159" t="inlineStr">
        <is>
          <t>*0710</t>
        </is>
      </c>
      <c r="F19" s="148" t="inlineStr">
        <is>
          <t>NATHAN WOODS</t>
        </is>
      </c>
      <c r="G19" s="228" t="n"/>
      <c r="H19" s="236" t="n"/>
      <c r="I19" s="122" t="inlineStr">
        <is>
          <t>COCA COLA</t>
        </is>
      </c>
      <c r="J19" s="240" t="n"/>
      <c r="K19" s="240" t="n"/>
      <c r="L19" s="241" t="n"/>
      <c r="M19" s="138" t="inlineStr">
        <is>
          <t>COMMERCIAL</t>
        </is>
      </c>
      <c r="N19" s="241" t="n"/>
      <c r="O19" s="122" t="inlineStr">
        <is>
          <t>P683CL GA</t>
        </is>
      </c>
      <c r="P19" s="240" t="n"/>
      <c r="Q19" s="240" t="n"/>
      <c r="R19" s="240" t="n"/>
      <c r="S19" s="240" t="n"/>
      <c r="T19" s="241" t="n"/>
      <c r="U19" s="146" t="n">
        <v>7450</v>
      </c>
      <c r="V19" s="227" t="n"/>
      <c r="W19" s="152" t="n"/>
      <c r="X19" s="152" t="n"/>
      <c r="Y19" s="185" t="inlineStr">
        <is>
          <t>DAVID WILDNER</t>
        </is>
      </c>
      <c r="Z19" s="230" t="n"/>
      <c r="AA19" s="231" t="n"/>
      <c r="AB19" s="232">
        <f>IFERROR(VLOOKUP(F19,'DATA BASE'!A:I,3,FALSE),"")</f>
        <v/>
      </c>
      <c r="AC19" s="230" t="n"/>
      <c r="AD19" s="231" t="n"/>
      <c r="AE19" s="233">
        <f>IFERROR(VLOOKUP(F19,'DATA BASE'!A:I,9,FALSE),"")</f>
        <v/>
      </c>
      <c r="AF19" s="231" t="n"/>
      <c r="AG19" s="232">
        <f>IFERROR(VLOOKUP(F19,'DATA BASE'!A:I,6,FALSE),"")</f>
        <v/>
      </c>
      <c r="AH19" s="230" t="n"/>
      <c r="AI19" s="231" t="n"/>
      <c r="AJ19" s="234">
        <f>IFERROR(VLOOKUP(F19,'DATA BASE'!A:I,8,FALSE),"")</f>
        <v/>
      </c>
      <c r="AK19" s="235" t="n"/>
    </row>
    <row r="20" ht="15.5" customHeight="1" s="7">
      <c r="A20" s="242" t="n"/>
      <c r="B20" s="242" t="n"/>
      <c r="C20" s="242" t="n"/>
      <c r="D20" s="242" t="n"/>
      <c r="E20" s="242" t="n"/>
      <c r="F20" s="148" t="inlineStr">
        <is>
          <t>*061070163 GA</t>
        </is>
      </c>
      <c r="G20" s="228" t="n"/>
      <c r="H20" s="236" t="n"/>
      <c r="I20" s="122" t="n">
        <v>2294720465</v>
      </c>
      <c r="J20" s="240" t="n"/>
      <c r="K20" s="240" t="n"/>
      <c r="L20" s="241" t="n"/>
      <c r="M20" s="122" t="inlineStr">
        <is>
          <t>BOX</t>
        </is>
      </c>
      <c r="N20" s="241" t="n"/>
      <c r="O20" s="122" t="inlineStr">
        <is>
          <t>RED INTERNATIONAL</t>
        </is>
      </c>
      <c r="P20" s="240" t="n"/>
      <c r="Q20" s="240" t="n"/>
      <c r="R20" s="240" t="n"/>
      <c r="S20" s="240" t="n"/>
      <c r="T20" s="241" t="n"/>
      <c r="U20" s="243" t="n"/>
      <c r="V20" s="229" t="n"/>
      <c r="W20" s="242" t="n"/>
      <c r="X20" s="242" t="n"/>
      <c r="Y20" s="185">
        <f>VLOOKUP(F19,'DATA BASE'!A:I,2,FALSE)</f>
        <v/>
      </c>
      <c r="Z20" s="230" t="n"/>
      <c r="AA20" s="231" t="n"/>
      <c r="AB20" s="232">
        <f>IFERROR(VLOOKUP(F19,'DATA BASE'!A:I,4,FALSE),"")</f>
        <v/>
      </c>
      <c r="AC20" s="230" t="n"/>
      <c r="AD20" s="231" t="n"/>
      <c r="AE20" s="232">
        <f>IFERROR(VLOOKUP(F19,'DATA BASE'!A:I,5,FALSE),"")</f>
        <v/>
      </c>
      <c r="AF20" s="231" t="n"/>
      <c r="AG20" s="232">
        <f>IFERROR(VLOOKUP(F19,'DATA BASE'!A:I,7,FALSE),"")</f>
        <v/>
      </c>
      <c r="AH20" s="230" t="n"/>
      <c r="AI20" s="231" t="n"/>
      <c r="AJ20" s="238" t="n"/>
      <c r="AK20" s="239" t="n"/>
    </row>
    <row r="21" ht="15.5" customHeight="1" s="7">
      <c r="A21" s="157" t="n">
        <v>7</v>
      </c>
      <c r="B21" s="158" t="inlineStr">
        <is>
          <t>G</t>
        </is>
      </c>
      <c r="C21" s="152" t="n">
        <v>1</v>
      </c>
      <c r="D21" s="159" t="inlineStr">
        <is>
          <t>SM</t>
        </is>
      </c>
      <c r="E21" s="159" t="inlineStr">
        <is>
          <t>*0712</t>
        </is>
      </c>
      <c r="F21" s="148" t="inlineStr">
        <is>
          <t>THOMAS CAMP</t>
        </is>
      </c>
      <c r="G21" s="228" t="n"/>
      <c r="H21" s="236" t="n"/>
      <c r="I21" s="122" t="inlineStr">
        <is>
          <t>GTPC</t>
        </is>
      </c>
      <c r="J21" s="240" t="n"/>
      <c r="K21" s="240" t="n"/>
      <c r="L21" s="241" t="n"/>
      <c r="M21" s="138" t="inlineStr">
        <is>
          <t xml:space="preserve">CONTRACTOR </t>
        </is>
      </c>
      <c r="N21" s="241" t="n"/>
      <c r="O21" s="122" t="inlineStr">
        <is>
          <t>6EH0777 MD</t>
        </is>
      </c>
      <c r="P21" s="240" t="n"/>
      <c r="Q21" s="240" t="n"/>
      <c r="R21" s="240" t="n"/>
      <c r="S21" s="240" t="n"/>
      <c r="T21" s="241" t="n"/>
      <c r="U21" s="146" t="inlineStr">
        <is>
          <t>BASEWIDE</t>
        </is>
      </c>
      <c r="V21" s="227" t="n"/>
      <c r="W21" s="152" t="n"/>
      <c r="X21" s="152" t="n"/>
      <c r="Y21" s="185" t="inlineStr">
        <is>
          <t>DAVID WILDNER</t>
        </is>
      </c>
      <c r="Z21" s="230" t="n"/>
      <c r="AA21" s="231" t="n"/>
      <c r="AB21" s="232">
        <f>IFERROR(VLOOKUP(F21,'DATA BASE'!A:I,3,FALSE),"")</f>
        <v/>
      </c>
      <c r="AC21" s="230" t="n"/>
      <c r="AD21" s="231" t="n"/>
      <c r="AE21" s="233">
        <f>IFERROR(VLOOKUP(F21,'DATA BASE'!A:I,9,FALSE),"")</f>
        <v/>
      </c>
      <c r="AF21" s="231" t="n"/>
      <c r="AG21" s="232">
        <f>IFERROR(VLOOKUP(F21,'DATA BASE'!A:I,6,FALSE),"")</f>
        <v/>
      </c>
      <c r="AH21" s="230" t="n"/>
      <c r="AI21" s="231" t="n"/>
      <c r="AJ21" s="234">
        <f>IFERROR(VLOOKUP(F21,'DATA BASE'!A:I,8,FALSE),"")</f>
        <v/>
      </c>
      <c r="AK21" s="235" t="n"/>
    </row>
    <row r="22" ht="15.5" customHeight="1" s="7">
      <c r="A22" s="242" t="n"/>
      <c r="B22" s="242" t="n"/>
      <c r="C22" s="242" t="n"/>
      <c r="D22" s="242" t="n"/>
      <c r="E22" s="242" t="n"/>
      <c r="F22" s="148" t="inlineStr">
        <is>
          <t>*052037364 GA</t>
        </is>
      </c>
      <c r="G22" s="228" t="n"/>
      <c r="H22" s="236" t="n"/>
      <c r="I22" s="122" t="n">
        <v>8009490223</v>
      </c>
      <c r="J22" s="240" t="n"/>
      <c r="K22" s="240" t="n"/>
      <c r="L22" s="241" t="n"/>
      <c r="M22" s="122" t="inlineStr">
        <is>
          <t>PU</t>
        </is>
      </c>
      <c r="N22" s="241" t="n"/>
      <c r="O22" s="122" t="inlineStr">
        <is>
          <t>CHEVY, WHITE</t>
        </is>
      </c>
      <c r="P22" s="240" t="n"/>
      <c r="Q22" s="240" t="n"/>
      <c r="R22" s="240" t="n"/>
      <c r="S22" s="240" t="n"/>
      <c r="T22" s="241" t="n"/>
      <c r="U22" s="243" t="n"/>
      <c r="V22" s="229" t="n"/>
      <c r="W22" s="242" t="n"/>
      <c r="X22" s="242" t="n"/>
      <c r="Y22" s="185">
        <f>VLOOKUP(F21,'DATA BASE'!A:I,2,FALSE)</f>
        <v/>
      </c>
      <c r="Z22" s="230" t="n"/>
      <c r="AA22" s="231" t="n"/>
      <c r="AB22" s="232">
        <f>IFERROR(VLOOKUP(F21,'DATA BASE'!A:I,4,FALSE),"")</f>
        <v/>
      </c>
      <c r="AC22" s="230" t="n"/>
      <c r="AD22" s="231" t="n"/>
      <c r="AE22" s="232">
        <f>IFERROR(VLOOKUP(F21,'DATA BASE'!A:I,5,FALSE),"")</f>
        <v/>
      </c>
      <c r="AF22" s="231" t="n"/>
      <c r="AG22" s="232">
        <f>IFERROR(VLOOKUP(F21,'DATA BASE'!A:I,7,FALSE),"")</f>
        <v/>
      </c>
      <c r="AH22" s="230" t="n"/>
      <c r="AI22" s="231" t="n"/>
      <c r="AJ22" s="238" t="n"/>
      <c r="AK22" s="239" t="n"/>
    </row>
    <row r="23" ht="15.65" customHeight="1" s="7">
      <c r="A23" s="157" t="n">
        <v>8</v>
      </c>
      <c r="B23" s="158" t="inlineStr">
        <is>
          <t>G</t>
        </is>
      </c>
      <c r="C23" s="152" t="n">
        <v>1</v>
      </c>
      <c r="D23" s="159" t="inlineStr">
        <is>
          <t>SM</t>
        </is>
      </c>
      <c r="E23" s="159" t="inlineStr">
        <is>
          <t>*0713</t>
        </is>
      </c>
      <c r="F23" s="148" t="inlineStr">
        <is>
          <t>DONNIE BURLSON</t>
        </is>
      </c>
      <c r="G23" s="228" t="n"/>
      <c r="H23" s="236" t="n"/>
      <c r="I23" s="122" t="inlineStr">
        <is>
          <t>ACE TECH</t>
        </is>
      </c>
      <c r="J23" s="240" t="n"/>
      <c r="K23" s="240" t="n"/>
      <c r="L23" s="241" t="n"/>
      <c r="M23" s="138" t="inlineStr">
        <is>
          <t xml:space="preserve">CONTRACTOR </t>
        </is>
      </c>
      <c r="N23" s="241" t="n"/>
      <c r="O23" s="122" t="inlineStr">
        <is>
          <t>DAT4681 GA</t>
        </is>
      </c>
      <c r="P23" s="240" t="n"/>
      <c r="Q23" s="240" t="n"/>
      <c r="R23" s="240" t="n"/>
      <c r="S23" s="240" t="n"/>
      <c r="T23" s="241" t="n"/>
      <c r="U23" s="146" t="inlineStr">
        <is>
          <t>BASEWIDE</t>
        </is>
      </c>
      <c r="V23" s="227" t="n"/>
      <c r="W23" s="152" t="n">
        <v>2</v>
      </c>
      <c r="X23" s="152" t="n"/>
      <c r="Y23" s="185" t="inlineStr">
        <is>
          <t>DAVID WILDNER</t>
        </is>
      </c>
      <c r="Z23" s="230" t="n"/>
      <c r="AA23" s="231" t="n"/>
      <c r="AB23" s="232">
        <f>IFERROR(VLOOKUP(F23,'DATA BASE'!A:I,3,FALSE),"")</f>
        <v/>
      </c>
      <c r="AC23" s="230" t="n"/>
      <c r="AD23" s="231" t="n"/>
      <c r="AE23" s="233">
        <f>IFERROR(VLOOKUP(F23,'DATA BASE'!A:I,9,FALSE),"")</f>
        <v/>
      </c>
      <c r="AF23" s="231" t="n"/>
      <c r="AG23" s="232">
        <f>IFERROR(VLOOKUP(F23,'DATA BASE'!A:I,6,FALSE),"")</f>
        <v/>
      </c>
      <c r="AH23" s="230" t="n"/>
      <c r="AI23" s="231" t="n"/>
      <c r="AJ23" s="234">
        <f>IFERROR(VLOOKUP(F23,'DATA BASE'!A:I,8,FALSE),"")</f>
        <v/>
      </c>
      <c r="AK23" s="235" t="n"/>
    </row>
    <row r="24" ht="15.65" customHeight="1" s="7">
      <c r="A24" s="242" t="n"/>
      <c r="B24" s="242" t="n"/>
      <c r="C24" s="242" t="n"/>
      <c r="D24" s="242" t="n"/>
      <c r="E24" s="242" t="n"/>
      <c r="F24" s="148" t="inlineStr">
        <is>
          <t>*053671480 GA</t>
        </is>
      </c>
      <c r="G24" s="228" t="n"/>
      <c r="H24" s="236" t="n"/>
      <c r="I24" s="122" t="n">
        <v>2292446412</v>
      </c>
      <c r="J24" s="240" t="n"/>
      <c r="K24" s="240" t="n"/>
      <c r="L24" s="241" t="n"/>
      <c r="M24" s="122" t="inlineStr">
        <is>
          <t>PU</t>
        </is>
      </c>
      <c r="N24" s="241" t="n"/>
      <c r="O24" s="122" t="inlineStr">
        <is>
          <t>RED FORD</t>
        </is>
      </c>
      <c r="P24" s="240" t="n"/>
      <c r="Q24" s="240" t="n"/>
      <c r="R24" s="240" t="n"/>
      <c r="S24" s="240" t="n"/>
      <c r="T24" s="241" t="n"/>
      <c r="U24" s="243" t="n"/>
      <c r="V24" s="229" t="n"/>
      <c r="W24" s="242" t="n"/>
      <c r="X24" s="242" t="n"/>
      <c r="Y24" s="185">
        <f>VLOOKUP(F23,'DATA BASE'!A:I,2,FALSE)</f>
        <v/>
      </c>
      <c r="Z24" s="230" t="n"/>
      <c r="AA24" s="231" t="n"/>
      <c r="AB24" s="232">
        <f>IFERROR(VLOOKUP(F23,'DATA BASE'!A:I,4,FALSE),"")</f>
        <v/>
      </c>
      <c r="AC24" s="230" t="n"/>
      <c r="AD24" s="231" t="n"/>
      <c r="AE24" s="232">
        <f>IFERROR(VLOOKUP(F23,'DATA BASE'!A:I,5,FALSE),"")</f>
        <v/>
      </c>
      <c r="AF24" s="231" t="n"/>
      <c r="AG24" s="232">
        <f>IFERROR(VLOOKUP(F23,'DATA BASE'!A:I,7,FALSE),"")</f>
        <v/>
      </c>
      <c r="AH24" s="230" t="n"/>
      <c r="AI24" s="231" t="n"/>
      <c r="AJ24" s="238" t="n"/>
      <c r="AK24" s="239" t="n"/>
    </row>
    <row r="25" ht="15.5" customHeight="1" s="7">
      <c r="A25" s="157" t="n">
        <v>9</v>
      </c>
      <c r="B25" s="158" t="inlineStr">
        <is>
          <t>G</t>
        </is>
      </c>
      <c r="C25" s="152" t="n">
        <v>1</v>
      </c>
      <c r="D25" s="159" t="inlineStr">
        <is>
          <t>SM</t>
        </is>
      </c>
      <c r="E25" s="159" t="inlineStr">
        <is>
          <t>*0741</t>
        </is>
      </c>
      <c r="F25" s="148" t="inlineStr">
        <is>
          <t>JAMES ROWE</t>
        </is>
      </c>
      <c r="G25" s="228" t="n"/>
      <c r="H25" s="236" t="n"/>
      <c r="I25" s="122" t="inlineStr">
        <is>
          <t>ACE TECH</t>
        </is>
      </c>
      <c r="J25" s="240" t="n"/>
      <c r="K25" s="240" t="n"/>
      <c r="L25" s="241" t="n"/>
      <c r="M25" s="138" t="inlineStr">
        <is>
          <t>CONTRACTOR</t>
        </is>
      </c>
      <c r="N25" s="241" t="n"/>
      <c r="O25" s="122" t="inlineStr">
        <is>
          <t>DAT4680 GA</t>
        </is>
      </c>
      <c r="P25" s="240" t="n"/>
      <c r="Q25" s="240" t="n"/>
      <c r="R25" s="240" t="n"/>
      <c r="S25" s="240" t="n"/>
      <c r="T25" s="241" t="n"/>
      <c r="U25" s="146" t="inlineStr">
        <is>
          <t>BASEWIDE</t>
        </is>
      </c>
      <c r="V25" s="227" t="n"/>
      <c r="W25" s="152" t="n"/>
      <c r="X25" s="152" t="n"/>
      <c r="Y25" s="185" t="inlineStr">
        <is>
          <t>DAVID WILDNER</t>
        </is>
      </c>
      <c r="Z25" s="230" t="n"/>
      <c r="AA25" s="231" t="n"/>
      <c r="AB25" s="232">
        <f>IFERROR(VLOOKUP(F25,'DATA BASE'!A:I,3,FALSE),"")</f>
        <v/>
      </c>
      <c r="AC25" s="230" t="n"/>
      <c r="AD25" s="231" t="n"/>
      <c r="AE25" s="233">
        <f>IFERROR(VLOOKUP(F25,'DATA BASE'!A:I,9,FALSE),"")</f>
        <v/>
      </c>
      <c r="AF25" s="231" t="n"/>
      <c r="AG25" s="232">
        <f>IFERROR(VLOOKUP(F25,'DATA BASE'!A:I,6,FALSE),"")</f>
        <v/>
      </c>
      <c r="AH25" s="230" t="n"/>
      <c r="AI25" s="231" t="n"/>
      <c r="AJ25" s="234">
        <f>IFERROR(VLOOKUP(F25,'DATA BASE'!A:I,8,FALSE),"")</f>
        <v/>
      </c>
      <c r="AK25" s="235" t="n"/>
    </row>
    <row r="26" ht="15.5" customHeight="1" s="7">
      <c r="A26" s="242" t="n"/>
      <c r="B26" s="242" t="n"/>
      <c r="C26" s="242" t="n"/>
      <c r="D26" s="242" t="n"/>
      <c r="E26" s="242" t="n"/>
      <c r="F26" s="148" t="inlineStr">
        <is>
          <t>*053081838 GA</t>
        </is>
      </c>
      <c r="G26" s="228" t="n"/>
      <c r="H26" s="236" t="n"/>
      <c r="I26" s="122" t="n">
        <v>2292446412</v>
      </c>
      <c r="J26" s="240" t="n"/>
      <c r="K26" s="240" t="n"/>
      <c r="L26" s="241" t="n"/>
      <c r="M26" s="122" t="inlineStr">
        <is>
          <t>PU</t>
        </is>
      </c>
      <c r="N26" s="241" t="n"/>
      <c r="O26" s="122" t="inlineStr">
        <is>
          <t>RED FORD</t>
        </is>
      </c>
      <c r="P26" s="240" t="n"/>
      <c r="Q26" s="240" t="n"/>
      <c r="R26" s="240" t="n"/>
      <c r="S26" s="240" t="n"/>
      <c r="T26" s="241" t="n"/>
      <c r="U26" s="243" t="n"/>
      <c r="V26" s="229" t="n"/>
      <c r="W26" s="242" t="n"/>
      <c r="X26" s="242" t="n"/>
      <c r="Y26" s="185">
        <f>VLOOKUP(F25,'DATA BASE'!A:I,2,FALSE)</f>
        <v/>
      </c>
      <c r="Z26" s="230" t="n"/>
      <c r="AA26" s="231" t="n"/>
      <c r="AB26" s="232">
        <f>IFERROR(VLOOKUP(F25,'DATA BASE'!A:I,4,FALSE),"")</f>
        <v/>
      </c>
      <c r="AC26" s="230" t="n"/>
      <c r="AD26" s="231" t="n"/>
      <c r="AE26" s="232">
        <f>IFERROR(VLOOKUP(F25,'DATA BASE'!A:I,5,FALSE),"")</f>
        <v/>
      </c>
      <c r="AF26" s="231" t="n"/>
      <c r="AG26" s="232">
        <f>IFERROR(VLOOKUP(F25,'DATA BASE'!A:I,7,FALSE),"")</f>
        <v/>
      </c>
      <c r="AH26" s="230" t="n"/>
      <c r="AI26" s="231" t="n"/>
      <c r="AJ26" s="238" t="n"/>
      <c r="AK26" s="239" t="n"/>
    </row>
    <row r="27" ht="15.5" customHeight="1" s="7">
      <c r="A27" s="157" t="n">
        <v>10</v>
      </c>
      <c r="B27" s="158" t="inlineStr">
        <is>
          <t>G</t>
        </is>
      </c>
      <c r="C27" s="152" t="n">
        <v>2</v>
      </c>
      <c r="D27" s="159" t="inlineStr">
        <is>
          <t>LG</t>
        </is>
      </c>
      <c r="E27" s="159" t="inlineStr">
        <is>
          <t>*0748</t>
        </is>
      </c>
      <c r="F27" s="148" t="inlineStr">
        <is>
          <t>CALEB CROSBY</t>
        </is>
      </c>
      <c r="G27" s="228" t="n"/>
      <c r="H27" s="236" t="n"/>
      <c r="I27" s="122" t="inlineStr">
        <is>
          <t>RYDER</t>
        </is>
      </c>
      <c r="J27" s="240" t="n"/>
      <c r="K27" s="240" t="n"/>
      <c r="L27" s="241" t="n"/>
      <c r="M27" s="138" t="inlineStr">
        <is>
          <t>COMMERCIAL</t>
        </is>
      </c>
      <c r="N27" s="241" t="n"/>
      <c r="O27" s="122" t="inlineStr">
        <is>
          <t>2833418 IN</t>
        </is>
      </c>
      <c r="P27" s="240" t="n"/>
      <c r="Q27" s="240" t="n"/>
      <c r="R27" s="240" t="n"/>
      <c r="S27" s="240" t="n"/>
      <c r="T27" s="241" t="n"/>
      <c r="U27" s="146" t="n">
        <v>1260</v>
      </c>
      <c r="V27" s="227" t="n"/>
      <c r="W27" s="152" t="n"/>
      <c r="X27" s="152" t="n"/>
      <c r="Y27" s="185" t="inlineStr">
        <is>
          <t>DAVID WILDNER</t>
        </is>
      </c>
      <c r="Z27" s="230" t="n"/>
      <c r="AA27" s="231" t="n"/>
      <c r="AB27" s="232">
        <f>IFERROR(VLOOKUP(F27,'DATA BASE'!A:I,3,FALSE),"")</f>
        <v/>
      </c>
      <c r="AC27" s="230" t="n"/>
      <c r="AD27" s="231" t="n"/>
      <c r="AE27" s="233">
        <f>IFERROR(VLOOKUP(F27,'DATA BASE'!A:I,9,FALSE),"")</f>
        <v/>
      </c>
      <c r="AF27" s="231" t="n"/>
      <c r="AG27" s="232">
        <f>IFERROR(VLOOKUP(F27,'DATA BASE'!A:I,6,FALSE),"")</f>
        <v/>
      </c>
      <c r="AH27" s="230" t="n"/>
      <c r="AI27" s="231" t="n"/>
      <c r="AJ27" s="234">
        <f>IFERROR(VLOOKUP(F27,'DATA BASE'!A:I,8,FALSE),"")</f>
        <v/>
      </c>
      <c r="AK27" s="235" t="n"/>
    </row>
    <row r="28" ht="15.5" customHeight="1" s="7">
      <c r="A28" s="242" t="n"/>
      <c r="B28" s="242" t="n"/>
      <c r="C28" s="242" t="n"/>
      <c r="D28" s="242" t="n"/>
      <c r="E28" s="242" t="n"/>
      <c r="F28" s="148" t="inlineStr">
        <is>
          <t>9426017 AL</t>
        </is>
      </c>
      <c r="G28" s="228" t="n"/>
      <c r="H28" s="236" t="n"/>
      <c r="I28" s="122" t="n">
        <v>3342968917</v>
      </c>
      <c r="J28" s="240" t="n"/>
      <c r="K28" s="240" t="n"/>
      <c r="L28" s="241" t="n"/>
      <c r="M28" s="122" t="inlineStr">
        <is>
          <t>BOX</t>
        </is>
      </c>
      <c r="N28" s="241" t="n"/>
      <c r="O28" s="122" t="inlineStr">
        <is>
          <t>WHITE INTERNATIONAL</t>
        </is>
      </c>
      <c r="P28" s="240" t="n"/>
      <c r="Q28" s="240" t="n"/>
      <c r="R28" s="240" t="n"/>
      <c r="S28" s="240" t="n"/>
      <c r="T28" s="241" t="n"/>
      <c r="U28" s="243" t="n"/>
      <c r="V28" s="229" t="n"/>
      <c r="W28" s="242" t="n"/>
      <c r="X28" s="242" t="n"/>
      <c r="Y28" s="185">
        <f>VLOOKUP(F27,'DATA BASE'!A:I,2,FALSE)</f>
        <v/>
      </c>
      <c r="Z28" s="230" t="n"/>
      <c r="AA28" s="231" t="n"/>
      <c r="AB28" s="232">
        <f>IFERROR(VLOOKUP(F27,'DATA BASE'!A:I,4,FALSE),"")</f>
        <v/>
      </c>
      <c r="AC28" s="230" t="n"/>
      <c r="AD28" s="231" t="n"/>
      <c r="AE28" s="232">
        <f>IFERROR(VLOOKUP(F27,'DATA BASE'!A:I,5,FALSE),"")</f>
        <v/>
      </c>
      <c r="AF28" s="231" t="n"/>
      <c r="AG28" s="232">
        <f>IFERROR(VLOOKUP(F27,'DATA BASE'!A:I,7,FALSE),"")</f>
        <v/>
      </c>
      <c r="AH28" s="230" t="n"/>
      <c r="AI28" s="231" t="n"/>
      <c r="AJ28" s="238" t="n"/>
      <c r="AK28" s="239" t="n"/>
    </row>
    <row r="29" ht="15.65" customHeight="1" s="7">
      <c r="A29" s="157" t="n">
        <v>11</v>
      </c>
      <c r="B29" s="158" t="inlineStr">
        <is>
          <t>G</t>
        </is>
      </c>
      <c r="C29" s="152" t="n">
        <v>1</v>
      </c>
      <c r="D29" s="159" t="inlineStr">
        <is>
          <t>LG</t>
        </is>
      </c>
      <c r="E29" s="159" t="inlineStr">
        <is>
          <t>*0751</t>
        </is>
      </c>
      <c r="F29" s="148" t="inlineStr">
        <is>
          <t>WILLIAM PROCTOR</t>
        </is>
      </c>
      <c r="G29" s="228" t="n"/>
      <c r="H29" s="236" t="n"/>
      <c r="I29" s="122" t="inlineStr">
        <is>
          <t>YK EXPRESS</t>
        </is>
      </c>
      <c r="J29" s="240" t="n"/>
      <c r="K29" s="240" t="n"/>
      <c r="L29" s="241" t="n"/>
      <c r="M29" s="138" t="inlineStr">
        <is>
          <t>COMMERICAL</t>
        </is>
      </c>
      <c r="N29" s="241" t="n"/>
      <c r="O29" s="122" t="inlineStr">
        <is>
          <t>XE821S FL</t>
        </is>
      </c>
      <c r="P29" s="240" t="n"/>
      <c r="Q29" s="240" t="n"/>
      <c r="R29" s="240" t="n"/>
      <c r="S29" s="240" t="n"/>
      <c r="T29" s="241" t="n"/>
      <c r="U29" s="146" t="n">
        <v>1221</v>
      </c>
      <c r="V29" s="227" t="n"/>
      <c r="W29" s="152" t="n"/>
      <c r="X29" s="152" t="n"/>
      <c r="Y29" s="185" t="inlineStr">
        <is>
          <t>DAVID WILDNER</t>
        </is>
      </c>
      <c r="Z29" s="230" t="n"/>
      <c r="AA29" s="231" t="n"/>
      <c r="AB29" s="232">
        <f>IFERROR(VLOOKUP(F29,'DATA BASE'!A:I,3,FALSE),"")</f>
        <v/>
      </c>
      <c r="AC29" s="230" t="n"/>
      <c r="AD29" s="231" t="n"/>
      <c r="AE29" s="233">
        <f>IFERROR(VLOOKUP(F29,'DATA BASE'!A:I,9,FALSE),"")</f>
        <v/>
      </c>
      <c r="AF29" s="231" t="n"/>
      <c r="AG29" s="232">
        <f>IFERROR(VLOOKUP(F29,'DATA BASE'!A:I,6,FALSE),"")</f>
        <v/>
      </c>
      <c r="AH29" s="230" t="n"/>
      <c r="AI29" s="231" t="n"/>
      <c r="AJ29" s="234">
        <f>IFERROR(VLOOKUP(F29,'DATA BASE'!A:I,8,FALSE),"")</f>
        <v/>
      </c>
      <c r="AK29" s="235" t="n"/>
    </row>
    <row r="30" ht="15.65" customHeight="1" s="7">
      <c r="A30" s="242" t="n"/>
      <c r="B30" s="242" t="n"/>
      <c r="C30" s="242" t="n"/>
      <c r="D30" s="242" t="n"/>
      <c r="E30" s="242" t="n"/>
      <c r="F30" s="148" t="inlineStr">
        <is>
          <t>P608784099000 FL</t>
        </is>
      </c>
      <c r="G30" s="228" t="n"/>
      <c r="H30" s="236" t="n"/>
      <c r="I30" s="122" t="n">
        <v>9418304769</v>
      </c>
      <c r="J30" s="240" t="n"/>
      <c r="K30" s="240" t="n"/>
      <c r="L30" s="241" t="n"/>
      <c r="M30" s="122" t="inlineStr">
        <is>
          <t>FLAT</t>
        </is>
      </c>
      <c r="N30" s="241" t="n"/>
      <c r="O30" s="122" t="inlineStr">
        <is>
          <t>BLACK PETERBILT</t>
        </is>
      </c>
      <c r="P30" s="240" t="n"/>
      <c r="Q30" s="240" t="n"/>
      <c r="R30" s="240" t="n"/>
      <c r="S30" s="240" t="n"/>
      <c r="T30" s="241" t="n"/>
      <c r="U30" s="243" t="n"/>
      <c r="V30" s="229" t="n"/>
      <c r="W30" s="242" t="n"/>
      <c r="X30" s="242" t="n"/>
      <c r="Y30" s="185">
        <f>VLOOKUP(F29,'DATA BASE'!A:I,2,FALSE)</f>
        <v/>
      </c>
      <c r="Z30" s="230" t="n"/>
      <c r="AA30" s="231" t="n"/>
      <c r="AB30" s="232">
        <f>IFERROR(VLOOKUP(F29,'DATA BASE'!A:I,4,FALSE),"")</f>
        <v/>
      </c>
      <c r="AC30" s="230" t="n"/>
      <c r="AD30" s="231" t="n"/>
      <c r="AE30" s="232">
        <f>IFERROR(VLOOKUP(F29,'DATA BASE'!A:I,5,FALSE),"")</f>
        <v/>
      </c>
      <c r="AF30" s="231" t="n"/>
      <c r="AG30" s="232">
        <f>IFERROR(VLOOKUP(F29,'DATA BASE'!A:I,7,FALSE),"")</f>
        <v/>
      </c>
      <c r="AH30" s="230" t="n"/>
      <c r="AI30" s="231" t="n"/>
      <c r="AJ30" s="238" t="n"/>
      <c r="AK30" s="239" t="n"/>
    </row>
    <row r="31" ht="15.65" customHeight="1" s="7">
      <c r="A31" s="157" t="n">
        <v>12</v>
      </c>
      <c r="B31" s="158" t="inlineStr">
        <is>
          <t>F</t>
        </is>
      </c>
      <c r="C31" s="152" t="n">
        <v>1</v>
      </c>
      <c r="D31" s="159" t="inlineStr">
        <is>
          <t>LG</t>
        </is>
      </c>
      <c r="E31" s="159" t="inlineStr">
        <is>
          <t>*0753</t>
        </is>
      </c>
      <c r="F31" s="148" t="inlineStr">
        <is>
          <t>WILLIAM COPELAND</t>
        </is>
      </c>
      <c r="G31" s="228" t="n"/>
      <c r="H31" s="236" t="n"/>
      <c r="I31" s="122" t="inlineStr">
        <is>
          <t>CONCRETE ENTERP</t>
        </is>
      </c>
      <c r="J31" s="240" t="n"/>
      <c r="K31" s="240" t="n"/>
      <c r="L31" s="241" t="n"/>
      <c r="M31" s="138" t="inlineStr">
        <is>
          <t>COMMERCIAL</t>
        </is>
      </c>
      <c r="N31" s="241" t="n"/>
      <c r="O31" s="122" t="inlineStr">
        <is>
          <t>GK1878 GA</t>
        </is>
      </c>
      <c r="P31" s="240" t="n"/>
      <c r="Q31" s="240" t="n"/>
      <c r="R31" s="240" t="n"/>
      <c r="S31" s="240" t="n"/>
      <c r="T31" s="241" t="n"/>
      <c r="U31" s="146" t="inlineStr">
        <is>
          <t>KENNELS</t>
        </is>
      </c>
      <c r="V31" s="227" t="n"/>
      <c r="W31" s="152" t="n"/>
      <c r="X31" s="152" t="n"/>
      <c r="Y31" s="185" t="inlineStr">
        <is>
          <t>DAVID WILDNER</t>
        </is>
      </c>
      <c r="Z31" s="230" t="n"/>
      <c r="AA31" s="231" t="n"/>
      <c r="AB31" s="232">
        <f>IFERROR(VLOOKUP(F31,'DATA BASE'!A:I,3,FALSE),"")</f>
        <v/>
      </c>
      <c r="AC31" s="230" t="n"/>
      <c r="AD31" s="231" t="n"/>
      <c r="AE31" s="233">
        <f>IFERROR(VLOOKUP(F31,'DATA BASE'!A:I,9,FALSE),"")</f>
        <v/>
      </c>
      <c r="AF31" s="231" t="n"/>
      <c r="AG31" s="232">
        <f>IFERROR(VLOOKUP(F31,'DATA BASE'!A:I,6,FALSE),"")</f>
        <v/>
      </c>
      <c r="AH31" s="230" t="n"/>
      <c r="AI31" s="231" t="n"/>
      <c r="AJ31" s="234">
        <f>IFERROR(VLOOKUP(F31,'DATA BASE'!A:I,8,FALSE),"")</f>
        <v/>
      </c>
      <c r="AK31" s="235" t="n"/>
    </row>
    <row r="32" ht="15.65" customHeight="1" s="7">
      <c r="A32" s="242" t="n"/>
      <c r="B32" s="242" t="n"/>
      <c r="C32" s="242" t="n"/>
      <c r="D32" s="242" t="n"/>
      <c r="E32" s="242" t="n"/>
      <c r="F32" s="148" t="inlineStr">
        <is>
          <t>*055172180 GA</t>
        </is>
      </c>
      <c r="G32" s="228" t="n"/>
      <c r="H32" s="236" t="n"/>
      <c r="I32" s="122" t="n">
        <v>2298811904</v>
      </c>
      <c r="J32" s="240" t="n"/>
      <c r="K32" s="240" t="n"/>
      <c r="L32" s="241" t="n"/>
      <c r="M32" s="122" t="inlineStr">
        <is>
          <t>CONCRETE</t>
        </is>
      </c>
      <c r="N32" s="241" t="n"/>
      <c r="O32" s="122" t="inlineStr">
        <is>
          <t>GREEN WESTERN</t>
        </is>
      </c>
      <c r="P32" s="240" t="n"/>
      <c r="Q32" s="240" t="n"/>
      <c r="R32" s="240" t="n"/>
      <c r="S32" s="240" t="n"/>
      <c r="T32" s="241" t="n"/>
      <c r="U32" s="243" t="n"/>
      <c r="V32" s="229" t="n"/>
      <c r="W32" s="242" t="n"/>
      <c r="X32" s="242" t="n"/>
      <c r="Y32" s="185">
        <f>VLOOKUP(F31,'DATA BASE'!A:I,2,FALSE)</f>
        <v/>
      </c>
      <c r="Z32" s="230" t="n"/>
      <c r="AA32" s="231" t="n"/>
      <c r="AB32" s="232">
        <f>IFERROR(VLOOKUP(F31,'DATA BASE'!A:I,4,FALSE),"")</f>
        <v/>
      </c>
      <c r="AC32" s="230" t="n"/>
      <c r="AD32" s="231" t="n"/>
      <c r="AE32" s="232">
        <f>IFERROR(VLOOKUP(F31,'DATA BASE'!A:I,5,FALSE),"")</f>
        <v/>
      </c>
      <c r="AF32" s="231" t="n"/>
      <c r="AG32" s="232">
        <f>IFERROR(VLOOKUP(F31,'DATA BASE'!A:I,7,FALSE),"")</f>
        <v/>
      </c>
      <c r="AH32" s="230" t="n"/>
      <c r="AI32" s="231" t="n"/>
      <c r="AJ32" s="238" t="n"/>
      <c r="AK32" s="239" t="n"/>
    </row>
    <row r="33" ht="15.5" customHeight="1" s="7">
      <c r="A33" s="157" t="n">
        <v>13</v>
      </c>
      <c r="B33" s="158" t="inlineStr">
        <is>
          <t>G</t>
        </is>
      </c>
      <c r="C33" s="152" t="n">
        <v>1</v>
      </c>
      <c r="D33" s="159" t="inlineStr">
        <is>
          <t>LG</t>
        </is>
      </c>
      <c r="E33" s="159" t="inlineStr">
        <is>
          <t>*0754</t>
        </is>
      </c>
      <c r="F33" s="148" t="inlineStr">
        <is>
          <t xml:space="preserve">BRYAN MICHAEL </t>
        </is>
      </c>
      <c r="G33" s="228" t="n"/>
      <c r="H33" s="236" t="n"/>
      <c r="I33" s="122" t="inlineStr">
        <is>
          <t>SIEMENS</t>
        </is>
      </c>
      <c r="J33" s="240" t="n"/>
      <c r="K33" s="240" t="n"/>
      <c r="L33" s="241" t="n"/>
      <c r="M33" s="138" t="inlineStr">
        <is>
          <t>COMMERCIAL</t>
        </is>
      </c>
      <c r="N33" s="241" t="n"/>
      <c r="O33" s="122" t="inlineStr">
        <is>
          <t>DR44TK FL</t>
        </is>
      </c>
      <c r="P33" s="240" t="n"/>
      <c r="Q33" s="240" t="n"/>
      <c r="R33" s="240" t="n"/>
      <c r="S33" s="240" t="n"/>
      <c r="T33" s="241" t="n"/>
      <c r="U33" s="146" t="n">
        <v>2200</v>
      </c>
      <c r="V33" s="227" t="n"/>
      <c r="W33" s="152" t="n"/>
      <c r="X33" s="152" t="n"/>
      <c r="Y33" s="185" t="inlineStr">
        <is>
          <t>DAVID WILDNER</t>
        </is>
      </c>
      <c r="Z33" s="230" t="n"/>
      <c r="AA33" s="231" t="n"/>
      <c r="AB33" s="232">
        <f>IFERROR(VLOOKUP(F33,'DATA BASE'!A:I,3,FALSE),"")</f>
        <v/>
      </c>
      <c r="AC33" s="230" t="n"/>
      <c r="AD33" s="231" t="n"/>
      <c r="AE33" s="233">
        <f>IFERROR(VLOOKUP(F33,'DATA BASE'!A:I,9,FALSE),"")</f>
        <v/>
      </c>
      <c r="AF33" s="231" t="n"/>
      <c r="AG33" s="232">
        <f>IFERROR(VLOOKUP(F33,'DATA BASE'!A:I,6,FALSE),"")</f>
        <v/>
      </c>
      <c r="AH33" s="230" t="n"/>
      <c r="AI33" s="231" t="n"/>
      <c r="AJ33" s="234">
        <f>IFERROR(VLOOKUP(F33,'DATA BASE'!A:I,8,FALSE),"")</f>
        <v/>
      </c>
      <c r="AK33" s="235" t="n"/>
    </row>
    <row r="34" ht="15.5" customHeight="1" s="7">
      <c r="A34" s="242" t="n"/>
      <c r="B34" s="242" t="n"/>
      <c r="C34" s="242" t="n"/>
      <c r="D34" s="242" t="n"/>
      <c r="E34" s="242" t="n"/>
      <c r="F34" s="148" t="inlineStr">
        <is>
          <t>B650544873820 FL</t>
        </is>
      </c>
      <c r="G34" s="228" t="n"/>
      <c r="H34" s="236" t="n"/>
      <c r="I34" s="122" t="n">
        <v>8008920288</v>
      </c>
      <c r="J34" s="240" t="n"/>
      <c r="K34" s="240" t="n"/>
      <c r="L34" s="241" t="n"/>
      <c r="M34" s="122" t="inlineStr">
        <is>
          <t>SUV</t>
        </is>
      </c>
      <c r="N34" s="241" t="n"/>
      <c r="O34" s="122" t="inlineStr">
        <is>
          <t>WHITE EQUINOX</t>
        </is>
      </c>
      <c r="P34" s="240" t="n"/>
      <c r="Q34" s="240" t="n"/>
      <c r="R34" s="240" t="n"/>
      <c r="S34" s="240" t="n"/>
      <c r="T34" s="241" t="n"/>
      <c r="U34" s="243" t="n"/>
      <c r="V34" s="229" t="n"/>
      <c r="W34" s="242" t="n"/>
      <c r="X34" s="242" t="n"/>
      <c r="Y34" s="185">
        <f>VLOOKUP(F33,'DATA BASE'!A:I,2,FALSE)</f>
        <v/>
      </c>
      <c r="Z34" s="230" t="n"/>
      <c r="AA34" s="231" t="n"/>
      <c r="AB34" s="232">
        <f>IFERROR(VLOOKUP(F33,'DATA BASE'!A:I,4,FALSE),"")</f>
        <v/>
      </c>
      <c r="AC34" s="230" t="n"/>
      <c r="AD34" s="231" t="n"/>
      <c r="AE34" s="232">
        <f>IFERROR(VLOOKUP(F33,'DATA BASE'!A:I,5,FALSE),"")</f>
        <v/>
      </c>
      <c r="AF34" s="231" t="n"/>
      <c r="AG34" s="232">
        <f>IFERROR(VLOOKUP(F33,'DATA BASE'!A:I,7,FALSE),"")</f>
        <v/>
      </c>
      <c r="AH34" s="230" t="n"/>
      <c r="AI34" s="231" t="n"/>
      <c r="AJ34" s="238" t="n"/>
      <c r="AK34" s="239" t="n"/>
    </row>
    <row r="35" ht="15.5" customHeight="1" s="7">
      <c r="A35" s="157" t="n">
        <v>14</v>
      </c>
      <c r="B35" s="158" t="inlineStr">
        <is>
          <t>G</t>
        </is>
      </c>
      <c r="C35" s="152" t="n">
        <v>1</v>
      </c>
      <c r="D35" s="159" t="inlineStr">
        <is>
          <t>LG</t>
        </is>
      </c>
      <c r="E35" s="159" t="inlineStr">
        <is>
          <t>*0756</t>
        </is>
      </c>
      <c r="F35" s="148" t="inlineStr">
        <is>
          <t>TORRANCE LAWRENCE</t>
        </is>
      </c>
      <c r="G35" s="228" t="n"/>
      <c r="H35" s="236" t="n"/>
      <c r="I35" s="122" t="inlineStr">
        <is>
          <t>SPARTAN NASH</t>
        </is>
      </c>
      <c r="J35" s="240" t="n"/>
      <c r="K35" s="240" t="n"/>
      <c r="L35" s="241" t="n"/>
      <c r="M35" s="138" t="inlineStr">
        <is>
          <t>COMMERICAL</t>
        </is>
      </c>
      <c r="N35" s="241" t="n"/>
      <c r="O35" s="122" t="inlineStr">
        <is>
          <t>424423 NE</t>
        </is>
      </c>
      <c r="P35" s="240" t="n"/>
      <c r="Q35" s="240" t="n"/>
      <c r="R35" s="240" t="n"/>
      <c r="S35" s="240" t="n"/>
      <c r="T35" s="241" t="n"/>
      <c r="U35" s="146" t="n">
        <v>7500</v>
      </c>
      <c r="V35" s="227" t="n"/>
      <c r="W35" s="152" t="n"/>
      <c r="X35" s="152" t="n"/>
      <c r="Y35" s="185" t="inlineStr">
        <is>
          <t>DAVID WILDNER</t>
        </is>
      </c>
      <c r="Z35" s="230" t="n"/>
      <c r="AA35" s="231" t="n"/>
      <c r="AB35" s="232">
        <f>IFERROR(VLOOKUP(F35,'DATA BASE'!A:I,3,FALSE),"")</f>
        <v/>
      </c>
      <c r="AC35" s="230" t="n"/>
      <c r="AD35" s="231" t="n"/>
      <c r="AE35" s="233">
        <f>IFERROR(VLOOKUP(F35,'DATA BASE'!A:I,9,FALSE),"")</f>
        <v/>
      </c>
      <c r="AF35" s="231" t="n"/>
      <c r="AG35" s="232">
        <f>IFERROR(VLOOKUP(F35,'DATA BASE'!A:I,6,FALSE),"")</f>
        <v/>
      </c>
      <c r="AH35" s="230" t="n"/>
      <c r="AI35" s="231" t="n"/>
      <c r="AJ35" s="234">
        <f>IFERROR(VLOOKUP(F35,'DATA BASE'!A:I,8,FALSE),"")</f>
        <v/>
      </c>
      <c r="AK35" s="235" t="n"/>
    </row>
    <row r="36" ht="15.5" customHeight="1" s="7">
      <c r="A36" s="242" t="n"/>
      <c r="B36" s="242" t="n"/>
      <c r="C36" s="242" t="n"/>
      <c r="D36" s="242" t="n"/>
      <c r="E36" s="242" t="n"/>
      <c r="F36" s="148" t="inlineStr">
        <is>
          <t>072479857 GA</t>
        </is>
      </c>
      <c r="G36" s="228" t="n"/>
      <c r="H36" s="236" t="n"/>
      <c r="I36" s="122" t="n">
        <v>3345409441</v>
      </c>
      <c r="J36" s="240" t="n"/>
      <c r="K36" s="240" t="n"/>
      <c r="L36" s="241" t="n"/>
      <c r="M36" s="122" t="inlineStr">
        <is>
          <t>BOX</t>
        </is>
      </c>
      <c r="N36" s="241" t="n"/>
      <c r="O36" s="122" t="inlineStr">
        <is>
          <t>WHITE INTERNATIONAL</t>
        </is>
      </c>
      <c r="P36" s="240" t="n"/>
      <c r="Q36" s="240" t="n"/>
      <c r="R36" s="240" t="n"/>
      <c r="S36" s="240" t="n"/>
      <c r="T36" s="241" t="n"/>
      <c r="U36" s="243" t="n"/>
      <c r="V36" s="229" t="n"/>
      <c r="W36" s="242" t="n"/>
      <c r="X36" s="242" t="n"/>
      <c r="Y36" s="185">
        <f>VLOOKUP(F35,'DATA BASE'!A:I,2,FALSE)</f>
        <v/>
      </c>
      <c r="Z36" s="230" t="n"/>
      <c r="AA36" s="231" t="n"/>
      <c r="AB36" s="232">
        <f>IFERROR(VLOOKUP(F35,'DATA BASE'!A:I,4,FALSE),"")</f>
        <v/>
      </c>
      <c r="AC36" s="230" t="n"/>
      <c r="AD36" s="231" t="n"/>
      <c r="AE36" s="232">
        <f>IFERROR(VLOOKUP(F35,'DATA BASE'!A:I,5,FALSE),"")</f>
        <v/>
      </c>
      <c r="AF36" s="231" t="n"/>
      <c r="AG36" s="232">
        <f>IFERROR(VLOOKUP(F35,'DATA BASE'!A:I,7,FALSE),"")</f>
        <v/>
      </c>
      <c r="AH36" s="230" t="n"/>
      <c r="AI36" s="231" t="n"/>
      <c r="AJ36" s="238" t="n"/>
      <c r="AK36" s="239" t="n"/>
    </row>
    <row r="37" ht="15.65" customHeight="1" s="7">
      <c r="A37" s="157" t="n">
        <v>15</v>
      </c>
      <c r="B37" s="158" t="inlineStr">
        <is>
          <t>G</t>
        </is>
      </c>
      <c r="C37" s="152" t="n">
        <v>1</v>
      </c>
      <c r="D37" s="159" t="inlineStr">
        <is>
          <t>LG</t>
        </is>
      </c>
      <c r="E37" s="159" t="inlineStr">
        <is>
          <t>*0758</t>
        </is>
      </c>
      <c r="F37" s="148" t="inlineStr">
        <is>
          <t>TIMOTHY WALKER</t>
        </is>
      </c>
      <c r="G37" s="228" t="n"/>
      <c r="H37" s="236" t="n"/>
      <c r="I37" s="122" t="inlineStr">
        <is>
          <t>EXPRESS DISPOSAL</t>
        </is>
      </c>
      <c r="J37" s="240" t="n"/>
      <c r="K37" s="240" t="n"/>
      <c r="L37" s="241" t="n"/>
      <c r="M37" s="138" t="inlineStr">
        <is>
          <t>CONTRACTOR</t>
        </is>
      </c>
      <c r="N37" s="241" t="n"/>
      <c r="O37" s="122" t="inlineStr">
        <is>
          <t xml:space="preserve">YHE502 GA </t>
        </is>
      </c>
      <c r="P37" s="240" t="n"/>
      <c r="Q37" s="240" t="n"/>
      <c r="R37" s="240" t="n"/>
      <c r="S37" s="240" t="n"/>
      <c r="T37" s="241" t="n"/>
      <c r="U37" s="146" t="inlineStr">
        <is>
          <t>BASEWIDE</t>
        </is>
      </c>
      <c r="V37" s="227" t="n"/>
      <c r="W37" s="152" t="n"/>
      <c r="X37" s="152" t="n"/>
      <c r="Y37" s="185" t="inlineStr">
        <is>
          <t>DAVID WILDNER</t>
        </is>
      </c>
      <c r="Z37" s="230" t="n"/>
      <c r="AA37" s="231" t="n"/>
      <c r="AB37" s="232">
        <f>IFERROR(VLOOKUP(F37,'DATA BASE'!A:I,3,FALSE),"")</f>
        <v/>
      </c>
      <c r="AC37" s="230" t="n"/>
      <c r="AD37" s="231" t="n"/>
      <c r="AE37" s="233">
        <f>IFERROR(VLOOKUP(F37,'DATA BASE'!A:I,9,FALSE),"")</f>
        <v/>
      </c>
      <c r="AF37" s="231" t="n"/>
      <c r="AG37" s="232">
        <f>IFERROR(VLOOKUP(F37,'DATA BASE'!A:I,6,FALSE),"")</f>
        <v/>
      </c>
      <c r="AH37" s="230" t="n"/>
      <c r="AI37" s="231" t="n"/>
      <c r="AJ37" s="234">
        <f>IFERROR(VLOOKUP(F37,'DATA BASE'!A:I,8,FALSE),"")</f>
        <v/>
      </c>
      <c r="AK37" s="235" t="n"/>
    </row>
    <row r="38" ht="15.65" customHeight="1" s="7">
      <c r="A38" s="242" t="n"/>
      <c r="B38" s="242" t="n"/>
      <c r="C38" s="242" t="n"/>
      <c r="D38" s="242" t="n"/>
      <c r="E38" s="242" t="n"/>
      <c r="F38" s="148" t="inlineStr">
        <is>
          <t>*058791327 GA</t>
        </is>
      </c>
      <c r="G38" s="228" t="n"/>
      <c r="H38" s="236" t="n"/>
      <c r="I38" s="122" t="n">
        <v>2293524300</v>
      </c>
      <c r="J38" s="240" t="n"/>
      <c r="K38" s="240" t="n"/>
      <c r="L38" s="241" t="n"/>
      <c r="M38" s="122" t="inlineStr">
        <is>
          <t>TANK</t>
        </is>
      </c>
      <c r="N38" s="241" t="n"/>
      <c r="O38" s="122" t="inlineStr">
        <is>
          <t>WHITE INTER</t>
        </is>
      </c>
      <c r="P38" s="240" t="n"/>
      <c r="Q38" s="240" t="n"/>
      <c r="R38" s="240" t="n"/>
      <c r="S38" s="240" t="n"/>
      <c r="T38" s="241" t="n"/>
      <c r="U38" s="243" t="n"/>
      <c r="V38" s="229" t="n"/>
      <c r="W38" s="242" t="n"/>
      <c r="X38" s="242" t="n"/>
      <c r="Y38" s="185">
        <f>VLOOKUP(F37,'DATA BASE'!A:I,2,FALSE)</f>
        <v/>
      </c>
      <c r="Z38" s="230" t="n"/>
      <c r="AA38" s="231" t="n"/>
      <c r="AB38" s="232">
        <f>IFERROR(VLOOKUP(F37,'DATA BASE'!A:I,4,FALSE),"")</f>
        <v/>
      </c>
      <c r="AC38" s="230" t="n"/>
      <c r="AD38" s="231" t="n"/>
      <c r="AE38" s="232">
        <f>IFERROR(VLOOKUP(F37,'DATA BASE'!A:I,5,FALSE),"")</f>
        <v/>
      </c>
      <c r="AF38" s="231" t="n"/>
      <c r="AG38" s="232">
        <f>IFERROR(VLOOKUP(F37,'DATA BASE'!A:I,7,FALSE),"")</f>
        <v/>
      </c>
      <c r="AH38" s="230" t="n"/>
      <c r="AI38" s="231" t="n"/>
      <c r="AJ38" s="238" t="n"/>
      <c r="AK38" s="239" t="n"/>
    </row>
    <row r="39" ht="15.5" customHeight="1" s="7">
      <c r="A39" s="157" t="n">
        <v>16</v>
      </c>
      <c r="B39" s="158" t="inlineStr">
        <is>
          <t>G</t>
        </is>
      </c>
      <c r="C39" s="152" t="n">
        <v>1</v>
      </c>
      <c r="D39" s="159" t="inlineStr">
        <is>
          <t>LG</t>
        </is>
      </c>
      <c r="E39" s="159" t="inlineStr">
        <is>
          <t>*0803</t>
        </is>
      </c>
      <c r="F39" s="148" t="inlineStr">
        <is>
          <t>ALVIN CONLEY</t>
        </is>
      </c>
      <c r="G39" s="228" t="n"/>
      <c r="H39" s="236" t="n"/>
      <c r="I39" s="122" t="inlineStr">
        <is>
          <t>DAVENPORT</t>
        </is>
      </c>
      <c r="J39" s="240" t="n"/>
      <c r="K39" s="240" t="n"/>
      <c r="L39" s="241" t="n"/>
      <c r="M39" s="138" t="inlineStr">
        <is>
          <t>COMMERCIAL</t>
        </is>
      </c>
      <c r="N39" s="241" t="n"/>
      <c r="O39" s="122" t="inlineStr">
        <is>
          <t>YDR952 GA</t>
        </is>
      </c>
      <c r="P39" s="240" t="n"/>
      <c r="Q39" s="240" t="n"/>
      <c r="R39" s="240" t="n"/>
      <c r="S39" s="240" t="n"/>
      <c r="T39" s="241" t="n"/>
      <c r="U39" s="146" t="inlineStr">
        <is>
          <t>BASEWIDE</t>
        </is>
      </c>
      <c r="V39" s="227" t="n"/>
      <c r="W39" s="152" t="n"/>
      <c r="X39" s="152" t="n"/>
      <c r="Y39" s="185" t="inlineStr">
        <is>
          <t>DAVID WILDNER</t>
        </is>
      </c>
      <c r="Z39" s="230" t="n"/>
      <c r="AA39" s="231" t="n"/>
      <c r="AB39" s="232">
        <f>IFERROR(VLOOKUP(F39,'DATA BASE'!A:I,3,FALSE),"")</f>
        <v/>
      </c>
      <c r="AC39" s="230" t="n"/>
      <c r="AD39" s="231" t="n"/>
      <c r="AE39" s="233">
        <f>IFERROR(VLOOKUP(F39,'DATA BASE'!A:I,9,FALSE),"")</f>
        <v/>
      </c>
      <c r="AF39" s="231" t="n"/>
      <c r="AG39" s="232">
        <f>IFERROR(VLOOKUP(F39,'DATA BASE'!A:I,6,FALSE),"")</f>
        <v/>
      </c>
      <c r="AH39" s="230" t="n"/>
      <c r="AI39" s="231" t="n"/>
      <c r="AJ39" s="234">
        <f>IFERROR(VLOOKUP(F39,'DATA BASE'!A:I,8,FALSE),"")</f>
        <v/>
      </c>
      <c r="AK39" s="235" t="n"/>
    </row>
    <row r="40" ht="15.5" customHeight="1" s="7">
      <c r="A40" s="242" t="n"/>
      <c r="B40" s="242" t="n"/>
      <c r="C40" s="242" t="n"/>
      <c r="D40" s="242" t="n"/>
      <c r="E40" s="242" t="n"/>
      <c r="F40" s="148" t="inlineStr">
        <is>
          <t>*050551154 GA</t>
        </is>
      </c>
      <c r="G40" s="228" t="n"/>
      <c r="H40" s="236" t="n"/>
      <c r="I40" s="122" t="n">
        <v>2294461541</v>
      </c>
      <c r="J40" s="240" t="n"/>
      <c r="K40" s="240" t="n"/>
      <c r="L40" s="241" t="n"/>
      <c r="M40" s="122" t="inlineStr">
        <is>
          <t>BOX</t>
        </is>
      </c>
      <c r="N40" s="241" t="n"/>
      <c r="O40" s="122" t="inlineStr">
        <is>
          <t>ISUZU, WHITE</t>
        </is>
      </c>
      <c r="P40" s="240" t="n"/>
      <c r="Q40" s="240" t="n"/>
      <c r="R40" s="240" t="n"/>
      <c r="S40" s="240" t="n"/>
      <c r="T40" s="241" t="n"/>
      <c r="U40" s="243" t="n"/>
      <c r="V40" s="229" t="n"/>
      <c r="W40" s="242" t="n"/>
      <c r="X40" s="242" t="n"/>
      <c r="Y40" s="185">
        <f>VLOOKUP(F39,'DATA BASE'!A:I,2,FALSE)</f>
        <v/>
      </c>
      <c r="Z40" s="230" t="n"/>
      <c r="AA40" s="231" t="n"/>
      <c r="AB40" s="232">
        <f>IFERROR(VLOOKUP(F39,'DATA BASE'!A:I,4,FALSE),"")</f>
        <v/>
      </c>
      <c r="AC40" s="230" t="n"/>
      <c r="AD40" s="231" t="n"/>
      <c r="AE40" s="232">
        <f>IFERROR(VLOOKUP(F39,'DATA BASE'!A:I,5,FALSE),"")</f>
        <v/>
      </c>
      <c r="AF40" s="231" t="n"/>
      <c r="AG40" s="232">
        <f>IFERROR(VLOOKUP(F39,'DATA BASE'!A:I,7,FALSE),"")</f>
        <v/>
      </c>
      <c r="AH40" s="230" t="n"/>
      <c r="AI40" s="231" t="n"/>
      <c r="AJ40" s="238" t="n"/>
      <c r="AK40" s="239" t="n"/>
    </row>
    <row r="41" ht="15.5" customHeight="1" s="7">
      <c r="A41" s="157" t="n">
        <v>17</v>
      </c>
      <c r="B41" s="158" t="inlineStr">
        <is>
          <t>G</t>
        </is>
      </c>
      <c r="C41" s="152" t="n">
        <v>1</v>
      </c>
      <c r="D41" s="159" t="inlineStr">
        <is>
          <t>LG</t>
        </is>
      </c>
      <c r="E41" s="159" t="inlineStr">
        <is>
          <t>*0820</t>
        </is>
      </c>
      <c r="F41" s="148" t="inlineStr">
        <is>
          <t>TYRONE PITTS</t>
        </is>
      </c>
      <c r="G41" s="228" t="n"/>
      <c r="H41" s="236" t="n"/>
      <c r="I41" s="122" t="inlineStr">
        <is>
          <t>KLB</t>
        </is>
      </c>
      <c r="J41" s="240" t="n"/>
      <c r="K41" s="240" t="n"/>
      <c r="L41" s="241" t="n"/>
      <c r="M41" s="138" t="inlineStr">
        <is>
          <t>COMMERCIAL</t>
        </is>
      </c>
      <c r="N41" s="241" t="n"/>
      <c r="O41" s="122" t="inlineStr">
        <is>
          <t>XE820Y FL</t>
        </is>
      </c>
      <c r="P41" s="240" t="n"/>
      <c r="Q41" s="240" t="n"/>
      <c r="R41" s="240" t="n"/>
      <c r="S41" s="240" t="n"/>
      <c r="T41" s="241" t="n"/>
      <c r="U41" s="146" t="n">
        <v>7500</v>
      </c>
      <c r="V41" s="227" t="n"/>
      <c r="W41" s="152" t="n"/>
      <c r="X41" s="152" t="n"/>
      <c r="Y41" s="185" t="inlineStr">
        <is>
          <t>DAVID WILDNER</t>
        </is>
      </c>
      <c r="Z41" s="230" t="n"/>
      <c r="AA41" s="231" t="n"/>
      <c r="AB41" s="232">
        <f>IFERROR(VLOOKUP(F41,'DATA BASE'!A:I,3,FALSE),"")</f>
        <v/>
      </c>
      <c r="AC41" s="230" t="n"/>
      <c r="AD41" s="231" t="n"/>
      <c r="AE41" s="233">
        <f>IFERROR(VLOOKUP(F41,'DATA BASE'!A:I,9,FALSE),"")</f>
        <v/>
      </c>
      <c r="AF41" s="231" t="n"/>
      <c r="AG41" s="232">
        <f>IFERROR(VLOOKUP(F41,'DATA BASE'!A:I,6,FALSE),"")</f>
        <v/>
      </c>
      <c r="AH41" s="230" t="n"/>
      <c r="AI41" s="231" t="n"/>
      <c r="AJ41" s="234">
        <f>IFERROR(VLOOKUP(F41,'DATA BASE'!A:I,8,FALSE),"")</f>
        <v/>
      </c>
      <c r="AK41" s="235" t="n"/>
    </row>
    <row r="42" ht="15.5" customHeight="1" s="7">
      <c r="A42" s="242" t="n"/>
      <c r="B42" s="242" t="n"/>
      <c r="C42" s="242" t="n"/>
      <c r="D42" s="242" t="n"/>
      <c r="E42" s="242" t="n"/>
      <c r="F42" s="148" t="inlineStr">
        <is>
          <t>P320800774 FL</t>
        </is>
      </c>
      <c r="G42" s="228" t="n"/>
      <c r="H42" s="236" t="n"/>
      <c r="I42" s="122" t="n">
        <v>8509803664</v>
      </c>
      <c r="J42" s="240" t="n"/>
      <c r="K42" s="240" t="n"/>
      <c r="L42" s="241" t="n"/>
      <c r="M42" s="122" t="inlineStr">
        <is>
          <t>BOX</t>
        </is>
      </c>
      <c r="N42" s="241" t="n"/>
      <c r="O42" s="122" t="inlineStr">
        <is>
          <t>TAN PETERBILT</t>
        </is>
      </c>
      <c r="P42" s="240" t="n"/>
      <c r="Q42" s="240" t="n"/>
      <c r="R42" s="240" t="n"/>
      <c r="S42" s="240" t="n"/>
      <c r="T42" s="241" t="n"/>
      <c r="U42" s="243" t="n"/>
      <c r="V42" s="229" t="n"/>
      <c r="W42" s="242" t="n"/>
      <c r="X42" s="242" t="n"/>
      <c r="Y42" s="185">
        <f>VLOOKUP(F41,'DATA BASE'!A:I,2,FALSE)</f>
        <v/>
      </c>
      <c r="Z42" s="230" t="n"/>
      <c r="AA42" s="231" t="n"/>
      <c r="AB42" s="232">
        <f>IFERROR(VLOOKUP(F41,'DATA BASE'!A:I,4,FALSE),"")</f>
        <v/>
      </c>
      <c r="AC42" s="230" t="n"/>
      <c r="AD42" s="231" t="n"/>
      <c r="AE42" s="232">
        <f>IFERROR(VLOOKUP(F41,'DATA BASE'!A:I,5,FALSE),"")</f>
        <v/>
      </c>
      <c r="AF42" s="231" t="n"/>
      <c r="AG42" s="232">
        <f>IFERROR(VLOOKUP(F41,'DATA BASE'!A:I,7,FALSE),"")</f>
        <v/>
      </c>
      <c r="AH42" s="230" t="n"/>
      <c r="AI42" s="231" t="n"/>
      <c r="AJ42" s="238" t="n"/>
      <c r="AK42" s="239" t="n"/>
    </row>
    <row r="43" ht="15.65" customHeight="1" s="7">
      <c r="A43" s="157" t="n">
        <v>18</v>
      </c>
      <c r="B43" s="158" t="inlineStr">
        <is>
          <t>F</t>
        </is>
      </c>
      <c r="C43" s="152" t="n">
        <v>1</v>
      </c>
      <c r="D43" s="159" t="inlineStr">
        <is>
          <t>LG</t>
        </is>
      </c>
      <c r="E43" s="159" t="inlineStr">
        <is>
          <t>*0822</t>
        </is>
      </c>
      <c r="F43" s="148" t="inlineStr">
        <is>
          <t>LC BRAY</t>
        </is>
      </c>
      <c r="G43" s="228" t="n"/>
      <c r="H43" s="236" t="n"/>
      <c r="I43" s="122" t="inlineStr">
        <is>
          <t>MIDSOUTH PRODUCE</t>
        </is>
      </c>
      <c r="J43" s="240" t="n"/>
      <c r="K43" s="240" t="n"/>
      <c r="L43" s="241" t="n"/>
      <c r="M43" s="138" t="inlineStr">
        <is>
          <t>COMMERCIAL</t>
        </is>
      </c>
      <c r="N43" s="241" t="n"/>
      <c r="O43" s="122" t="inlineStr">
        <is>
          <t>3521602 IN</t>
        </is>
      </c>
      <c r="P43" s="240" t="n"/>
      <c r="Q43" s="240" t="n"/>
      <c r="R43" s="240" t="n"/>
      <c r="S43" s="240" t="n"/>
      <c r="T43" s="241" t="n"/>
      <c r="U43" s="146" t="n">
        <v>7501</v>
      </c>
      <c r="V43" s="227" t="n"/>
      <c r="W43" s="152" t="n"/>
      <c r="X43" s="152" t="n"/>
      <c r="Y43" s="185" t="inlineStr">
        <is>
          <t>DAVID WILDNER</t>
        </is>
      </c>
      <c r="Z43" s="230" t="n"/>
      <c r="AA43" s="231" t="n"/>
      <c r="AB43" s="232">
        <f>IFERROR(VLOOKUP(F43,'DATA BASE'!A:I,3,FALSE),"")</f>
        <v/>
      </c>
      <c r="AC43" s="230" t="n"/>
      <c r="AD43" s="231" t="n"/>
      <c r="AE43" s="233">
        <f>IFERROR(VLOOKUP(F43,'DATA BASE'!A:I,9,FALSE),"")</f>
        <v/>
      </c>
      <c r="AF43" s="231" t="n"/>
      <c r="AG43" s="232">
        <f>IFERROR(VLOOKUP(F43,'DATA BASE'!A:I,6,FALSE),"")</f>
        <v/>
      </c>
      <c r="AH43" s="230" t="n"/>
      <c r="AI43" s="231" t="n"/>
      <c r="AJ43" s="234">
        <f>IFERROR(VLOOKUP(F43,'DATA BASE'!A:I,8,FALSE),"")</f>
        <v/>
      </c>
      <c r="AK43" s="235" t="n"/>
    </row>
    <row r="44" ht="15.65" customHeight="1" s="7">
      <c r="A44" s="242" t="n"/>
      <c r="B44" s="242" t="n"/>
      <c r="C44" s="242" t="n"/>
      <c r="D44" s="242" t="n"/>
      <c r="E44" s="242" t="n"/>
      <c r="F44" s="148" t="inlineStr">
        <is>
          <t>7174932 AL</t>
        </is>
      </c>
      <c r="G44" s="228" t="n"/>
      <c r="H44" s="236" t="n"/>
      <c r="I44" s="122" t="n">
        <v>2059284536</v>
      </c>
      <c r="J44" s="240" t="n"/>
      <c r="K44" s="240" t="n"/>
      <c r="L44" s="241" t="n"/>
      <c r="M44" s="122" t="inlineStr">
        <is>
          <t xml:space="preserve"> BOX</t>
        </is>
      </c>
      <c r="N44" s="241" t="n"/>
      <c r="O44" s="122" t="inlineStr">
        <is>
          <t>FREIGHTLINER, WHITE</t>
        </is>
      </c>
      <c r="P44" s="240" t="n"/>
      <c r="Q44" s="240" t="n"/>
      <c r="R44" s="240" t="n"/>
      <c r="S44" s="240" t="n"/>
      <c r="T44" s="241" t="n"/>
      <c r="U44" s="243" t="n"/>
      <c r="V44" s="229" t="n"/>
      <c r="W44" s="242" t="n"/>
      <c r="X44" s="242" t="n"/>
      <c r="Y44" s="185">
        <f>VLOOKUP(F43,'DATA BASE'!A:I,2,FALSE)</f>
        <v/>
      </c>
      <c r="Z44" s="230" t="n"/>
      <c r="AA44" s="231" t="n"/>
      <c r="AB44" s="232">
        <f>IFERROR(VLOOKUP(F43,'DATA BASE'!A:I,4,FALSE),"")</f>
        <v/>
      </c>
      <c r="AC44" s="230" t="n"/>
      <c r="AD44" s="231" t="n"/>
      <c r="AE44" s="232">
        <f>IFERROR(VLOOKUP(F43,'DATA BASE'!A:I,5,FALSE),"")</f>
        <v/>
      </c>
      <c r="AF44" s="231" t="n"/>
      <c r="AG44" s="232">
        <f>IFERROR(VLOOKUP(F43,'DATA BASE'!A:I,7,FALSE),"")</f>
        <v/>
      </c>
      <c r="AH44" s="230" t="n"/>
      <c r="AI44" s="231" t="n"/>
      <c r="AJ44" s="238" t="n"/>
      <c r="AK44" s="239" t="n"/>
    </row>
    <row r="45" ht="15.65" customHeight="1" s="7">
      <c r="A45" s="157" t="n">
        <v>19</v>
      </c>
      <c r="B45" s="158" t="inlineStr">
        <is>
          <t>G</t>
        </is>
      </c>
      <c r="C45" s="152" t="n">
        <v>1</v>
      </c>
      <c r="D45" s="159" t="inlineStr">
        <is>
          <t>SM</t>
        </is>
      </c>
      <c r="E45" s="159" t="inlineStr">
        <is>
          <t>*0827</t>
        </is>
      </c>
      <c r="F45" s="148" t="inlineStr">
        <is>
          <t>BENJAMIN WALKER</t>
        </is>
      </c>
      <c r="G45" s="228" t="n"/>
      <c r="H45" s="236" t="n"/>
      <c r="I45" s="122" t="inlineStr">
        <is>
          <t>POOL GEEKS</t>
        </is>
      </c>
      <c r="J45" s="240" t="n"/>
      <c r="K45" s="240" t="n"/>
      <c r="L45" s="241" t="n"/>
      <c r="M45" s="138" t="inlineStr">
        <is>
          <t xml:space="preserve">CONTRACTOR </t>
        </is>
      </c>
      <c r="N45" s="241" t="n"/>
      <c r="O45" s="122" t="inlineStr">
        <is>
          <t>SGM8699 GA</t>
        </is>
      </c>
      <c r="P45" s="240" t="n"/>
      <c r="Q45" s="240" t="n"/>
      <c r="R45" s="240" t="n"/>
      <c r="S45" s="240" t="n"/>
      <c r="T45" s="241" t="n"/>
      <c r="U45" s="146" t="inlineStr">
        <is>
          <t>HOUSING</t>
        </is>
      </c>
      <c r="V45" s="227" t="n"/>
      <c r="W45" s="152" t="n"/>
      <c r="X45" s="152" t="n"/>
      <c r="Y45" s="185" t="inlineStr">
        <is>
          <t>DAVID WILDNER</t>
        </is>
      </c>
      <c r="Z45" s="230" t="n"/>
      <c r="AA45" s="231" t="n"/>
      <c r="AB45" s="232">
        <f>IFERROR(VLOOKUP(F45,'DATA BASE'!A:I,3,FALSE),"")</f>
        <v/>
      </c>
      <c r="AC45" s="230" t="n"/>
      <c r="AD45" s="231" t="n"/>
      <c r="AE45" s="233">
        <f>IFERROR(VLOOKUP(F45,'DATA BASE'!A:I,9,FALSE),"")</f>
        <v/>
      </c>
      <c r="AF45" s="231" t="n"/>
      <c r="AG45" s="232">
        <f>IFERROR(VLOOKUP(F45,'DATA BASE'!A:I,6,FALSE),"")</f>
        <v/>
      </c>
      <c r="AH45" s="230" t="n"/>
      <c r="AI45" s="231" t="n"/>
      <c r="AJ45" s="234">
        <f>IFERROR(VLOOKUP(F45,'DATA BASE'!A:I,8,FALSE),"")</f>
        <v/>
      </c>
      <c r="AK45" s="235" t="n"/>
    </row>
    <row r="46" ht="15.65" customHeight="1" s="7">
      <c r="A46" s="242" t="n"/>
      <c r="B46" s="242" t="n"/>
      <c r="C46" s="242" t="n"/>
      <c r="D46" s="242" t="n"/>
      <c r="E46" s="242" t="n"/>
      <c r="F46" s="148" t="inlineStr">
        <is>
          <t>*057878110 GA</t>
        </is>
      </c>
      <c r="G46" s="228" t="n"/>
      <c r="H46" s="236" t="n"/>
      <c r="I46" s="122" t="n">
        <v>2294990820</v>
      </c>
      <c r="J46" s="240" t="n"/>
      <c r="K46" s="240" t="n"/>
      <c r="L46" s="241" t="n"/>
      <c r="M46" s="122" t="inlineStr">
        <is>
          <t>PU</t>
        </is>
      </c>
      <c r="N46" s="241" t="n"/>
      <c r="O46" s="122" t="inlineStr">
        <is>
          <t>WHITE FORD</t>
        </is>
      </c>
      <c r="P46" s="240" t="n"/>
      <c r="Q46" s="240" t="n"/>
      <c r="R46" s="240" t="n"/>
      <c r="S46" s="240" t="n"/>
      <c r="T46" s="241" t="n"/>
      <c r="U46" s="243" t="n"/>
      <c r="V46" s="229" t="n"/>
      <c r="W46" s="242" t="n"/>
      <c r="X46" s="242" t="n"/>
      <c r="Y46" s="185">
        <f>VLOOKUP(F45,'DATA BASE'!A:I,2,FALSE)</f>
        <v/>
      </c>
      <c r="Z46" s="230" t="n"/>
      <c r="AA46" s="231" t="n"/>
      <c r="AB46" s="232">
        <f>IFERROR(VLOOKUP(F45,'DATA BASE'!A:I,4,FALSE),"")</f>
        <v/>
      </c>
      <c r="AC46" s="230" t="n"/>
      <c r="AD46" s="231" t="n"/>
      <c r="AE46" s="232">
        <f>IFERROR(VLOOKUP(F45,'DATA BASE'!A:I,5,FALSE),"")</f>
        <v/>
      </c>
      <c r="AF46" s="231" t="n"/>
      <c r="AG46" s="232">
        <f>IFERROR(VLOOKUP(F45,'DATA BASE'!A:I,7,FALSE),"")</f>
        <v/>
      </c>
      <c r="AH46" s="230" t="n"/>
      <c r="AI46" s="231" t="n"/>
      <c r="AJ46" s="238" t="n"/>
      <c r="AK46" s="239" t="n"/>
    </row>
    <row r="47" ht="15.5" customHeight="1" s="7">
      <c r="A47" s="157" t="n">
        <v>20</v>
      </c>
      <c r="B47" s="158" t="inlineStr">
        <is>
          <t>G</t>
        </is>
      </c>
      <c r="C47" s="152" t="n">
        <v>1</v>
      </c>
      <c r="D47" s="159" t="inlineStr">
        <is>
          <t>SM</t>
        </is>
      </c>
      <c r="E47" s="159" t="inlineStr">
        <is>
          <t>*0836</t>
        </is>
      </c>
      <c r="F47" s="148" t="inlineStr">
        <is>
          <t>FRANK GRIFFIN</t>
        </is>
      </c>
      <c r="G47" s="228" t="n"/>
      <c r="H47" s="236" t="n"/>
      <c r="I47" s="122" t="inlineStr">
        <is>
          <t>EMCO SERVICES</t>
        </is>
      </c>
      <c r="J47" s="240" t="n"/>
      <c r="K47" s="240" t="n"/>
      <c r="L47" s="241" t="n"/>
      <c r="M47" s="138" t="inlineStr">
        <is>
          <t xml:space="preserve">CONTRACTOR </t>
        </is>
      </c>
      <c r="N47" s="241" t="n"/>
      <c r="O47" s="122" t="inlineStr">
        <is>
          <t>PXQK65 FL</t>
        </is>
      </c>
      <c r="P47" s="240" t="n"/>
      <c r="Q47" s="240" t="n"/>
      <c r="R47" s="240" t="n"/>
      <c r="S47" s="240" t="n"/>
      <c r="T47" s="241" t="n"/>
      <c r="U47" s="146" t="inlineStr">
        <is>
          <t>BASEWIDE</t>
        </is>
      </c>
      <c r="V47" s="227" t="n"/>
      <c r="W47" s="152" t="n"/>
      <c r="X47" s="152" t="n"/>
      <c r="Y47" s="185" t="inlineStr">
        <is>
          <t>DAVID WILDNER</t>
        </is>
      </c>
      <c r="Z47" s="230" t="n"/>
      <c r="AA47" s="231" t="n"/>
      <c r="AB47" s="232">
        <f>IFERROR(VLOOKUP(F47,'DATA BASE'!A:I,3,FALSE),"")</f>
        <v/>
      </c>
      <c r="AC47" s="230" t="n"/>
      <c r="AD47" s="231" t="n"/>
      <c r="AE47" s="233">
        <f>IFERROR(VLOOKUP(F47,'DATA BASE'!A:I,9,FALSE),"")</f>
        <v/>
      </c>
      <c r="AF47" s="231" t="n"/>
      <c r="AG47" s="232">
        <f>IFERROR(VLOOKUP(F47,'DATA BASE'!A:I,6,FALSE),"")</f>
        <v/>
      </c>
      <c r="AH47" s="230" t="n"/>
      <c r="AI47" s="231" t="n"/>
      <c r="AJ47" s="234">
        <f>IFERROR(VLOOKUP(F47,'DATA BASE'!A:I,8,FALSE),"")</f>
        <v/>
      </c>
      <c r="AK47" s="235" t="n"/>
    </row>
    <row r="48" ht="15.5" customHeight="1" s="7">
      <c r="A48" s="242" t="n"/>
      <c r="B48" s="242" t="n"/>
      <c r="C48" s="242" t="n"/>
      <c r="D48" s="242" t="n"/>
      <c r="E48" s="242" t="n"/>
      <c r="F48" s="148" t="inlineStr">
        <is>
          <t>*049722562 GA</t>
        </is>
      </c>
      <c r="G48" s="228" t="n"/>
      <c r="H48" s="236" t="n"/>
      <c r="I48" s="122" t="n">
        <v>8505144822</v>
      </c>
      <c r="J48" s="240" t="n"/>
      <c r="K48" s="240" t="n"/>
      <c r="L48" s="241" t="n"/>
      <c r="M48" s="122" t="inlineStr">
        <is>
          <t>VAN</t>
        </is>
      </c>
      <c r="N48" s="241" t="n"/>
      <c r="O48" s="122" t="inlineStr">
        <is>
          <t>FORD, WHITE</t>
        </is>
      </c>
      <c r="P48" s="240" t="n"/>
      <c r="Q48" s="240" t="n"/>
      <c r="R48" s="240" t="n"/>
      <c r="S48" s="240" t="n"/>
      <c r="T48" s="241" t="n"/>
      <c r="U48" s="243" t="n"/>
      <c r="V48" s="229" t="n"/>
      <c r="W48" s="242" t="n"/>
      <c r="X48" s="242" t="n"/>
      <c r="Y48" s="185">
        <f>VLOOKUP(F47,'DATA BASE'!A:I,2,FALSE)</f>
        <v/>
      </c>
      <c r="Z48" s="230" t="n"/>
      <c r="AA48" s="231" t="n"/>
      <c r="AB48" s="232">
        <f>IFERROR(VLOOKUP(F47,'DATA BASE'!A:I,4,FALSE),"")</f>
        <v/>
      </c>
      <c r="AC48" s="230" t="n"/>
      <c r="AD48" s="231" t="n"/>
      <c r="AE48" s="232">
        <f>IFERROR(VLOOKUP(F47,'DATA BASE'!A:I,5,FALSE),"")</f>
        <v/>
      </c>
      <c r="AF48" s="231" t="n"/>
      <c r="AG48" s="232">
        <f>IFERROR(VLOOKUP(F47,'DATA BASE'!A:I,7,FALSE),"")</f>
        <v/>
      </c>
      <c r="AH48" s="230" t="n"/>
      <c r="AI48" s="231" t="n"/>
      <c r="AJ48" s="238" t="n"/>
      <c r="AK48" s="239" t="n"/>
    </row>
    <row r="49" ht="15.5" customHeight="1" s="7">
      <c r="A49" s="157" t="n">
        <v>21</v>
      </c>
      <c r="B49" s="158" t="inlineStr">
        <is>
          <t>G</t>
        </is>
      </c>
      <c r="C49" s="152" t="n">
        <v>1</v>
      </c>
      <c r="D49" s="159" t="inlineStr">
        <is>
          <t>SM</t>
        </is>
      </c>
      <c r="E49" s="159" t="inlineStr">
        <is>
          <t>*0855</t>
        </is>
      </c>
      <c r="F49" s="148" t="inlineStr">
        <is>
          <t>BRYAN MERRITT</t>
        </is>
      </c>
      <c r="G49" s="228" t="n"/>
      <c r="H49" s="236" t="n"/>
      <c r="I49" s="122" t="inlineStr">
        <is>
          <t>XTREAM</t>
        </is>
      </c>
      <c r="J49" s="240" t="n"/>
      <c r="K49" s="240" t="n"/>
      <c r="L49" s="241" t="n"/>
      <c r="M49" s="138" t="inlineStr">
        <is>
          <t>CONTRACTOR</t>
        </is>
      </c>
      <c r="N49" s="241" t="n"/>
      <c r="O49" s="122" t="inlineStr">
        <is>
          <t>CLS1409 GA</t>
        </is>
      </c>
      <c r="P49" s="240" t="n"/>
      <c r="Q49" s="240" t="n"/>
      <c r="R49" s="240" t="n"/>
      <c r="S49" s="240" t="n"/>
      <c r="T49" s="241" t="n"/>
      <c r="U49" s="146" t="inlineStr">
        <is>
          <t>HOUSING</t>
        </is>
      </c>
      <c r="V49" s="227" t="n"/>
      <c r="W49" s="152" t="n"/>
      <c r="X49" s="152" t="n"/>
      <c r="Y49" s="185" t="inlineStr">
        <is>
          <t>DAVID WILDNER</t>
        </is>
      </c>
      <c r="Z49" s="230" t="n"/>
      <c r="AA49" s="231" t="n"/>
      <c r="AB49" s="232">
        <f>IFERROR(VLOOKUP(F49,'DATA BASE'!A:I,3,FALSE),"")</f>
        <v/>
      </c>
      <c r="AC49" s="230" t="n"/>
      <c r="AD49" s="231" t="n"/>
      <c r="AE49" s="233">
        <f>IFERROR(VLOOKUP(F49,'DATA BASE'!A:I,9,FALSE),"")</f>
        <v/>
      </c>
      <c r="AF49" s="231" t="n"/>
      <c r="AG49" s="232">
        <f>IFERROR(VLOOKUP(F49,'DATA BASE'!A:I,6,FALSE),"")</f>
        <v/>
      </c>
      <c r="AH49" s="230" t="n"/>
      <c r="AI49" s="231" t="n"/>
      <c r="AJ49" s="234">
        <f>IFERROR(VLOOKUP(F49,'DATA BASE'!A:I,8,FALSE),"")</f>
        <v/>
      </c>
      <c r="AK49" s="235" t="n"/>
    </row>
    <row r="50" ht="15.5" customHeight="1" s="7">
      <c r="A50" s="242" t="n"/>
      <c r="B50" s="242" t="n"/>
      <c r="C50" s="242" t="n"/>
      <c r="D50" s="242" t="n"/>
      <c r="E50" s="242" t="n"/>
      <c r="F50" s="148" t="inlineStr">
        <is>
          <t>055072118 GA</t>
        </is>
      </c>
      <c r="G50" s="228" t="n"/>
      <c r="H50" s="236" t="n"/>
      <c r="I50" s="122" t="n">
        <v>2298811184</v>
      </c>
      <c r="J50" s="240" t="n"/>
      <c r="K50" s="240" t="n"/>
      <c r="L50" s="241" t="n"/>
      <c r="M50" s="122" t="inlineStr">
        <is>
          <t>VAN</t>
        </is>
      </c>
      <c r="N50" s="241" t="n"/>
      <c r="O50" s="122" t="inlineStr">
        <is>
          <t>WHITE FORD</t>
        </is>
      </c>
      <c r="P50" s="240" t="n"/>
      <c r="Q50" s="240" t="n"/>
      <c r="R50" s="240" t="n"/>
      <c r="S50" s="240" t="n"/>
      <c r="T50" s="241" t="n"/>
      <c r="U50" s="243" t="n"/>
      <c r="V50" s="229" t="n"/>
      <c r="W50" s="242" t="n"/>
      <c r="X50" s="242" t="n"/>
      <c r="Y50" s="185">
        <f>VLOOKUP(F49,'DATA BASE'!A:I,2,FALSE)</f>
        <v/>
      </c>
      <c r="Z50" s="230" t="n"/>
      <c r="AA50" s="231" t="n"/>
      <c r="AB50" s="232">
        <f>IFERROR(VLOOKUP(F49,'DATA BASE'!A:I,4,FALSE),"")</f>
        <v/>
      </c>
      <c r="AC50" s="230" t="n"/>
      <c r="AD50" s="231" t="n"/>
      <c r="AE50" s="232">
        <f>IFERROR(VLOOKUP(F49,'DATA BASE'!A:I,5,FALSE),"")</f>
        <v/>
      </c>
      <c r="AF50" s="231" t="n"/>
      <c r="AG50" s="232">
        <f>IFERROR(VLOOKUP(F49,'DATA BASE'!A:I,7,FALSE),"")</f>
        <v/>
      </c>
      <c r="AH50" s="230" t="n"/>
      <c r="AI50" s="231" t="n"/>
      <c r="AJ50" s="238" t="n"/>
      <c r="AK50" s="239" t="n"/>
    </row>
    <row r="51" ht="15.65" customHeight="1" s="7">
      <c r="A51" s="157" t="n">
        <v>22</v>
      </c>
      <c r="B51" s="158" t="inlineStr">
        <is>
          <t>G</t>
        </is>
      </c>
      <c r="C51" s="152" t="n">
        <v>1</v>
      </c>
      <c r="D51" s="159" t="inlineStr">
        <is>
          <t>LG</t>
        </is>
      </c>
      <c r="E51" s="159" t="inlineStr">
        <is>
          <t>*0857</t>
        </is>
      </c>
      <c r="F51" s="148" t="inlineStr">
        <is>
          <t xml:space="preserve">BRAD STAFFORD </t>
        </is>
      </c>
      <c r="G51" s="228" t="n"/>
      <c r="H51" s="236" t="n"/>
      <c r="I51" s="122" t="inlineStr">
        <is>
          <t>BLUE BELL</t>
        </is>
      </c>
      <c r="J51" s="240" t="n"/>
      <c r="K51" s="240" t="n"/>
      <c r="L51" s="241" t="n"/>
      <c r="M51" s="138" t="inlineStr">
        <is>
          <t>COMMERCIAL</t>
        </is>
      </c>
      <c r="N51" s="241" t="n"/>
      <c r="O51" s="122" t="inlineStr">
        <is>
          <t>K078831 TX</t>
        </is>
      </c>
      <c r="P51" s="240" t="n"/>
      <c r="Q51" s="240" t="n"/>
      <c r="R51" s="240" t="n"/>
      <c r="S51" s="240" t="n"/>
      <c r="T51" s="241" t="n"/>
      <c r="U51" s="146" t="n">
        <v>7501</v>
      </c>
      <c r="V51" s="227" t="n"/>
      <c r="W51" s="152" t="n"/>
      <c r="X51" s="152" t="n"/>
      <c r="Y51" s="185" t="inlineStr">
        <is>
          <t>DAVID WILDNER</t>
        </is>
      </c>
      <c r="Z51" s="230" t="n"/>
      <c r="AA51" s="231" t="n"/>
      <c r="AB51" s="232">
        <f>IFERROR(VLOOKUP(F51,'DATA BASE'!A:I,3,FALSE),"")</f>
        <v/>
      </c>
      <c r="AC51" s="230" t="n"/>
      <c r="AD51" s="231" t="n"/>
      <c r="AE51" s="233">
        <f>IFERROR(VLOOKUP(F51,'DATA BASE'!A:I,9,FALSE),"")</f>
        <v/>
      </c>
      <c r="AF51" s="231" t="n"/>
      <c r="AG51" s="232">
        <f>IFERROR(VLOOKUP(F51,'DATA BASE'!A:I,6,FALSE),"")</f>
        <v/>
      </c>
      <c r="AH51" s="230" t="n"/>
      <c r="AI51" s="231" t="n"/>
      <c r="AJ51" s="234">
        <f>IFERROR(VLOOKUP(F51,'DATA BASE'!A:I,8,FALSE),"")</f>
        <v/>
      </c>
      <c r="AK51" s="235" t="n"/>
    </row>
    <row r="52" ht="15.65" customHeight="1" s="7">
      <c r="A52" s="242" t="n"/>
      <c r="B52" s="242" t="n"/>
      <c r="C52" s="242" t="n"/>
      <c r="D52" s="242" t="n"/>
      <c r="E52" s="242" t="n"/>
      <c r="F52" s="148" t="inlineStr">
        <is>
          <t>S316076621440 FL</t>
        </is>
      </c>
      <c r="G52" s="228" t="n"/>
      <c r="H52" s="236" t="n"/>
      <c r="I52" s="122" t="n">
        <v>8505106018</v>
      </c>
      <c r="J52" s="240" t="n"/>
      <c r="K52" s="240" t="n"/>
      <c r="L52" s="241" t="n"/>
      <c r="M52" s="122" t="inlineStr">
        <is>
          <t>BOX</t>
        </is>
      </c>
      <c r="N52" s="241" t="n"/>
      <c r="O52" s="122" t="inlineStr">
        <is>
          <t>WHITE FL</t>
        </is>
      </c>
      <c r="P52" s="240" t="n"/>
      <c r="Q52" s="240" t="n"/>
      <c r="R52" s="240" t="n"/>
      <c r="S52" s="240" t="n"/>
      <c r="T52" s="241" t="n"/>
      <c r="U52" s="243" t="n"/>
      <c r="V52" s="229" t="n"/>
      <c r="W52" s="242" t="n"/>
      <c r="X52" s="242" t="n"/>
      <c r="Y52" s="185">
        <f>VLOOKUP(F51,'DATA BASE'!A:I,2,FALSE)</f>
        <v/>
      </c>
      <c r="Z52" s="230" t="n"/>
      <c r="AA52" s="231" t="n"/>
      <c r="AB52" s="232">
        <f>IFERROR(VLOOKUP(F51,'DATA BASE'!A:I,4,FALSE),"")</f>
        <v/>
      </c>
      <c r="AC52" s="230" t="n"/>
      <c r="AD52" s="231" t="n"/>
      <c r="AE52" s="232">
        <f>IFERROR(VLOOKUP(F51,'DATA BASE'!A:I,5,FALSE),"")</f>
        <v/>
      </c>
      <c r="AF52" s="231" t="n"/>
      <c r="AG52" s="232">
        <f>IFERROR(VLOOKUP(F51,'DATA BASE'!A:I,7,FALSE),"")</f>
        <v/>
      </c>
      <c r="AH52" s="230" t="n"/>
      <c r="AI52" s="231" t="n"/>
      <c r="AJ52" s="238" t="n"/>
      <c r="AK52" s="239" t="n"/>
    </row>
    <row r="53" ht="15.65" customHeight="1" s="7">
      <c r="A53" s="157" t="n">
        <v>23</v>
      </c>
      <c r="B53" s="158" t="inlineStr">
        <is>
          <t>G</t>
        </is>
      </c>
      <c r="C53" s="152" t="n">
        <v>1</v>
      </c>
      <c r="D53" s="159" t="inlineStr">
        <is>
          <t>SM</t>
        </is>
      </c>
      <c r="E53" s="159" t="inlineStr">
        <is>
          <t>*0923</t>
        </is>
      </c>
      <c r="F53" s="148" t="inlineStr">
        <is>
          <t>SHANE BOYER</t>
        </is>
      </c>
      <c r="G53" s="228" t="n"/>
      <c r="H53" s="236" t="n"/>
      <c r="I53" s="122" t="inlineStr">
        <is>
          <t>PEPI</t>
        </is>
      </c>
      <c r="J53" s="240" t="n"/>
      <c r="K53" s="240" t="n"/>
      <c r="L53" s="241" t="n"/>
      <c r="M53" s="138" t="inlineStr">
        <is>
          <t>CONTRACTOR</t>
        </is>
      </c>
      <c r="N53" s="241" t="n"/>
      <c r="O53" s="122" t="inlineStr">
        <is>
          <t>38A4RB3 AL</t>
        </is>
      </c>
      <c r="P53" s="240" t="n"/>
      <c r="Q53" s="240" t="n"/>
      <c r="R53" s="240" t="n"/>
      <c r="S53" s="240" t="n"/>
      <c r="T53" s="241" t="n"/>
      <c r="U53" s="146" t="n">
        <v>2200</v>
      </c>
      <c r="V53" s="227" t="n"/>
      <c r="W53" s="152" t="n"/>
      <c r="X53" s="152" t="n"/>
      <c r="Y53" s="185" t="inlineStr">
        <is>
          <t>DAVID WILDNER</t>
        </is>
      </c>
      <c r="Z53" s="230" t="n"/>
      <c r="AA53" s="231" t="n"/>
      <c r="AB53" s="232">
        <f>IFERROR(VLOOKUP(F53,'DATA BASE'!A:I,3,FALSE),"")</f>
        <v/>
      </c>
      <c r="AC53" s="230" t="n"/>
      <c r="AD53" s="231" t="n"/>
      <c r="AE53" s="233">
        <f>IFERROR(VLOOKUP(F53,'DATA BASE'!A:I,9,FALSE),"")</f>
        <v/>
      </c>
      <c r="AF53" s="231" t="n"/>
      <c r="AG53" s="232">
        <f>IFERROR(VLOOKUP(F53,'DATA BASE'!A:I,6,FALSE),"")</f>
        <v/>
      </c>
      <c r="AH53" s="230" t="n"/>
      <c r="AI53" s="231" t="n"/>
      <c r="AJ53" s="234">
        <f>IFERROR(VLOOKUP(F53,'DATA BASE'!A:I,8,FALSE),"")</f>
        <v/>
      </c>
      <c r="AK53" s="235" t="n"/>
    </row>
    <row r="54" ht="15.65" customHeight="1" s="7">
      <c r="A54" s="242" t="n"/>
      <c r="B54" s="242" t="n"/>
      <c r="C54" s="242" t="n"/>
      <c r="D54" s="242" t="n"/>
      <c r="E54" s="242" t="n"/>
      <c r="F54" s="148" t="inlineStr">
        <is>
          <t>B238849634000 FL</t>
        </is>
      </c>
      <c r="G54" s="228" t="n"/>
      <c r="H54" s="236" t="n"/>
      <c r="I54" s="122" t="n">
        <v>4077171860</v>
      </c>
      <c r="J54" s="240" t="n"/>
      <c r="K54" s="240" t="n"/>
      <c r="L54" s="241" t="n"/>
      <c r="M54" s="122" t="inlineStr">
        <is>
          <t>CAR</t>
        </is>
      </c>
      <c r="N54" s="241" t="n"/>
      <c r="O54" s="122" t="inlineStr">
        <is>
          <t>WHITE FORD</t>
        </is>
      </c>
      <c r="P54" s="240" t="n"/>
      <c r="Q54" s="240" t="n"/>
      <c r="R54" s="240" t="n"/>
      <c r="S54" s="240" t="n"/>
      <c r="T54" s="241" t="n"/>
      <c r="U54" s="243" t="n"/>
      <c r="V54" s="229" t="n"/>
      <c r="W54" s="242" t="n"/>
      <c r="X54" s="242" t="n"/>
      <c r="Y54" s="185">
        <f>VLOOKUP(F53,'DATA BASE'!A:I,2,FALSE)</f>
        <v/>
      </c>
      <c r="Z54" s="230" t="n"/>
      <c r="AA54" s="231" t="n"/>
      <c r="AB54" s="232">
        <f>IFERROR(VLOOKUP(F53,'DATA BASE'!A:I,4,FALSE),"")</f>
        <v/>
      </c>
      <c r="AC54" s="230" t="n"/>
      <c r="AD54" s="231" t="n"/>
      <c r="AE54" s="232">
        <f>IFERROR(VLOOKUP(F53,'DATA BASE'!A:I,5,FALSE),"")</f>
        <v/>
      </c>
      <c r="AF54" s="231" t="n"/>
      <c r="AG54" s="232">
        <f>IFERROR(VLOOKUP(F53,'DATA BASE'!A:I,7,FALSE),"")</f>
        <v/>
      </c>
      <c r="AH54" s="230" t="n"/>
      <c r="AI54" s="231" t="n"/>
      <c r="AJ54" s="238" t="n"/>
      <c r="AK54" s="239" t="n"/>
    </row>
    <row r="55" ht="15.5" customHeight="1" s="7">
      <c r="A55" s="157" t="n">
        <v>24</v>
      </c>
      <c r="B55" s="167" t="inlineStr">
        <is>
          <t>F</t>
        </is>
      </c>
      <c r="C55" s="166" t="n">
        <v>1</v>
      </c>
      <c r="D55" s="183" t="inlineStr">
        <is>
          <t>SM</t>
        </is>
      </c>
      <c r="E55" s="183" t="inlineStr">
        <is>
          <t>*0926</t>
        </is>
      </c>
      <c r="F55" s="148" t="inlineStr">
        <is>
          <t>COURTNEY MICHEAL</t>
        </is>
      </c>
      <c r="G55" s="228" t="n"/>
      <c r="H55" s="236" t="n"/>
      <c r="I55" s="132" t="inlineStr">
        <is>
          <t>LIMELIGHT</t>
        </is>
      </c>
      <c r="J55" s="240" t="n"/>
      <c r="K55" s="240" t="n"/>
      <c r="L55" s="241" t="n"/>
      <c r="M55" s="126" t="inlineStr">
        <is>
          <t>CONTRACTOR</t>
        </is>
      </c>
      <c r="N55" s="241" t="n"/>
      <c r="O55" s="132" t="inlineStr">
        <is>
          <t>JWLS41 FL</t>
        </is>
      </c>
      <c r="P55" s="240" t="n"/>
      <c r="Q55" s="240" t="n"/>
      <c r="R55" s="240" t="n"/>
      <c r="S55" s="240" t="n"/>
      <c r="T55" s="241" t="n"/>
      <c r="U55" s="179" t="inlineStr">
        <is>
          <t>GYM</t>
        </is>
      </c>
      <c r="V55" s="227" t="n"/>
      <c r="W55" s="152" t="n"/>
      <c r="X55" s="152" t="n"/>
      <c r="Y55" s="185" t="inlineStr">
        <is>
          <t>DAVID WILDNER</t>
        </is>
      </c>
      <c r="Z55" s="230" t="n"/>
      <c r="AA55" s="231" t="n"/>
      <c r="AB55" s="232">
        <f>IFERROR(VLOOKUP(F55,'DATA BASE'!A:I,3,FALSE),"")</f>
        <v/>
      </c>
      <c r="AC55" s="230" t="n"/>
      <c r="AD55" s="231" t="n"/>
      <c r="AE55" s="233">
        <f>IFERROR(VLOOKUP(F55,'DATA BASE'!A:I,9,FALSE),"")</f>
        <v/>
      </c>
      <c r="AF55" s="231" t="n"/>
      <c r="AG55" s="232">
        <f>IFERROR(VLOOKUP(F55,'DATA BASE'!A:I,6,FALSE),"")</f>
        <v/>
      </c>
      <c r="AH55" s="230" t="n"/>
      <c r="AI55" s="231" t="n"/>
      <c r="AJ55" s="234">
        <f>IFERROR(VLOOKUP(F55,'DATA BASE'!A:I,8,FALSE),"")</f>
        <v/>
      </c>
      <c r="AK55" s="235" t="n"/>
    </row>
    <row r="56" ht="15.5" customHeight="1" s="7">
      <c r="A56" s="242" t="n"/>
      <c r="B56" s="242" t="n"/>
      <c r="C56" s="242" t="n"/>
      <c r="D56" s="242" t="n"/>
      <c r="E56" s="242" t="n"/>
      <c r="F56" s="244" t="inlineStr">
        <is>
          <t>C635557674060 FL</t>
        </is>
      </c>
      <c r="G56" s="228" t="n"/>
      <c r="H56" s="236" t="n"/>
      <c r="I56" s="132" t="n">
        <v>8505454516</v>
      </c>
      <c r="J56" s="240" t="n"/>
      <c r="K56" s="240" t="n"/>
      <c r="L56" s="241" t="n"/>
      <c r="M56" s="132" t="inlineStr">
        <is>
          <t>PU</t>
        </is>
      </c>
      <c r="N56" s="241" t="n"/>
      <c r="O56" s="132" t="inlineStr">
        <is>
          <t>WHITE FORD</t>
        </is>
      </c>
      <c r="P56" s="240" t="n"/>
      <c r="Q56" s="240" t="n"/>
      <c r="R56" s="240" t="n"/>
      <c r="S56" s="240" t="n"/>
      <c r="T56" s="241" t="n"/>
      <c r="U56" s="243" t="n"/>
      <c r="V56" s="229" t="n"/>
      <c r="W56" s="242" t="n"/>
      <c r="X56" s="242" t="n"/>
      <c r="Y56" s="185">
        <f>VLOOKUP(F55,'DATA BASE'!A:I,2,FALSE)</f>
        <v/>
      </c>
      <c r="Z56" s="230" t="n"/>
      <c r="AA56" s="231" t="n"/>
      <c r="AB56" s="232">
        <f>IFERROR(VLOOKUP(F55,'DATA BASE'!A:I,4,FALSE),"")</f>
        <v/>
      </c>
      <c r="AC56" s="230" t="n"/>
      <c r="AD56" s="231" t="n"/>
      <c r="AE56" s="232">
        <f>IFERROR(VLOOKUP(F55,'DATA BASE'!A:I,5,FALSE),"")</f>
        <v/>
      </c>
      <c r="AF56" s="231" t="n"/>
      <c r="AG56" s="232">
        <f>IFERROR(VLOOKUP(F55,'DATA BASE'!A:I,7,FALSE),"")</f>
        <v/>
      </c>
      <c r="AH56" s="230" t="n"/>
      <c r="AI56" s="231" t="n"/>
      <c r="AJ56" s="238" t="n"/>
      <c r="AK56" s="239" t="n"/>
    </row>
    <row r="57" ht="15.65" customHeight="1" s="7">
      <c r="A57" s="157" t="n">
        <v>25</v>
      </c>
      <c r="B57" s="167" t="inlineStr">
        <is>
          <t>G</t>
        </is>
      </c>
      <c r="C57" s="166" t="n">
        <v>1</v>
      </c>
      <c r="D57" s="183" t="inlineStr">
        <is>
          <t>SM</t>
        </is>
      </c>
      <c r="E57" s="183" t="inlineStr">
        <is>
          <t>*0936</t>
        </is>
      </c>
      <c r="F57" s="148" t="inlineStr">
        <is>
          <t>JEFF FOWLER</t>
        </is>
      </c>
      <c r="G57" s="228" t="n"/>
      <c r="H57" s="236" t="n"/>
      <c r="I57" s="132" t="inlineStr">
        <is>
          <t>S&amp;S CONCRETE</t>
        </is>
      </c>
      <c r="J57" s="240" t="n"/>
      <c r="K57" s="240" t="n"/>
      <c r="L57" s="241" t="n"/>
      <c r="M57" s="126" t="inlineStr">
        <is>
          <t xml:space="preserve">CONTRACTOR </t>
        </is>
      </c>
      <c r="N57" s="241" t="n"/>
      <c r="O57" s="132" t="inlineStr">
        <is>
          <t>TCG0009 GA</t>
        </is>
      </c>
      <c r="P57" s="240" t="n"/>
      <c r="Q57" s="240" t="n"/>
      <c r="R57" s="240" t="n"/>
      <c r="S57" s="240" t="n"/>
      <c r="T57" s="241" t="n"/>
      <c r="U57" s="179" t="n">
        <v>1221</v>
      </c>
      <c r="V57" s="227" t="n"/>
      <c r="W57" s="152" t="n"/>
      <c r="X57" s="152" t="n"/>
      <c r="Y57" s="185" t="inlineStr">
        <is>
          <t>DAVID WILDNER</t>
        </is>
      </c>
      <c r="Z57" s="230" t="n"/>
      <c r="AA57" s="231" t="n"/>
      <c r="AB57" s="232">
        <f>IFERROR(VLOOKUP(F57,'DATA BASE'!A:I,3,FALSE),"")</f>
        <v/>
      </c>
      <c r="AC57" s="230" t="n"/>
      <c r="AD57" s="231" t="n"/>
      <c r="AE57" s="233">
        <f>IFERROR(VLOOKUP(F57,'DATA BASE'!A:I,9,FALSE),"")</f>
        <v/>
      </c>
      <c r="AF57" s="231" t="n"/>
      <c r="AG57" s="232">
        <f>IFERROR(VLOOKUP(F57,'DATA BASE'!A:I,6,FALSE),"")</f>
        <v/>
      </c>
      <c r="AH57" s="230" t="n"/>
      <c r="AI57" s="231" t="n"/>
      <c r="AJ57" s="234">
        <f>IFERROR(VLOOKUP(F57,'DATA BASE'!A:I,8,FALSE),"")</f>
        <v/>
      </c>
      <c r="AK57" s="235" t="n"/>
    </row>
    <row r="58" ht="15.65" customHeight="1" s="7">
      <c r="A58" s="242" t="n"/>
      <c r="B58" s="242" t="n"/>
      <c r="C58" s="242" t="n"/>
      <c r="D58" s="242" t="n"/>
      <c r="E58" s="242" t="n"/>
      <c r="F58" s="244" t="inlineStr">
        <is>
          <t>*054094646 GA</t>
        </is>
      </c>
      <c r="G58" s="228" t="n"/>
      <c r="H58" s="236" t="n"/>
      <c r="I58" s="132" t="n">
        <v>2294388566</v>
      </c>
      <c r="J58" s="240" t="n"/>
      <c r="K58" s="240" t="n"/>
      <c r="L58" s="241" t="n"/>
      <c r="M58" s="132" t="inlineStr">
        <is>
          <t>PU</t>
        </is>
      </c>
      <c r="N58" s="241" t="n"/>
      <c r="O58" s="132" t="inlineStr">
        <is>
          <t>DODGE, WHITE</t>
        </is>
      </c>
      <c r="P58" s="240" t="n"/>
      <c r="Q58" s="240" t="n"/>
      <c r="R58" s="240" t="n"/>
      <c r="S58" s="240" t="n"/>
      <c r="T58" s="241" t="n"/>
      <c r="U58" s="243" t="n"/>
      <c r="V58" s="229" t="n"/>
      <c r="W58" s="242" t="n"/>
      <c r="X58" s="242" t="n"/>
      <c r="Y58" s="185">
        <f>VLOOKUP(F57,'DATA BASE'!A:I,2,FALSE)</f>
        <v/>
      </c>
      <c r="Z58" s="230" t="n"/>
      <c r="AA58" s="231" t="n"/>
      <c r="AB58" s="232">
        <f>IFERROR(VLOOKUP(F57,'DATA BASE'!A:I,4,FALSE),"")</f>
        <v/>
      </c>
      <c r="AC58" s="230" t="n"/>
      <c r="AD58" s="231" t="n"/>
      <c r="AE58" s="232">
        <f>IFERROR(VLOOKUP(F57,'DATA BASE'!A:I,5,FALSE),"")</f>
        <v/>
      </c>
      <c r="AF58" s="231" t="n"/>
      <c r="AG58" s="232">
        <f>IFERROR(VLOOKUP(F57,'DATA BASE'!A:I,7,FALSE),"")</f>
        <v/>
      </c>
      <c r="AH58" s="230" t="n"/>
      <c r="AI58" s="231" t="n"/>
      <c r="AJ58" s="238" t="n"/>
      <c r="AK58" s="239" t="n"/>
    </row>
    <row r="59" ht="15.5" customHeight="1" s="7">
      <c r="A59" s="157" t="n">
        <v>26</v>
      </c>
      <c r="B59" s="158" t="inlineStr">
        <is>
          <t>G</t>
        </is>
      </c>
      <c r="C59" s="152" t="n">
        <v>1</v>
      </c>
      <c r="D59" s="159" t="inlineStr">
        <is>
          <t>LG</t>
        </is>
      </c>
      <c r="E59" s="159" t="inlineStr">
        <is>
          <t>*0948</t>
        </is>
      </c>
      <c r="F59" s="148" t="inlineStr">
        <is>
          <t>KHALIF COLLIER</t>
        </is>
      </c>
      <c r="G59" s="228" t="n"/>
      <c r="H59" s="236" t="n"/>
      <c r="I59" s="122" t="inlineStr">
        <is>
          <t>FEDEX</t>
        </is>
      </c>
      <c r="J59" s="240" t="n"/>
      <c r="K59" s="240" t="n"/>
      <c r="L59" s="241" t="n"/>
      <c r="M59" s="138" t="inlineStr">
        <is>
          <t xml:space="preserve">CONTRACTOR </t>
        </is>
      </c>
      <c r="N59" s="241" t="n"/>
      <c r="O59" s="122" t="inlineStr">
        <is>
          <t>SPDWAGN GA</t>
        </is>
      </c>
      <c r="P59" s="240" t="n"/>
      <c r="Q59" s="240" t="n"/>
      <c r="R59" s="240" t="n"/>
      <c r="S59" s="240" t="n"/>
      <c r="T59" s="241" t="n"/>
      <c r="U59" s="146" t="inlineStr">
        <is>
          <t>BASEWIDE</t>
        </is>
      </c>
      <c r="V59" s="227" t="n"/>
      <c r="W59" s="152" t="n"/>
      <c r="X59" s="152" t="n"/>
      <c r="Y59" s="185" t="inlineStr">
        <is>
          <t>DAVID WILDNER</t>
        </is>
      </c>
      <c r="Z59" s="230" t="n"/>
      <c r="AA59" s="231" t="n"/>
      <c r="AB59" s="232">
        <f>IFERROR(VLOOKUP(F59,'DATA BASE'!A:I,3,FALSE),"")</f>
        <v/>
      </c>
      <c r="AC59" s="230" t="n"/>
      <c r="AD59" s="231" t="n"/>
      <c r="AE59" s="233">
        <f>IFERROR(VLOOKUP(F59,'DATA BASE'!A:I,9,FALSE),"")</f>
        <v/>
      </c>
      <c r="AF59" s="231" t="n"/>
      <c r="AG59" s="232">
        <f>IFERROR(VLOOKUP(F59,'DATA BASE'!A:I,6,FALSE),"")</f>
        <v/>
      </c>
      <c r="AH59" s="230" t="n"/>
      <c r="AI59" s="231" t="n"/>
      <c r="AJ59" s="234">
        <f>IFERROR(VLOOKUP(F59,'DATA BASE'!A:I,8,FALSE),"")</f>
        <v/>
      </c>
      <c r="AK59" s="235" t="n"/>
    </row>
    <row r="60" ht="15.5" customHeight="1" s="7">
      <c r="A60" s="242" t="n"/>
      <c r="B60" s="242" t="n"/>
      <c r="C60" s="242" t="n"/>
      <c r="D60" s="242" t="n"/>
      <c r="E60" s="242" t="n"/>
      <c r="F60" s="148" t="inlineStr">
        <is>
          <t>*052140621 GA</t>
        </is>
      </c>
      <c r="G60" s="228" t="n"/>
      <c r="H60" s="236" t="n"/>
      <c r="I60" s="122" t="n">
        <v>2294180828</v>
      </c>
      <c r="J60" s="240" t="n"/>
      <c r="K60" s="240" t="n"/>
      <c r="L60" s="241" t="n"/>
      <c r="M60" s="122" t="inlineStr">
        <is>
          <t>VAN</t>
        </is>
      </c>
      <c r="N60" s="241" t="n"/>
      <c r="O60" s="122" t="inlineStr">
        <is>
          <t>WHITE FORD</t>
        </is>
      </c>
      <c r="P60" s="240" t="n"/>
      <c r="Q60" s="240" t="n"/>
      <c r="R60" s="240" t="n"/>
      <c r="S60" s="240" t="n"/>
      <c r="T60" s="241" t="n"/>
      <c r="U60" s="243" t="n"/>
      <c r="V60" s="229" t="n"/>
      <c r="W60" s="242" t="n"/>
      <c r="X60" s="242" t="n"/>
      <c r="Y60" s="185">
        <f>VLOOKUP(F59,'DATA BASE'!A:I,2,FALSE)</f>
        <v/>
      </c>
      <c r="Z60" s="230" t="n"/>
      <c r="AA60" s="231" t="n"/>
      <c r="AB60" s="232">
        <f>IFERROR(VLOOKUP(F59,'DATA BASE'!A:I,4,FALSE),"")</f>
        <v/>
      </c>
      <c r="AC60" s="230" t="n"/>
      <c r="AD60" s="231" t="n"/>
      <c r="AE60" s="232">
        <f>IFERROR(VLOOKUP(F59,'DATA BASE'!A:I,5,FALSE),"")</f>
        <v/>
      </c>
      <c r="AF60" s="231" t="n"/>
      <c r="AG60" s="232">
        <f>IFERROR(VLOOKUP(F59,'DATA BASE'!A:I,7,FALSE),"")</f>
        <v/>
      </c>
      <c r="AH60" s="230" t="n"/>
      <c r="AI60" s="231" t="n"/>
      <c r="AJ60" s="238" t="n"/>
      <c r="AK60" s="239" t="n"/>
    </row>
    <row r="61" ht="15.65" customHeight="1" s="7">
      <c r="A61" s="157" t="n">
        <v>27</v>
      </c>
      <c r="B61" s="158" t="inlineStr">
        <is>
          <t>G</t>
        </is>
      </c>
      <c r="C61" s="152" t="n">
        <v>6</v>
      </c>
      <c r="D61" s="159" t="inlineStr">
        <is>
          <t>LG</t>
        </is>
      </c>
      <c r="E61" s="159" t="inlineStr">
        <is>
          <t>*0952</t>
        </is>
      </c>
      <c r="F61" s="148" t="inlineStr">
        <is>
          <t>BEANNA WARD</t>
        </is>
      </c>
      <c r="G61" s="228" t="n"/>
      <c r="H61" s="236" t="n"/>
      <c r="I61" s="122" t="inlineStr">
        <is>
          <t>SOUTHWEST</t>
        </is>
      </c>
      <c r="J61" s="240" t="n"/>
      <c r="K61" s="240" t="n"/>
      <c r="L61" s="241" t="n"/>
      <c r="M61" s="138" t="inlineStr">
        <is>
          <t>COMMERCIAL</t>
        </is>
      </c>
      <c r="N61" s="241" t="n"/>
      <c r="O61" s="122" t="inlineStr">
        <is>
          <t>GV0534T GA</t>
        </is>
      </c>
      <c r="P61" s="240" t="n"/>
      <c r="Q61" s="240" t="n"/>
      <c r="R61" s="240" t="n"/>
      <c r="S61" s="240" t="n"/>
      <c r="T61" s="241" t="n"/>
      <c r="U61" s="146" t="inlineStr">
        <is>
          <t>BASEWIDE</t>
        </is>
      </c>
      <c r="V61" s="227" t="n"/>
      <c r="W61" s="152" t="n"/>
      <c r="X61" s="152" t="n"/>
      <c r="Y61" s="185" t="inlineStr">
        <is>
          <t>DAVID WILDNER</t>
        </is>
      </c>
      <c r="Z61" s="230" t="n"/>
      <c r="AA61" s="231" t="n"/>
      <c r="AB61" s="232">
        <f>IFERROR(VLOOKUP(F61,'DATA BASE'!A:I,3,FALSE),"")</f>
        <v/>
      </c>
      <c r="AC61" s="230" t="n"/>
      <c r="AD61" s="231" t="n"/>
      <c r="AE61" s="233">
        <f>IFERROR(VLOOKUP(F61,'DATA BASE'!A:I,9,FALSE),"")</f>
        <v/>
      </c>
      <c r="AF61" s="231" t="n"/>
      <c r="AG61" s="232">
        <f>IFERROR(VLOOKUP(F61,'DATA BASE'!A:I,6,FALSE),"")</f>
        <v/>
      </c>
      <c r="AH61" s="230" t="n"/>
      <c r="AI61" s="231" t="n"/>
      <c r="AJ61" s="234">
        <f>IFERROR(VLOOKUP(F61,'DATA BASE'!A:I,8,FALSE),"")</f>
        <v/>
      </c>
      <c r="AK61" s="235" t="n"/>
    </row>
    <row r="62" ht="15.65" customHeight="1" s="7">
      <c r="A62" s="242" t="n"/>
      <c r="B62" s="242" t="n"/>
      <c r="C62" s="242" t="n"/>
      <c r="D62" s="242" t="n"/>
      <c r="E62" s="242" t="n"/>
      <c r="F62" s="148" t="inlineStr">
        <is>
          <t>050470646 GA</t>
        </is>
      </c>
      <c r="G62" s="228" t="n"/>
      <c r="H62" s="236" t="n"/>
      <c r="I62" s="122" t="n">
        <v>2297335335</v>
      </c>
      <c r="J62" s="240" t="n"/>
      <c r="K62" s="240" t="n"/>
      <c r="L62" s="241" t="n"/>
      <c r="M62" s="122" t="inlineStr">
        <is>
          <t>VAN</t>
        </is>
      </c>
      <c r="N62" s="241" t="n"/>
      <c r="O62" s="122" t="inlineStr">
        <is>
          <t>WHITE TRANSIT</t>
        </is>
      </c>
      <c r="P62" s="240" t="n"/>
      <c r="Q62" s="240" t="n"/>
      <c r="R62" s="240" t="n"/>
      <c r="S62" s="240" t="n"/>
      <c r="T62" s="241" t="n"/>
      <c r="U62" s="243" t="n"/>
      <c r="V62" s="229" t="n"/>
      <c r="W62" s="242" t="n"/>
      <c r="X62" s="242" t="n"/>
      <c r="Y62" s="185">
        <f>VLOOKUP(F61,'DATA BASE'!A:I,2,FALSE)</f>
        <v/>
      </c>
      <c r="Z62" s="230" t="n"/>
      <c r="AA62" s="231" t="n"/>
      <c r="AB62" s="232">
        <f>IFERROR(VLOOKUP(F61,'DATA BASE'!A:I,4,FALSE),"")</f>
        <v/>
      </c>
      <c r="AC62" s="230" t="n"/>
      <c r="AD62" s="231" t="n"/>
      <c r="AE62" s="232">
        <f>IFERROR(VLOOKUP(F61,'DATA BASE'!A:I,5,FALSE),"")</f>
        <v/>
      </c>
      <c r="AF62" s="231" t="n"/>
      <c r="AG62" s="232">
        <f>IFERROR(VLOOKUP(F61,'DATA BASE'!A:I,7,FALSE),"")</f>
        <v/>
      </c>
      <c r="AH62" s="230" t="n"/>
      <c r="AI62" s="231" t="n"/>
      <c r="AJ62" s="238" t="n"/>
      <c r="AK62" s="239" t="n"/>
    </row>
    <row r="63" ht="15.65" customHeight="1" s="7">
      <c r="A63" s="157" t="n">
        <v>28</v>
      </c>
      <c r="B63" s="158" t="inlineStr">
        <is>
          <t>G</t>
        </is>
      </c>
      <c r="C63" s="152" t="n">
        <v>1</v>
      </c>
      <c r="D63" s="159" t="inlineStr">
        <is>
          <t>LG</t>
        </is>
      </c>
      <c r="E63" s="159" t="n">
        <v>1022</v>
      </c>
      <c r="F63" s="148" t="inlineStr">
        <is>
          <t>JEREMY BONNER</t>
        </is>
      </c>
      <c r="G63" s="228" t="n"/>
      <c r="H63" s="236" t="n"/>
      <c r="I63" s="122" t="inlineStr">
        <is>
          <t>UPS</t>
        </is>
      </c>
      <c r="J63" s="240" t="n"/>
      <c r="K63" s="240" t="n"/>
      <c r="L63" s="241" t="n"/>
      <c r="M63" s="138" t="inlineStr">
        <is>
          <t>COMMERCIAL</t>
        </is>
      </c>
      <c r="N63" s="241" t="n"/>
      <c r="O63" s="122" t="inlineStr">
        <is>
          <t>EEP600 GA</t>
        </is>
      </c>
      <c r="P63" s="240" t="n"/>
      <c r="Q63" s="240" t="n"/>
      <c r="R63" s="240" t="n"/>
      <c r="S63" s="240" t="n"/>
      <c r="T63" s="241" t="n"/>
      <c r="U63" s="146" t="inlineStr">
        <is>
          <t>BASEWIDE</t>
        </is>
      </c>
      <c r="V63" s="227" t="n"/>
      <c r="W63" s="152" t="n"/>
      <c r="X63" s="152" t="n"/>
      <c r="Y63" s="185" t="inlineStr">
        <is>
          <t>DAVID WILDNER</t>
        </is>
      </c>
      <c r="Z63" s="230" t="n"/>
      <c r="AA63" s="231" t="n"/>
      <c r="AB63" s="232">
        <f>IFERROR(VLOOKUP(F63,'DATA BASE'!A:I,3,FALSE),"")</f>
        <v/>
      </c>
      <c r="AC63" s="230" t="n"/>
      <c r="AD63" s="231" t="n"/>
      <c r="AE63" s="233">
        <f>IFERROR(VLOOKUP(F63,'DATA BASE'!A:I,9,FALSE),"")</f>
        <v/>
      </c>
      <c r="AF63" s="231" t="n"/>
      <c r="AG63" s="232">
        <f>IFERROR(VLOOKUP(F63,'DATA BASE'!A:I,6,FALSE),"")</f>
        <v/>
      </c>
      <c r="AH63" s="230" t="n"/>
      <c r="AI63" s="231" t="n"/>
      <c r="AJ63" s="234">
        <f>IFERROR(VLOOKUP(F63,'DATA BASE'!A:I,8,FALSE),"")</f>
        <v/>
      </c>
      <c r="AK63" s="235" t="n"/>
    </row>
    <row r="64" ht="15.65" customHeight="1" s="7">
      <c r="A64" s="242" t="n"/>
      <c r="B64" s="242" t="n"/>
      <c r="C64" s="242" t="n"/>
      <c r="D64" s="242" t="n"/>
      <c r="E64" s="242" t="n"/>
      <c r="F64" s="148" t="inlineStr">
        <is>
          <t>*056436909 GA</t>
        </is>
      </c>
      <c r="G64" s="228" t="n"/>
      <c r="H64" s="236" t="n"/>
      <c r="I64" s="122" t="n">
        <v>2292911395</v>
      </c>
      <c r="J64" s="240" t="n"/>
      <c r="K64" s="240" t="n"/>
      <c r="L64" s="241" t="n"/>
      <c r="M64" s="122" t="inlineStr">
        <is>
          <t>VAN</t>
        </is>
      </c>
      <c r="N64" s="241" t="n"/>
      <c r="O64" s="122" t="inlineStr">
        <is>
          <t>BROWN FREIGHTLINER</t>
        </is>
      </c>
      <c r="P64" s="240" t="n"/>
      <c r="Q64" s="240" t="n"/>
      <c r="R64" s="240" t="n"/>
      <c r="S64" s="240" t="n"/>
      <c r="T64" s="241" t="n"/>
      <c r="U64" s="243" t="n"/>
      <c r="V64" s="229" t="n"/>
      <c r="W64" s="242" t="n"/>
      <c r="X64" s="242" t="n"/>
      <c r="Y64" s="185">
        <f>VLOOKUP(F63,'DATA BASE'!A:I,2,FALSE)</f>
        <v/>
      </c>
      <c r="Z64" s="230" t="n"/>
      <c r="AA64" s="231" t="n"/>
      <c r="AB64" s="232">
        <f>IFERROR(VLOOKUP(F63,'DATA BASE'!A:I,4,FALSE),"")</f>
        <v/>
      </c>
      <c r="AC64" s="230" t="n"/>
      <c r="AD64" s="231" t="n"/>
      <c r="AE64" s="232">
        <f>IFERROR(VLOOKUP(F63,'DATA BASE'!A:I,5,FALSE),"")</f>
        <v/>
      </c>
      <c r="AF64" s="231" t="n"/>
      <c r="AG64" s="232">
        <f>IFERROR(VLOOKUP(F63,'DATA BASE'!A:I,7,FALSE),"")</f>
        <v/>
      </c>
      <c r="AH64" s="230" t="n"/>
      <c r="AI64" s="231" t="n"/>
      <c r="AJ64" s="238" t="n"/>
      <c r="AK64" s="239" t="n"/>
    </row>
    <row r="65" ht="15.5" customHeight="1" s="7">
      <c r="A65" s="157" t="n">
        <v>29</v>
      </c>
      <c r="B65" s="158" t="inlineStr">
        <is>
          <t>G</t>
        </is>
      </c>
      <c r="C65" s="152" t="n">
        <v>1</v>
      </c>
      <c r="D65" s="159" t="inlineStr">
        <is>
          <t>LG</t>
        </is>
      </c>
      <c r="E65" s="159" t="n">
        <v>1041</v>
      </c>
      <c r="F65" s="148" t="inlineStr">
        <is>
          <t>MASSEY GERALD</t>
        </is>
      </c>
      <c r="G65" s="228" t="n"/>
      <c r="H65" s="236" t="n"/>
      <c r="I65" s="122" t="inlineStr">
        <is>
          <t>SAUTI</t>
        </is>
      </c>
      <c r="J65" s="240" t="n"/>
      <c r="K65" s="240" t="n"/>
      <c r="L65" s="241" t="n"/>
      <c r="M65" s="138" t="inlineStr">
        <is>
          <t>COMMERCIAL</t>
        </is>
      </c>
      <c r="N65" s="241" t="n"/>
      <c r="O65" s="122" t="inlineStr">
        <is>
          <t>ZP75243 CA</t>
        </is>
      </c>
      <c r="P65" s="240" t="n"/>
      <c r="Q65" s="240" t="n"/>
      <c r="R65" s="240" t="n"/>
      <c r="S65" s="240" t="n"/>
      <c r="T65" s="241" t="n"/>
      <c r="U65" s="146" t="n">
        <v>1221</v>
      </c>
      <c r="V65" s="227" t="n"/>
      <c r="W65" s="152" t="n"/>
      <c r="X65" s="152" t="n"/>
      <c r="Y65" s="185" t="inlineStr">
        <is>
          <t>DAVID WILDNER</t>
        </is>
      </c>
      <c r="Z65" s="230" t="n"/>
      <c r="AA65" s="231" t="n"/>
      <c r="AB65" s="232">
        <f>IFERROR(VLOOKUP(F65,'DATA BASE'!A:I,3,FALSE),"")</f>
        <v/>
      </c>
      <c r="AC65" s="230" t="n"/>
      <c r="AD65" s="231" t="n"/>
      <c r="AE65" s="233">
        <f>IFERROR(VLOOKUP(F65,'DATA BASE'!A:I,9,FALSE),"")</f>
        <v/>
      </c>
      <c r="AF65" s="231" t="n"/>
      <c r="AG65" s="232">
        <f>IFERROR(VLOOKUP(F65,'DATA BASE'!A:I,6,FALSE),"")</f>
        <v/>
      </c>
      <c r="AH65" s="230" t="n"/>
      <c r="AI65" s="231" t="n"/>
      <c r="AJ65" s="234">
        <f>IFERROR(VLOOKUP(F65,'DATA BASE'!A:I,8,FALSE),"")</f>
        <v/>
      </c>
      <c r="AK65" s="235" t="n"/>
    </row>
    <row r="66" ht="15.5" customHeight="1" s="7">
      <c r="A66" s="242" t="n"/>
      <c r="B66" s="242" t="n"/>
      <c r="C66" s="242" t="n"/>
      <c r="D66" s="242" t="n"/>
      <c r="E66" s="242" t="n"/>
      <c r="F66" s="148" t="inlineStr">
        <is>
          <t>C4267445 CA</t>
        </is>
      </c>
      <c r="G66" s="228" t="n"/>
      <c r="H66" s="236" t="n"/>
      <c r="I66" s="122" t="n">
        <v>9515073238</v>
      </c>
      <c r="J66" s="240" t="n"/>
      <c r="K66" s="240" t="n"/>
      <c r="L66" s="241" t="n"/>
      <c r="M66" s="122" t="inlineStr">
        <is>
          <t>BOX</t>
        </is>
      </c>
      <c r="N66" s="241" t="n"/>
      <c r="O66" s="122" t="inlineStr">
        <is>
          <t>RED KENWORTH</t>
        </is>
      </c>
      <c r="P66" s="240" t="n"/>
      <c r="Q66" s="240" t="n"/>
      <c r="R66" s="240" t="n"/>
      <c r="S66" s="240" t="n"/>
      <c r="T66" s="241" t="n"/>
      <c r="U66" s="243" t="n"/>
      <c r="V66" s="229" t="n"/>
      <c r="W66" s="242" t="n"/>
      <c r="X66" s="242" t="n"/>
      <c r="Y66" s="185">
        <f>VLOOKUP(F65,'DATA BASE'!A:I,2,FALSE)</f>
        <v/>
      </c>
      <c r="Z66" s="230" t="n"/>
      <c r="AA66" s="231" t="n"/>
      <c r="AB66" s="232">
        <f>IFERROR(VLOOKUP(F65,'DATA BASE'!A:I,4,FALSE),"")</f>
        <v/>
      </c>
      <c r="AC66" s="230" t="n"/>
      <c r="AD66" s="231" t="n"/>
      <c r="AE66" s="232">
        <f>IFERROR(VLOOKUP(F65,'DATA BASE'!A:I,5,FALSE),"")</f>
        <v/>
      </c>
      <c r="AF66" s="231" t="n"/>
      <c r="AG66" s="232">
        <f>IFERROR(VLOOKUP(F65,'DATA BASE'!A:I,7,FALSE),"")</f>
        <v/>
      </c>
      <c r="AH66" s="230" t="n"/>
      <c r="AI66" s="231" t="n"/>
      <c r="AJ66" s="238" t="n"/>
      <c r="AK66" s="239" t="n"/>
    </row>
    <row r="67" ht="15.5" customHeight="1" s="7">
      <c r="A67" s="157" t="n">
        <v>30</v>
      </c>
      <c r="B67" s="158" t="inlineStr">
        <is>
          <t>F</t>
        </is>
      </c>
      <c r="C67" s="152" t="n">
        <v>1</v>
      </c>
      <c r="D67" s="159" t="inlineStr">
        <is>
          <t>SM</t>
        </is>
      </c>
      <c r="E67" s="159" t="n">
        <v>1045</v>
      </c>
      <c r="F67" s="148" t="inlineStr">
        <is>
          <t>JOSEPH PERRY</t>
        </is>
      </c>
      <c r="G67" s="228" t="n"/>
      <c r="H67" s="236" t="n"/>
      <c r="I67" s="122" t="inlineStr">
        <is>
          <t>EMCO SERVICES</t>
        </is>
      </c>
      <c r="J67" s="240" t="n"/>
      <c r="K67" s="240" t="n"/>
      <c r="L67" s="241" t="n"/>
      <c r="M67" s="138" t="inlineStr">
        <is>
          <t xml:space="preserve">CONTRACTOR </t>
        </is>
      </c>
      <c r="N67" s="241" t="n"/>
      <c r="O67" s="122" t="inlineStr">
        <is>
          <t>PXQK65 FL</t>
        </is>
      </c>
      <c r="P67" s="240" t="n"/>
      <c r="Q67" s="240" t="n"/>
      <c r="R67" s="240" t="n"/>
      <c r="S67" s="240" t="n"/>
      <c r="T67" s="241" t="n"/>
      <c r="U67" s="146" t="inlineStr">
        <is>
          <t>BASEWIDE</t>
        </is>
      </c>
      <c r="V67" s="227" t="n"/>
      <c r="W67" s="152" t="n"/>
      <c r="X67" s="152" t="n"/>
      <c r="Y67" s="185" t="inlineStr">
        <is>
          <t>DAVID WILDNER</t>
        </is>
      </c>
      <c r="Z67" s="230" t="n"/>
      <c r="AA67" s="231" t="n"/>
      <c r="AB67" s="232">
        <f>IFERROR(VLOOKUP(F67,'DATA BASE'!A:I,3,FALSE),"")</f>
        <v/>
      </c>
      <c r="AC67" s="230" t="n"/>
      <c r="AD67" s="231" t="n"/>
      <c r="AE67" s="233">
        <f>IFERROR(VLOOKUP(F67,'DATA BASE'!A:I,9,FALSE),"")</f>
        <v/>
      </c>
      <c r="AF67" s="231" t="n"/>
      <c r="AG67" s="232">
        <f>IFERROR(VLOOKUP(F67,'DATA BASE'!A:I,6,FALSE),"")</f>
        <v/>
      </c>
      <c r="AH67" s="230" t="n"/>
      <c r="AI67" s="231" t="n"/>
      <c r="AJ67" s="234">
        <f>IFERROR(VLOOKUP(F67,'DATA BASE'!A:I,8,FALSE),"")</f>
        <v/>
      </c>
      <c r="AK67" s="235" t="n"/>
    </row>
    <row r="68" ht="15.5" customHeight="1" s="7">
      <c r="A68" s="242" t="n"/>
      <c r="B68" s="242" t="n"/>
      <c r="C68" s="242" t="n"/>
      <c r="D68" s="242" t="n"/>
      <c r="E68" s="242" t="n"/>
      <c r="F68" s="148" t="inlineStr">
        <is>
          <t>*049722562 GA</t>
        </is>
      </c>
      <c r="G68" s="228" t="n"/>
      <c r="H68" s="236" t="n"/>
      <c r="I68" s="122" t="n">
        <v>2298696940</v>
      </c>
      <c r="J68" s="240" t="n"/>
      <c r="K68" s="240" t="n"/>
      <c r="L68" s="241" t="n"/>
      <c r="M68" s="122" t="inlineStr">
        <is>
          <t>VAN</t>
        </is>
      </c>
      <c r="N68" s="241" t="n"/>
      <c r="O68" s="122" t="inlineStr">
        <is>
          <t>FORD, WHITE</t>
        </is>
      </c>
      <c r="P68" s="240" t="n"/>
      <c r="Q68" s="240" t="n"/>
      <c r="R68" s="240" t="n"/>
      <c r="S68" s="240" t="n"/>
      <c r="T68" s="241" t="n"/>
      <c r="U68" s="243" t="n"/>
      <c r="V68" s="229" t="n"/>
      <c r="W68" s="242" t="n"/>
      <c r="X68" s="242" t="n"/>
      <c r="Y68" s="185">
        <f>VLOOKUP(F67,'DATA BASE'!A:I,2,FALSE)</f>
        <v/>
      </c>
      <c r="Z68" s="230" t="n"/>
      <c r="AA68" s="231" t="n"/>
      <c r="AB68" s="232">
        <f>IFERROR(VLOOKUP(F67,'DATA BASE'!A:I,4,FALSE),"")</f>
        <v/>
      </c>
      <c r="AC68" s="230" t="n"/>
      <c r="AD68" s="231" t="n"/>
      <c r="AE68" s="232">
        <f>IFERROR(VLOOKUP(F67,'DATA BASE'!A:I,5,FALSE),"")</f>
        <v/>
      </c>
      <c r="AF68" s="231" t="n"/>
      <c r="AG68" s="232">
        <f>IFERROR(VLOOKUP(F67,'DATA BASE'!A:I,7,FALSE),"")</f>
        <v/>
      </c>
      <c r="AH68" s="230" t="n"/>
      <c r="AI68" s="231" t="n"/>
      <c r="AJ68" s="238" t="n"/>
      <c r="AK68" s="239" t="n"/>
    </row>
    <row r="69" ht="15.5" customHeight="1" s="7">
      <c r="A69" s="157" t="n">
        <v>31</v>
      </c>
      <c r="B69" s="158" t="inlineStr">
        <is>
          <t>G</t>
        </is>
      </c>
      <c r="C69" s="152" t="n">
        <v>1</v>
      </c>
      <c r="D69" s="159" t="inlineStr">
        <is>
          <t>LG</t>
        </is>
      </c>
      <c r="E69" s="159" t="n">
        <v>1049</v>
      </c>
      <c r="F69" s="148" t="inlineStr">
        <is>
          <t>MATTHEW ROGERS</t>
        </is>
      </c>
      <c r="G69" s="228" t="n"/>
      <c r="H69" s="236" t="n"/>
      <c r="I69" s="122" t="inlineStr">
        <is>
          <t>FEDEX</t>
        </is>
      </c>
      <c r="J69" s="240" t="n"/>
      <c r="K69" s="240" t="n"/>
      <c r="L69" s="241" t="n"/>
      <c r="M69" s="138" t="inlineStr">
        <is>
          <t>COMMERICAL</t>
        </is>
      </c>
      <c r="N69" s="241" t="n"/>
      <c r="O69" s="122" t="inlineStr">
        <is>
          <t>3062840 IN</t>
        </is>
      </c>
      <c r="P69" s="240" t="n"/>
      <c r="Q69" s="240" t="n"/>
      <c r="R69" s="240" t="n"/>
      <c r="S69" s="240" t="n"/>
      <c r="T69" s="241" t="n"/>
      <c r="U69" s="146" t="n">
        <v>1220</v>
      </c>
      <c r="V69" s="227" t="n"/>
      <c r="W69" s="152" t="n"/>
      <c r="X69" s="152" t="n"/>
      <c r="Y69" s="185" t="inlineStr">
        <is>
          <t>DAVID WILDNER</t>
        </is>
      </c>
      <c r="Z69" s="230" t="n"/>
      <c r="AA69" s="231" t="n"/>
      <c r="AB69" s="232">
        <f>IFERROR(VLOOKUP(F69,'DATA BASE'!A:I,3,FALSE),"")</f>
        <v/>
      </c>
      <c r="AC69" s="230" t="n"/>
      <c r="AD69" s="231" t="n"/>
      <c r="AE69" s="233">
        <f>IFERROR(VLOOKUP(F69,'DATA BASE'!A:I,9,FALSE),"")</f>
        <v/>
      </c>
      <c r="AF69" s="231" t="n"/>
      <c r="AG69" s="232">
        <f>IFERROR(VLOOKUP(F69,'DATA BASE'!A:I,6,FALSE),"")</f>
        <v/>
      </c>
      <c r="AH69" s="230" t="n"/>
      <c r="AI69" s="231" t="n"/>
      <c r="AJ69" s="234">
        <f>IFERROR(VLOOKUP(F69,'DATA BASE'!A:I,8,FALSE),"")</f>
        <v/>
      </c>
      <c r="AK69" s="235" t="n"/>
    </row>
    <row r="70" ht="15.5" customHeight="1" s="7">
      <c r="A70" s="242" t="n"/>
      <c r="B70" s="242" t="n"/>
      <c r="C70" s="242" t="n"/>
      <c r="D70" s="242" t="n"/>
      <c r="E70" s="242" t="n"/>
      <c r="F70" s="148" t="inlineStr">
        <is>
          <t>054163783 GA</t>
        </is>
      </c>
      <c r="G70" s="228" t="n"/>
      <c r="H70" s="236" t="n"/>
      <c r="I70" s="122" t="n">
        <v>2294496110</v>
      </c>
      <c r="J70" s="240" t="n"/>
      <c r="K70" s="240" t="n"/>
      <c r="L70" s="241" t="n"/>
      <c r="M70" s="122" t="inlineStr">
        <is>
          <t>BOX</t>
        </is>
      </c>
      <c r="N70" s="241" t="n"/>
      <c r="O70" s="122" t="inlineStr">
        <is>
          <t>WHITE KENWORTH</t>
        </is>
      </c>
      <c r="P70" s="240" t="n"/>
      <c r="Q70" s="240" t="n"/>
      <c r="R70" s="240" t="n"/>
      <c r="S70" s="240" t="n"/>
      <c r="T70" s="241" t="n"/>
      <c r="U70" s="243" t="n"/>
      <c r="V70" s="229" t="n"/>
      <c r="W70" s="242" t="n"/>
      <c r="X70" s="242" t="n"/>
      <c r="Y70" s="185">
        <f>VLOOKUP(F69,'DATA BASE'!A:I,2,FALSE)</f>
        <v/>
      </c>
      <c r="Z70" s="230" t="n"/>
      <c r="AA70" s="231" t="n"/>
      <c r="AB70" s="232">
        <f>IFERROR(VLOOKUP(F69,'DATA BASE'!A:I,4,FALSE),"")</f>
        <v/>
      </c>
      <c r="AC70" s="230" t="n"/>
      <c r="AD70" s="231" t="n"/>
      <c r="AE70" s="232">
        <f>IFERROR(VLOOKUP(F69,'DATA BASE'!A:I,5,FALSE),"")</f>
        <v/>
      </c>
      <c r="AF70" s="231" t="n"/>
      <c r="AG70" s="232">
        <f>IFERROR(VLOOKUP(F69,'DATA BASE'!A:I,7,FALSE),"")</f>
        <v/>
      </c>
      <c r="AH70" s="230" t="n"/>
      <c r="AI70" s="231" t="n"/>
      <c r="AJ70" s="238" t="n"/>
      <c r="AK70" s="239" t="n"/>
    </row>
    <row r="71" ht="15.5" customHeight="1" s="7">
      <c r="A71" s="157" t="n">
        <v>32</v>
      </c>
      <c r="B71" s="158" t="inlineStr">
        <is>
          <t>G</t>
        </is>
      </c>
      <c r="C71" s="152" t="n">
        <v>1</v>
      </c>
      <c r="D71" s="159" t="inlineStr">
        <is>
          <t>LG</t>
        </is>
      </c>
      <c r="E71" s="159" t="n">
        <v>1051</v>
      </c>
      <c r="F71" s="148" t="inlineStr">
        <is>
          <t>ALLEN HAMPTON</t>
        </is>
      </c>
      <c r="G71" s="228" t="n"/>
      <c r="H71" s="236" t="n"/>
      <c r="I71" s="122" t="inlineStr">
        <is>
          <t>1ST COAST CARGO</t>
        </is>
      </c>
      <c r="J71" s="240" t="n"/>
      <c r="K71" s="240" t="n"/>
      <c r="L71" s="241" t="n"/>
      <c r="M71" s="138" t="inlineStr">
        <is>
          <t>COMMERCIAL</t>
        </is>
      </c>
      <c r="N71" s="241" t="n"/>
      <c r="O71" s="122" t="inlineStr">
        <is>
          <t>3603944 IN</t>
        </is>
      </c>
      <c r="P71" s="240" t="n"/>
      <c r="Q71" s="240" t="n"/>
      <c r="R71" s="240" t="n"/>
      <c r="S71" s="240" t="n"/>
      <c r="T71" s="241" t="n"/>
      <c r="U71" s="146" t="n">
        <v>1221</v>
      </c>
      <c r="V71" s="227" t="n"/>
      <c r="W71" s="152" t="n"/>
      <c r="X71" s="152" t="n"/>
      <c r="Y71" s="185" t="inlineStr">
        <is>
          <t>DAVID WILDNER</t>
        </is>
      </c>
      <c r="Z71" s="230" t="n"/>
      <c r="AA71" s="231" t="n"/>
      <c r="AB71" s="232">
        <f>IFERROR(VLOOKUP(F71,'DATA BASE'!A:I,3,FALSE),"")</f>
        <v/>
      </c>
      <c r="AC71" s="230" t="n"/>
      <c r="AD71" s="231" t="n"/>
      <c r="AE71" s="233">
        <f>IFERROR(VLOOKUP(F71,'DATA BASE'!A:I,9,FALSE),"")</f>
        <v/>
      </c>
      <c r="AF71" s="231" t="n"/>
      <c r="AG71" s="232">
        <f>IFERROR(VLOOKUP(F71,'DATA BASE'!A:I,6,FALSE),"")</f>
        <v/>
      </c>
      <c r="AH71" s="230" t="n"/>
      <c r="AI71" s="231" t="n"/>
      <c r="AJ71" s="234">
        <f>IFERROR(VLOOKUP(F71,'DATA BASE'!A:I,8,FALSE),"")</f>
        <v/>
      </c>
      <c r="AK71" s="235" t="n"/>
    </row>
    <row r="72" ht="15.5" customHeight="1" s="7">
      <c r="A72" s="242" t="n"/>
      <c r="B72" s="242" t="n"/>
      <c r="C72" s="242" t="n"/>
      <c r="D72" s="242" t="n"/>
      <c r="E72" s="242" t="n"/>
      <c r="F72" s="148" t="inlineStr">
        <is>
          <t>H366459920000 FL</t>
        </is>
      </c>
      <c r="G72" s="228" t="n"/>
      <c r="H72" s="236" t="n"/>
      <c r="I72" s="122" t="n">
        <v>8447312137</v>
      </c>
      <c r="J72" s="240" t="n"/>
      <c r="K72" s="240" t="n"/>
      <c r="L72" s="241" t="n"/>
      <c r="M72" s="122" t="inlineStr">
        <is>
          <t>SEMI BOX</t>
        </is>
      </c>
      <c r="N72" s="241" t="n"/>
      <c r="O72" s="122" t="inlineStr">
        <is>
          <t>FREIGHTLINER, WHITE</t>
        </is>
      </c>
      <c r="P72" s="240" t="n"/>
      <c r="Q72" s="240" t="n"/>
      <c r="R72" s="240" t="n"/>
      <c r="S72" s="240" t="n"/>
      <c r="T72" s="241" t="n"/>
      <c r="U72" s="243" t="n"/>
      <c r="V72" s="229" t="n"/>
      <c r="W72" s="242" t="n"/>
      <c r="X72" s="242" t="n"/>
      <c r="Y72" s="185">
        <f>VLOOKUP(F71,'DATA BASE'!A:I,2,FALSE)</f>
        <v/>
      </c>
      <c r="Z72" s="230" t="n"/>
      <c r="AA72" s="231" t="n"/>
      <c r="AB72" s="232">
        <f>IFERROR(VLOOKUP(F71,'DATA BASE'!A:I,4,FALSE),"")</f>
        <v/>
      </c>
      <c r="AC72" s="230" t="n"/>
      <c r="AD72" s="231" t="n"/>
      <c r="AE72" s="232">
        <f>IFERROR(VLOOKUP(F71,'DATA BASE'!A:I,5,FALSE),"")</f>
        <v/>
      </c>
      <c r="AF72" s="231" t="n"/>
      <c r="AG72" s="232">
        <f>IFERROR(VLOOKUP(F71,'DATA BASE'!A:I,7,FALSE),"")</f>
        <v/>
      </c>
      <c r="AH72" s="230" t="n"/>
      <c r="AI72" s="231" t="n"/>
      <c r="AJ72" s="238" t="n"/>
      <c r="AK72" s="239" t="n"/>
    </row>
    <row r="73" ht="15.5" customHeight="1" s="7">
      <c r="A73" s="157" t="n">
        <v>33</v>
      </c>
      <c r="B73" s="158" t="inlineStr">
        <is>
          <t>G</t>
        </is>
      </c>
      <c r="C73" s="152" t="n">
        <v>1</v>
      </c>
      <c r="D73" s="159" t="inlineStr">
        <is>
          <t>LG</t>
        </is>
      </c>
      <c r="E73" s="159" t="n">
        <v>1054</v>
      </c>
      <c r="F73" s="148" t="inlineStr">
        <is>
          <t>RODNEY MILES</t>
        </is>
      </c>
      <c r="G73" s="228" t="n"/>
      <c r="H73" s="236" t="n"/>
      <c r="I73" s="122" t="inlineStr">
        <is>
          <t>SIAI</t>
        </is>
      </c>
      <c r="J73" s="240" t="n"/>
      <c r="K73" s="240" t="n"/>
      <c r="L73" s="241" t="n"/>
      <c r="M73" s="138" t="inlineStr">
        <is>
          <t>COMMERCIAL</t>
        </is>
      </c>
      <c r="N73" s="241" t="n"/>
      <c r="O73" s="122" t="inlineStr">
        <is>
          <t>P236823 LA</t>
        </is>
      </c>
      <c r="P73" s="240" t="n"/>
      <c r="Q73" s="240" t="n"/>
      <c r="R73" s="240" t="n"/>
      <c r="S73" s="240" t="n"/>
      <c r="T73" s="241" t="n"/>
      <c r="U73" s="146" t="n">
        <v>1221</v>
      </c>
      <c r="V73" s="227" t="n"/>
      <c r="W73" s="152" t="n"/>
      <c r="X73" s="152" t="n"/>
      <c r="Y73" s="185" t="inlineStr">
        <is>
          <t>DAVID WILDNER</t>
        </is>
      </c>
      <c r="Z73" s="230" t="n"/>
      <c r="AA73" s="231" t="n"/>
      <c r="AB73" s="232">
        <f>IFERROR(VLOOKUP(F73,'DATA BASE'!A:I,3,FALSE),"")</f>
        <v/>
      </c>
      <c r="AC73" s="230" t="n"/>
      <c r="AD73" s="231" t="n"/>
      <c r="AE73" s="233">
        <f>IFERROR(VLOOKUP(F73,'DATA BASE'!A:I,9,FALSE),"")</f>
        <v/>
      </c>
      <c r="AF73" s="231" t="n"/>
      <c r="AG73" s="232">
        <f>IFERROR(VLOOKUP(F73,'DATA BASE'!A:I,6,FALSE),"")</f>
        <v/>
      </c>
      <c r="AH73" s="230" t="n"/>
      <c r="AI73" s="231" t="n"/>
      <c r="AJ73" s="234">
        <f>IFERROR(VLOOKUP(F73,'DATA BASE'!A:I,8,FALSE),"")</f>
        <v/>
      </c>
      <c r="AK73" s="235" t="n"/>
    </row>
    <row r="74" ht="15.5" customHeight="1" s="7">
      <c r="A74" s="242" t="n"/>
      <c r="B74" s="242" t="n"/>
      <c r="C74" s="242" t="n"/>
      <c r="D74" s="242" t="n"/>
      <c r="E74" s="242" t="n"/>
      <c r="F74" s="148" t="inlineStr">
        <is>
          <t>*054562360 GA</t>
        </is>
      </c>
      <c r="G74" s="228" t="n"/>
      <c r="H74" s="236" t="n"/>
      <c r="I74" s="122" t="n">
        <v>4043540539</v>
      </c>
      <c r="J74" s="240" t="n"/>
      <c r="K74" s="240" t="n"/>
      <c r="L74" s="241" t="n"/>
      <c r="M74" s="122" t="inlineStr">
        <is>
          <t>BOX</t>
        </is>
      </c>
      <c r="N74" s="241" t="n"/>
      <c r="O74" s="122" t="inlineStr">
        <is>
          <t>RED VOLVO</t>
        </is>
      </c>
      <c r="P74" s="240" t="n"/>
      <c r="Q74" s="240" t="n"/>
      <c r="R74" s="240" t="n"/>
      <c r="S74" s="240" t="n"/>
      <c r="T74" s="241" t="n"/>
      <c r="U74" s="243" t="n"/>
      <c r="V74" s="229" t="n"/>
      <c r="W74" s="242" t="n"/>
      <c r="X74" s="242" t="n"/>
      <c r="Y74" s="185">
        <f>VLOOKUP(F73,'DATA BASE'!A:I,2,FALSE)</f>
        <v/>
      </c>
      <c r="Z74" s="230" t="n"/>
      <c r="AA74" s="231" t="n"/>
      <c r="AB74" s="232">
        <f>IFERROR(VLOOKUP(F73,'DATA BASE'!A:I,4,FALSE),"")</f>
        <v/>
      </c>
      <c r="AC74" s="230" t="n"/>
      <c r="AD74" s="231" t="n"/>
      <c r="AE74" s="232">
        <f>IFERROR(VLOOKUP(F73,'DATA BASE'!A:I,5,FALSE),"")</f>
        <v/>
      </c>
      <c r="AF74" s="231" t="n"/>
      <c r="AG74" s="232">
        <f>IFERROR(VLOOKUP(F73,'DATA BASE'!A:I,7,FALSE),"")</f>
        <v/>
      </c>
      <c r="AH74" s="230" t="n"/>
      <c r="AI74" s="231" t="n"/>
      <c r="AJ74" s="238" t="n"/>
      <c r="AK74" s="239" t="n"/>
    </row>
    <row r="75" ht="15.5" customHeight="1" s="7">
      <c r="A75" s="157" t="n">
        <v>34</v>
      </c>
      <c r="B75" s="158" t="inlineStr">
        <is>
          <t>G</t>
        </is>
      </c>
      <c r="C75" s="152" t="n">
        <v>1</v>
      </c>
      <c r="D75" s="159" t="inlineStr">
        <is>
          <t>LG</t>
        </is>
      </c>
      <c r="E75" s="159" t="n">
        <v>1056</v>
      </c>
      <c r="F75" s="148" t="inlineStr">
        <is>
          <t>JAVOSKI CHAMBERS</t>
        </is>
      </c>
      <c r="G75" s="228" t="n"/>
      <c r="H75" s="236" t="n"/>
      <c r="I75" s="122" t="inlineStr">
        <is>
          <t>FEDEX</t>
        </is>
      </c>
      <c r="J75" s="240" t="n"/>
      <c r="K75" s="240" t="n"/>
      <c r="L75" s="241" t="n"/>
      <c r="M75" s="138" t="inlineStr">
        <is>
          <t xml:space="preserve">CONTRACTOR </t>
        </is>
      </c>
      <c r="N75" s="241" t="n"/>
      <c r="O75" s="122" t="inlineStr">
        <is>
          <t>GLS248 GA</t>
        </is>
      </c>
      <c r="P75" s="240" t="n"/>
      <c r="Q75" s="240" t="n"/>
      <c r="R75" s="240" t="n"/>
      <c r="S75" s="240" t="n"/>
      <c r="T75" s="241" t="n"/>
      <c r="U75" s="146" t="inlineStr">
        <is>
          <t>BASEWIDE</t>
        </is>
      </c>
      <c r="V75" s="227" t="n"/>
      <c r="W75" s="152" t="n"/>
      <c r="X75" s="152" t="n"/>
      <c r="Y75" s="185" t="inlineStr">
        <is>
          <t>DAVID WILDNER</t>
        </is>
      </c>
      <c r="Z75" s="230" t="n"/>
      <c r="AA75" s="231" t="n"/>
      <c r="AB75" s="232">
        <f>IFERROR(VLOOKUP(F75,'DATA BASE'!A:I,3,FALSE),"")</f>
        <v/>
      </c>
      <c r="AC75" s="230" t="n"/>
      <c r="AD75" s="231" t="n"/>
      <c r="AE75" s="233">
        <f>IFERROR(VLOOKUP(F75,'DATA BASE'!A:I,9,FALSE),"")</f>
        <v/>
      </c>
      <c r="AF75" s="231" t="n"/>
      <c r="AG75" s="232">
        <f>IFERROR(VLOOKUP(F75,'DATA BASE'!A:I,6,FALSE),"")</f>
        <v/>
      </c>
      <c r="AH75" s="230" t="n"/>
      <c r="AI75" s="231" t="n"/>
      <c r="AJ75" s="234">
        <f>IFERROR(VLOOKUP(F75,'DATA BASE'!A:I,8,FALSE),"")</f>
        <v/>
      </c>
      <c r="AK75" s="235" t="n"/>
    </row>
    <row r="76" ht="15.5" customHeight="1" s="7">
      <c r="A76" s="242" t="n"/>
      <c r="B76" s="242" t="n"/>
      <c r="C76" s="242" t="n"/>
      <c r="D76" s="242" t="n"/>
      <c r="E76" s="242" t="n"/>
      <c r="F76" s="148" t="inlineStr">
        <is>
          <t>*054288549 GA</t>
        </is>
      </c>
      <c r="G76" s="228" t="n"/>
      <c r="H76" s="236" t="n"/>
      <c r="I76" s="122" t="n">
        <v>2294858010</v>
      </c>
      <c r="J76" s="240" t="n"/>
      <c r="K76" s="240" t="n"/>
      <c r="L76" s="241" t="n"/>
      <c r="M76" s="122" t="inlineStr">
        <is>
          <t>BOX</t>
        </is>
      </c>
      <c r="N76" s="241" t="n"/>
      <c r="O76" s="122" t="inlineStr">
        <is>
          <t>FORD, WHITE</t>
        </is>
      </c>
      <c r="P76" s="240" t="n"/>
      <c r="Q76" s="240" t="n"/>
      <c r="R76" s="240" t="n"/>
      <c r="S76" s="240" t="n"/>
      <c r="T76" s="241" t="n"/>
      <c r="U76" s="243" t="n"/>
      <c r="V76" s="229" t="n"/>
      <c r="W76" s="242" t="n"/>
      <c r="X76" s="242" t="n"/>
      <c r="Y76" s="185">
        <f>VLOOKUP(F75,'DATA BASE'!A:I,2,FALSE)</f>
        <v/>
      </c>
      <c r="Z76" s="230" t="n"/>
      <c r="AA76" s="231" t="n"/>
      <c r="AB76" s="232">
        <f>IFERROR(VLOOKUP(F75,'DATA BASE'!A:I,4,FALSE),"")</f>
        <v/>
      </c>
      <c r="AC76" s="230" t="n"/>
      <c r="AD76" s="231" t="n"/>
      <c r="AE76" s="232">
        <f>IFERROR(VLOOKUP(F75,'DATA BASE'!A:I,5,FALSE),"")</f>
        <v/>
      </c>
      <c r="AF76" s="231" t="n"/>
      <c r="AG76" s="232">
        <f>IFERROR(VLOOKUP(F75,'DATA BASE'!A:I,7,FALSE),"")</f>
        <v/>
      </c>
      <c r="AH76" s="230" t="n"/>
      <c r="AI76" s="231" t="n"/>
      <c r="AJ76" s="238" t="n"/>
      <c r="AK76" s="239" t="n"/>
    </row>
    <row r="77" ht="15.65" customHeight="1" s="7">
      <c r="A77" s="157" t="n">
        <v>35</v>
      </c>
      <c r="B77" s="158" t="inlineStr">
        <is>
          <t>G</t>
        </is>
      </c>
      <c r="C77" s="159" t="n">
        <v>1</v>
      </c>
      <c r="D77" s="159" t="inlineStr">
        <is>
          <t>LG</t>
        </is>
      </c>
      <c r="E77" s="159" t="n">
        <v>1127</v>
      </c>
      <c r="F77" s="148" t="inlineStr">
        <is>
          <t>COMPTON ERIK</t>
        </is>
      </c>
      <c r="G77" s="228" t="n"/>
      <c r="H77" s="236" t="n"/>
      <c r="I77" s="122" t="inlineStr">
        <is>
          <t>FEDEX</t>
        </is>
      </c>
      <c r="J77" s="240" t="n"/>
      <c r="K77" s="240" t="n"/>
      <c r="L77" s="241" t="n"/>
      <c r="M77" s="138" t="inlineStr">
        <is>
          <t>COMMERCIAL</t>
        </is>
      </c>
      <c r="N77" s="241" t="n"/>
      <c r="O77" s="122" t="inlineStr">
        <is>
          <t>PWZ5406 OH</t>
        </is>
      </c>
      <c r="P77" s="240" t="n"/>
      <c r="Q77" s="240" t="n"/>
      <c r="R77" s="240" t="n"/>
      <c r="S77" s="240" t="n"/>
      <c r="T77" s="241" t="n"/>
      <c r="U77" s="146" t="n">
        <v>1221</v>
      </c>
      <c r="V77" s="227" t="n"/>
      <c r="W77" s="159" t="n"/>
      <c r="X77" s="159" t="n"/>
      <c r="Y77" s="185" t="inlineStr">
        <is>
          <t>DAVID WILDNER</t>
        </is>
      </c>
      <c r="Z77" s="230" t="n"/>
      <c r="AA77" s="231" t="n"/>
      <c r="AB77" s="232">
        <f>IFERROR(VLOOKUP(F77,'DATA BASE'!A:I,3,FALSE),"")</f>
        <v/>
      </c>
      <c r="AC77" s="230" t="n"/>
      <c r="AD77" s="231" t="n"/>
      <c r="AE77" s="233">
        <f>IFERROR(VLOOKUP(F77,'DATA BASE'!A:I,9,FALSE),"")</f>
        <v/>
      </c>
      <c r="AF77" s="231" t="n"/>
      <c r="AG77" s="232">
        <f>IFERROR(VLOOKUP(F77,'DATA BASE'!A:I,6,FALSE),"")</f>
        <v/>
      </c>
      <c r="AH77" s="230" t="n"/>
      <c r="AI77" s="231" t="n"/>
      <c r="AJ77" s="234">
        <f>IFERROR(VLOOKUP(F77,'DATA BASE'!A:I,8,FALSE),"")</f>
        <v/>
      </c>
      <c r="AK77" s="235" t="n"/>
    </row>
    <row r="78" ht="15.65" customHeight="1" s="7">
      <c r="A78" s="242" t="n"/>
      <c r="B78" s="242" t="n"/>
      <c r="C78" s="242" t="n"/>
      <c r="D78" s="242" t="n"/>
      <c r="E78" s="242" t="n"/>
      <c r="F78" s="148" t="inlineStr">
        <is>
          <t>GC210924I ID</t>
        </is>
      </c>
      <c r="G78" s="228" t="n"/>
      <c r="H78" s="236" t="n"/>
      <c r="I78" s="122" t="n">
        <v>2084994232</v>
      </c>
      <c r="J78" s="240" t="n"/>
      <c r="K78" s="240" t="n"/>
      <c r="L78" s="241" t="n"/>
      <c r="M78" s="122" t="inlineStr">
        <is>
          <t>BOX</t>
        </is>
      </c>
      <c r="N78" s="241" t="n"/>
      <c r="O78" s="122" t="inlineStr">
        <is>
          <t>WHITE FREIGHTLINER</t>
        </is>
      </c>
      <c r="P78" s="240" t="n"/>
      <c r="Q78" s="240" t="n"/>
      <c r="R78" s="240" t="n"/>
      <c r="S78" s="240" t="n"/>
      <c r="T78" s="241" t="n"/>
      <c r="U78" s="243" t="n"/>
      <c r="V78" s="229" t="n"/>
      <c r="W78" s="242" t="n"/>
      <c r="X78" s="242" t="n"/>
      <c r="Y78" s="185">
        <f>VLOOKUP(F77,'DATA BASE'!A:I,2,FALSE)</f>
        <v/>
      </c>
      <c r="Z78" s="230" t="n"/>
      <c r="AA78" s="231" t="n"/>
      <c r="AB78" s="232">
        <f>IFERROR(VLOOKUP(F77,'DATA BASE'!A:I,4,FALSE),"")</f>
        <v/>
      </c>
      <c r="AC78" s="230" t="n"/>
      <c r="AD78" s="231" t="n"/>
      <c r="AE78" s="232">
        <f>IFERROR(VLOOKUP(F77,'DATA BASE'!A:I,5,FALSE),"")</f>
        <v/>
      </c>
      <c r="AF78" s="231" t="n"/>
      <c r="AG78" s="232">
        <f>IFERROR(VLOOKUP(F77,'DATA BASE'!A:I,7,FALSE),"")</f>
        <v/>
      </c>
      <c r="AH78" s="230" t="n"/>
      <c r="AI78" s="231" t="n"/>
      <c r="AJ78" s="238" t="n"/>
      <c r="AK78" s="239" t="n"/>
    </row>
    <row r="79" ht="15.5" customHeight="1" s="7">
      <c r="A79" s="157" t="n">
        <v>36</v>
      </c>
      <c r="B79" s="158" t="inlineStr">
        <is>
          <t>F</t>
        </is>
      </c>
      <c r="C79" s="159" t="n">
        <v>1</v>
      </c>
      <c r="D79" s="159" t="inlineStr">
        <is>
          <t>SM</t>
        </is>
      </c>
      <c r="E79" s="159" t="n">
        <v>1134</v>
      </c>
      <c r="F79" s="148" t="inlineStr">
        <is>
          <t>MARION THOMAS</t>
        </is>
      </c>
      <c r="G79" s="228" t="n"/>
      <c r="H79" s="236" t="n"/>
      <c r="I79" s="122" t="inlineStr">
        <is>
          <t>ESG</t>
        </is>
      </c>
      <c r="J79" s="240" t="n"/>
      <c r="K79" s="240" t="n"/>
      <c r="L79" s="241" t="n"/>
      <c r="M79" s="138" t="inlineStr">
        <is>
          <t>CONTRACTOR</t>
        </is>
      </c>
      <c r="N79" s="241" t="n"/>
      <c r="O79" s="122" t="inlineStr">
        <is>
          <t>RXL2346 GA</t>
        </is>
      </c>
      <c r="P79" s="240" t="n"/>
      <c r="Q79" s="240" t="n"/>
      <c r="R79" s="240" t="n"/>
      <c r="S79" s="240" t="n"/>
      <c r="T79" s="241" t="n"/>
      <c r="U79" s="146" t="n">
        <v>2200</v>
      </c>
      <c r="V79" s="227" t="n"/>
      <c r="W79" s="159" t="n">
        <v>2</v>
      </c>
      <c r="X79" s="159" t="n"/>
      <c r="Y79" s="185" t="inlineStr">
        <is>
          <t>DAVID WILDNER</t>
        </is>
      </c>
      <c r="Z79" s="230" t="n"/>
      <c r="AA79" s="231" t="n"/>
      <c r="AB79" s="232">
        <f>IFERROR(VLOOKUP(F79,'DATA BASE'!A:I,3,FALSE),"")</f>
        <v/>
      </c>
      <c r="AC79" s="230" t="n"/>
      <c r="AD79" s="231" t="n"/>
      <c r="AE79" s="233">
        <f>IFERROR(VLOOKUP(F79,'DATA BASE'!A:I,9,FALSE),"")</f>
        <v/>
      </c>
      <c r="AF79" s="231" t="n"/>
      <c r="AG79" s="232">
        <f>IFERROR(VLOOKUP(F79,'DATA BASE'!A:I,6,FALSE),"")</f>
        <v/>
      </c>
      <c r="AH79" s="230" t="n"/>
      <c r="AI79" s="231" t="n"/>
      <c r="AJ79" s="234">
        <f>IFERROR(VLOOKUP(F79,'DATA BASE'!A:I,8,FALSE),"")</f>
        <v/>
      </c>
      <c r="AK79" s="235" t="n"/>
    </row>
    <row r="80" ht="15.5" customHeight="1" s="7">
      <c r="A80" s="242" t="n"/>
      <c r="B80" s="242" t="n"/>
      <c r="C80" s="242" t="n"/>
      <c r="D80" s="242" t="n"/>
      <c r="E80" s="242" t="n"/>
      <c r="F80" s="148" t="inlineStr">
        <is>
          <t>*051761922 GA</t>
        </is>
      </c>
      <c r="G80" s="228" t="n"/>
      <c r="H80" s="236" t="n"/>
      <c r="I80" s="122" t="n">
        <v>2298865471</v>
      </c>
      <c r="J80" s="240" t="n"/>
      <c r="K80" s="240" t="n"/>
      <c r="L80" s="241" t="n"/>
      <c r="M80" s="122" t="inlineStr">
        <is>
          <t>PU</t>
        </is>
      </c>
      <c r="N80" s="241" t="n"/>
      <c r="O80" s="122" t="inlineStr">
        <is>
          <t>GREY FORD</t>
        </is>
      </c>
      <c r="P80" s="240" t="n"/>
      <c r="Q80" s="240" t="n"/>
      <c r="R80" s="240" t="n"/>
      <c r="S80" s="240" t="n"/>
      <c r="T80" s="241" t="n"/>
      <c r="U80" s="243" t="n"/>
      <c r="V80" s="229" t="n"/>
      <c r="W80" s="242" t="n"/>
      <c r="X80" s="242" t="n"/>
      <c r="Y80" s="185">
        <f>VLOOKUP(F79,'DATA BASE'!A:I,2,FALSE)</f>
        <v/>
      </c>
      <c r="Z80" s="230" t="n"/>
      <c r="AA80" s="231" t="n"/>
      <c r="AB80" s="232">
        <f>IFERROR(VLOOKUP(F79,'DATA BASE'!A:I,4,FALSE),"")</f>
        <v/>
      </c>
      <c r="AC80" s="230" t="n"/>
      <c r="AD80" s="231" t="n"/>
      <c r="AE80" s="232">
        <f>IFERROR(VLOOKUP(F79,'DATA BASE'!A:I,5,FALSE),"")</f>
        <v/>
      </c>
      <c r="AF80" s="231" t="n"/>
      <c r="AG80" s="232">
        <f>IFERROR(VLOOKUP(F79,'DATA BASE'!A:I,7,FALSE),"")</f>
        <v/>
      </c>
      <c r="AH80" s="230" t="n"/>
      <c r="AI80" s="231" t="n"/>
      <c r="AJ80" s="238" t="n"/>
      <c r="AK80" s="239" t="n"/>
    </row>
    <row r="81" ht="15.5" customHeight="1" s="7">
      <c r="A81" s="157" t="n">
        <v>37</v>
      </c>
      <c r="B81" s="158" t="inlineStr">
        <is>
          <t>G</t>
        </is>
      </c>
      <c r="C81" s="159" t="n">
        <v>1</v>
      </c>
      <c r="D81" s="159" t="inlineStr">
        <is>
          <t>LG</t>
        </is>
      </c>
      <c r="E81" s="159" t="n">
        <v>1148</v>
      </c>
      <c r="F81" s="148" t="inlineStr">
        <is>
          <t>ZION PARKS</t>
        </is>
      </c>
      <c r="G81" s="228" t="n"/>
      <c r="H81" s="236" t="n"/>
      <c r="I81" s="122" t="inlineStr">
        <is>
          <t>STANLEY STEAMERS</t>
        </is>
      </c>
      <c r="J81" s="240" t="n"/>
      <c r="K81" s="240" t="n"/>
      <c r="L81" s="241" t="n"/>
      <c r="M81" s="138" t="inlineStr">
        <is>
          <t>CONTRACTOR</t>
        </is>
      </c>
      <c r="N81" s="241" t="n"/>
      <c r="O81" s="122" t="inlineStr">
        <is>
          <t>SFE3959 GA</t>
        </is>
      </c>
      <c r="P81" s="240" t="n"/>
      <c r="Q81" s="240" t="n"/>
      <c r="R81" s="240" t="n"/>
      <c r="S81" s="240" t="n"/>
      <c r="T81" s="241" t="n"/>
      <c r="U81" s="146" t="inlineStr">
        <is>
          <t>HOUSING</t>
        </is>
      </c>
      <c r="V81" s="227" t="n"/>
      <c r="W81" s="159" t="n"/>
      <c r="X81" s="159" t="n"/>
      <c r="Y81" s="185" t="inlineStr">
        <is>
          <t>DAVID WILDNER</t>
        </is>
      </c>
      <c r="Z81" s="230" t="n"/>
      <c r="AA81" s="231" t="n"/>
      <c r="AB81" s="232">
        <f>IFERROR(VLOOKUP(F81,'DATA BASE'!A:I,3,FALSE),"")</f>
        <v/>
      </c>
      <c r="AC81" s="230" t="n"/>
      <c r="AD81" s="231" t="n"/>
      <c r="AE81" s="233">
        <f>IFERROR(VLOOKUP(F81,'DATA BASE'!A:I,9,FALSE),"")</f>
        <v/>
      </c>
      <c r="AF81" s="231" t="n"/>
      <c r="AG81" s="232">
        <f>IFERROR(VLOOKUP(F81,'DATA BASE'!A:I,6,FALSE),"")</f>
        <v/>
      </c>
      <c r="AH81" s="230" t="n"/>
      <c r="AI81" s="231" t="n"/>
      <c r="AJ81" s="234">
        <f>IFERROR(VLOOKUP(F81,'DATA BASE'!A:I,8,FALSE),"")</f>
        <v/>
      </c>
      <c r="AK81" s="235" t="n"/>
    </row>
    <row r="82" ht="15.5" customHeight="1" s="7">
      <c r="A82" s="242" t="n"/>
      <c r="B82" s="242" t="n"/>
      <c r="C82" s="242" t="n"/>
      <c r="D82" s="242" t="n"/>
      <c r="E82" s="242" t="n"/>
      <c r="F82" s="148" t="inlineStr">
        <is>
          <t>*060467450 GA</t>
        </is>
      </c>
      <c r="G82" s="228" t="n"/>
      <c r="H82" s="236" t="n"/>
      <c r="I82" s="122" t="n">
        <v>2298094352</v>
      </c>
      <c r="J82" s="240" t="n"/>
      <c r="K82" s="240" t="n"/>
      <c r="L82" s="241" t="n"/>
      <c r="M82" s="122" t="inlineStr">
        <is>
          <t>VAN</t>
        </is>
      </c>
      <c r="N82" s="241" t="n"/>
      <c r="O82" s="122" t="inlineStr">
        <is>
          <t>YELOOW FORD</t>
        </is>
      </c>
      <c r="P82" s="240" t="n"/>
      <c r="Q82" s="240" t="n"/>
      <c r="R82" s="240" t="n"/>
      <c r="S82" s="240" t="n"/>
      <c r="T82" s="241" t="n"/>
      <c r="U82" s="243" t="n"/>
      <c r="V82" s="229" t="n"/>
      <c r="W82" s="242" t="n"/>
      <c r="X82" s="242" t="n"/>
      <c r="Y82" s="185">
        <f>VLOOKUP(F81,'DATA BASE'!A:I,2,FALSE)</f>
        <v/>
      </c>
      <c r="Z82" s="230" t="n"/>
      <c r="AA82" s="231" t="n"/>
      <c r="AB82" s="232">
        <f>IFERROR(VLOOKUP(F81,'DATA BASE'!A:I,4,FALSE),"")</f>
        <v/>
      </c>
      <c r="AC82" s="230" t="n"/>
      <c r="AD82" s="231" t="n"/>
      <c r="AE82" s="232">
        <f>IFERROR(VLOOKUP(F81,'DATA BASE'!A:I,5,FALSE),"")</f>
        <v/>
      </c>
      <c r="AF82" s="231" t="n"/>
      <c r="AG82" s="232">
        <f>IFERROR(VLOOKUP(F81,'DATA BASE'!A:I,7,FALSE),"")</f>
        <v/>
      </c>
      <c r="AH82" s="230" t="n"/>
      <c r="AI82" s="231" t="n"/>
      <c r="AJ82" s="238" t="n"/>
      <c r="AK82" s="239" t="n"/>
    </row>
    <row r="83" ht="15.5" customHeight="1" s="7">
      <c r="A83" s="157" t="n">
        <v>38</v>
      </c>
      <c r="B83" s="158" t="inlineStr">
        <is>
          <t>G</t>
        </is>
      </c>
      <c r="C83" s="159" t="n">
        <v>1</v>
      </c>
      <c r="D83" s="159" t="inlineStr">
        <is>
          <t>LG</t>
        </is>
      </c>
      <c r="E83" s="159" t="n">
        <v>1152</v>
      </c>
      <c r="F83" s="148" t="inlineStr">
        <is>
          <t>FRANK MAYS</t>
        </is>
      </c>
      <c r="G83" s="228" t="n"/>
      <c r="H83" s="236" t="n"/>
      <c r="I83" s="122" t="inlineStr">
        <is>
          <t>R&amp;L</t>
        </is>
      </c>
      <c r="J83" s="240" t="n"/>
      <c r="K83" s="240" t="n"/>
      <c r="L83" s="241" t="n"/>
      <c r="M83" s="138" t="inlineStr">
        <is>
          <t>COMMERCIAL</t>
        </is>
      </c>
      <c r="N83" s="241" t="n"/>
      <c r="O83" s="122" t="inlineStr">
        <is>
          <t>3647819 TN</t>
        </is>
      </c>
      <c r="P83" s="240" t="n"/>
      <c r="Q83" s="240" t="n"/>
      <c r="R83" s="240" t="n"/>
      <c r="S83" s="240" t="n"/>
      <c r="T83" s="241" t="n"/>
      <c r="U83" s="146" t="n">
        <v>1221</v>
      </c>
      <c r="V83" s="227" t="n"/>
      <c r="W83" s="159" t="n"/>
      <c r="X83" s="159" t="n"/>
      <c r="Y83" s="185" t="inlineStr">
        <is>
          <t>DAVID WILDNER</t>
        </is>
      </c>
      <c r="Z83" s="230" t="n"/>
      <c r="AA83" s="231" t="n"/>
      <c r="AB83" s="232">
        <f>IFERROR(VLOOKUP(F83,'DATA BASE'!A:I,3,FALSE),"")</f>
        <v/>
      </c>
      <c r="AC83" s="230" t="n"/>
      <c r="AD83" s="231" t="n"/>
      <c r="AE83" s="233">
        <f>IFERROR(VLOOKUP(F83,'DATA BASE'!A:I,9,FALSE),"")</f>
        <v/>
      </c>
      <c r="AF83" s="231" t="n"/>
      <c r="AG83" s="232">
        <f>IFERROR(VLOOKUP(F83,'DATA BASE'!A:I,6,FALSE),"")</f>
        <v/>
      </c>
      <c r="AH83" s="230" t="n"/>
      <c r="AI83" s="231" t="n"/>
      <c r="AJ83" s="234">
        <f>IFERROR(VLOOKUP(F83,'DATA BASE'!A:I,8,FALSE),"")</f>
        <v/>
      </c>
      <c r="AK83" s="235" t="n"/>
    </row>
    <row r="84" ht="15.5" customHeight="1" s="7">
      <c r="A84" s="242" t="n"/>
      <c r="B84" s="242" t="n"/>
      <c r="C84" s="242" t="n"/>
      <c r="D84" s="242" t="n"/>
      <c r="E84" s="242" t="n"/>
      <c r="F84" s="148" t="inlineStr">
        <is>
          <t>*049093645 GA</t>
        </is>
      </c>
      <c r="G84" s="228" t="n"/>
      <c r="H84" s="236" t="n"/>
      <c r="I84" s="122" t="n">
        <v>2294498864</v>
      </c>
      <c r="J84" s="240" t="n"/>
      <c r="K84" s="240" t="n"/>
      <c r="L84" s="241" t="n"/>
      <c r="M84" s="122" t="inlineStr">
        <is>
          <t>BOX</t>
        </is>
      </c>
      <c r="N84" s="241" t="n"/>
      <c r="O84" s="122" t="inlineStr">
        <is>
          <t>GREEN INTER</t>
        </is>
      </c>
      <c r="P84" s="240" t="n"/>
      <c r="Q84" s="240" t="n"/>
      <c r="R84" s="240" t="n"/>
      <c r="S84" s="240" t="n"/>
      <c r="T84" s="241" t="n"/>
      <c r="U84" s="243" t="n"/>
      <c r="V84" s="229" t="n"/>
      <c r="W84" s="242" t="n"/>
      <c r="X84" s="242" t="n"/>
      <c r="Y84" s="185">
        <f>VLOOKUP(F83,'DATA BASE'!A:I,2,FALSE)</f>
        <v/>
      </c>
      <c r="Z84" s="230" t="n"/>
      <c r="AA84" s="231" t="n"/>
      <c r="AB84" s="232">
        <f>IFERROR(VLOOKUP(F83,'DATA BASE'!A:I,4,FALSE),"")</f>
        <v/>
      </c>
      <c r="AC84" s="230" t="n"/>
      <c r="AD84" s="231" t="n"/>
      <c r="AE84" s="232">
        <f>IFERROR(VLOOKUP(F83,'DATA BASE'!A:I,5,FALSE),"")</f>
        <v/>
      </c>
      <c r="AF84" s="231" t="n"/>
      <c r="AG84" s="232">
        <f>IFERROR(VLOOKUP(F83,'DATA BASE'!A:I,7,FALSE),"")</f>
        <v/>
      </c>
      <c r="AH84" s="230" t="n"/>
      <c r="AI84" s="231" t="n"/>
      <c r="AJ84" s="238" t="n"/>
      <c r="AK84" s="239" t="n"/>
    </row>
    <row r="85" ht="15.5" customHeight="1" s="7">
      <c r="A85" s="157" t="n">
        <v>39</v>
      </c>
      <c r="B85" s="158" t="inlineStr">
        <is>
          <t>G</t>
        </is>
      </c>
      <c r="C85" s="159" t="n">
        <v>1</v>
      </c>
      <c r="D85" s="159" t="inlineStr">
        <is>
          <t>LG</t>
        </is>
      </c>
      <c r="E85" s="159" t="n">
        <v>1155</v>
      </c>
      <c r="F85" s="148" t="inlineStr">
        <is>
          <t xml:space="preserve">ALPHONSO BAISDEN </t>
        </is>
      </c>
      <c r="G85" s="228" t="n"/>
      <c r="H85" s="236" t="n"/>
      <c r="I85" s="122" t="inlineStr">
        <is>
          <t>S&amp;S CONCRETE</t>
        </is>
      </c>
      <c r="J85" s="240" t="n"/>
      <c r="K85" s="240" t="n"/>
      <c r="L85" s="241" t="n"/>
      <c r="M85" s="138" t="inlineStr">
        <is>
          <t xml:space="preserve">CONTRACTOR </t>
        </is>
      </c>
      <c r="N85" s="241" t="n"/>
      <c r="O85" s="122" t="inlineStr">
        <is>
          <t>GHQ358 GA</t>
        </is>
      </c>
      <c r="P85" s="240" t="n"/>
      <c r="Q85" s="240" t="n"/>
      <c r="R85" s="240" t="n"/>
      <c r="S85" s="240" t="n"/>
      <c r="T85" s="241" t="n"/>
      <c r="U85" s="146" t="n">
        <v>2215</v>
      </c>
      <c r="V85" s="227" t="n"/>
      <c r="W85" s="159" t="n"/>
      <c r="X85" s="159" t="n"/>
      <c r="Y85" s="185" t="inlineStr">
        <is>
          <t>DAVID WILDNER</t>
        </is>
      </c>
      <c r="Z85" s="230" t="n"/>
      <c r="AA85" s="231" t="n"/>
      <c r="AB85" s="232">
        <f>IFERROR(VLOOKUP(F85,'DATA BASE'!A:I,3,FALSE),"")</f>
        <v/>
      </c>
      <c r="AC85" s="230" t="n"/>
      <c r="AD85" s="231" t="n"/>
      <c r="AE85" s="233">
        <f>IFERROR(VLOOKUP(F85,'DATA BASE'!A:I,9,FALSE),"")</f>
        <v/>
      </c>
      <c r="AF85" s="231" t="n"/>
      <c r="AG85" s="232">
        <f>IFERROR(VLOOKUP(F85,'DATA BASE'!A:I,6,FALSE),"")</f>
        <v/>
      </c>
      <c r="AH85" s="230" t="n"/>
      <c r="AI85" s="231" t="n"/>
      <c r="AJ85" s="234">
        <f>IFERROR(VLOOKUP(F85,'DATA BASE'!A:I,8,FALSE),"")</f>
        <v/>
      </c>
      <c r="AK85" s="235" t="n"/>
    </row>
    <row r="86" ht="15.5" customHeight="1" s="7">
      <c r="A86" s="242" t="n"/>
      <c r="B86" s="242" t="n"/>
      <c r="C86" s="242" t="n"/>
      <c r="D86" s="242" t="n"/>
      <c r="E86" s="242" t="n"/>
      <c r="F86" s="148" t="inlineStr">
        <is>
          <t>*054641113 GA</t>
        </is>
      </c>
      <c r="G86" s="228" t="n"/>
      <c r="H86" s="236" t="n"/>
      <c r="I86" s="122" t="n">
        <v>2298881904</v>
      </c>
      <c r="J86" s="240" t="n"/>
      <c r="K86" s="240" t="n"/>
      <c r="L86" s="241" t="n"/>
      <c r="M86" s="122" t="inlineStr">
        <is>
          <t>DUMP</t>
        </is>
      </c>
      <c r="N86" s="241" t="n"/>
      <c r="O86" s="122" t="inlineStr">
        <is>
          <t>WHITE FREIGHTLINER</t>
        </is>
      </c>
      <c r="P86" s="240" t="n"/>
      <c r="Q86" s="240" t="n"/>
      <c r="R86" s="240" t="n"/>
      <c r="S86" s="240" t="n"/>
      <c r="T86" s="241" t="n"/>
      <c r="U86" s="243" t="n"/>
      <c r="V86" s="229" t="n"/>
      <c r="W86" s="242" t="n"/>
      <c r="X86" s="242" t="n"/>
      <c r="Y86" s="185">
        <f>VLOOKUP(F85,'DATA BASE'!A:I,2,FALSE)</f>
        <v/>
      </c>
      <c r="Z86" s="230" t="n"/>
      <c r="AA86" s="231" t="n"/>
      <c r="AB86" s="232">
        <f>IFERROR(VLOOKUP(F85,'DATA BASE'!A:I,4,FALSE),"")</f>
        <v/>
      </c>
      <c r="AC86" s="230" t="n"/>
      <c r="AD86" s="231" t="n"/>
      <c r="AE86" s="232">
        <f>IFERROR(VLOOKUP(F85,'DATA BASE'!A:I,5,FALSE),"")</f>
        <v/>
      </c>
      <c r="AF86" s="231" t="n"/>
      <c r="AG86" s="232">
        <f>IFERROR(VLOOKUP(F85,'DATA BASE'!A:I,7,FALSE),"")</f>
        <v/>
      </c>
      <c r="AH86" s="230" t="n"/>
      <c r="AI86" s="231" t="n"/>
      <c r="AJ86" s="238" t="n"/>
      <c r="AK86" s="239" t="n"/>
    </row>
    <row r="87" ht="15.5" customHeight="1" s="7">
      <c r="A87" s="157" t="n">
        <v>40</v>
      </c>
      <c r="B87" s="158" t="inlineStr">
        <is>
          <t>G</t>
        </is>
      </c>
      <c r="C87" s="159" t="n">
        <v>1</v>
      </c>
      <c r="D87" s="159" t="inlineStr">
        <is>
          <t>LG</t>
        </is>
      </c>
      <c r="E87" s="159" t="n">
        <v>1157</v>
      </c>
      <c r="F87" s="148" t="inlineStr">
        <is>
          <t>MICHAEL WEST</t>
        </is>
      </c>
      <c r="G87" s="228" t="n"/>
      <c r="H87" s="236" t="n"/>
      <c r="I87" s="122" t="inlineStr">
        <is>
          <t xml:space="preserve">UNITED RENTALS </t>
        </is>
      </c>
      <c r="J87" s="240" t="n"/>
      <c r="K87" s="240" t="n"/>
      <c r="L87" s="241" t="n"/>
      <c r="M87" s="138" t="inlineStr">
        <is>
          <t>COMMERCIAL</t>
        </is>
      </c>
      <c r="N87" s="241" t="n"/>
      <c r="O87" s="122" t="inlineStr">
        <is>
          <t>3063986 IN</t>
        </is>
      </c>
      <c r="P87" s="240" t="n"/>
      <c r="Q87" s="240" t="n"/>
      <c r="R87" s="240" t="n"/>
      <c r="S87" s="240" t="n"/>
      <c r="T87" s="241" t="n"/>
      <c r="U87" s="146" t="n">
        <v>7960</v>
      </c>
      <c r="V87" s="227" t="n"/>
      <c r="W87" s="159" t="n"/>
      <c r="X87" s="159" t="n"/>
      <c r="Y87" s="185" t="inlineStr">
        <is>
          <t>DAVID WILDNER</t>
        </is>
      </c>
      <c r="Z87" s="230" t="n"/>
      <c r="AA87" s="231" t="n"/>
      <c r="AB87" s="232">
        <f>IFERROR(VLOOKUP(F87,'DATA BASE'!A:I,3,FALSE),"")</f>
        <v/>
      </c>
      <c r="AC87" s="230" t="n"/>
      <c r="AD87" s="231" t="n"/>
      <c r="AE87" s="233">
        <f>IFERROR(VLOOKUP(F87,'DATA BASE'!A:I,9,FALSE),"")</f>
        <v/>
      </c>
      <c r="AF87" s="231" t="n"/>
      <c r="AG87" s="232">
        <f>IFERROR(VLOOKUP(F87,'DATA BASE'!A:I,6,FALSE),"")</f>
        <v/>
      </c>
      <c r="AH87" s="230" t="n"/>
      <c r="AI87" s="231" t="n"/>
      <c r="AJ87" s="234">
        <f>IFERROR(VLOOKUP(F87,'DATA BASE'!A:I,8,FALSE),"")</f>
        <v/>
      </c>
      <c r="AK87" s="235" t="n"/>
    </row>
    <row r="88" ht="15.5" customHeight="1" s="7">
      <c r="A88" s="242" t="n"/>
      <c r="B88" s="242" t="n"/>
      <c r="C88" s="242" t="n"/>
      <c r="D88" s="242" t="n"/>
      <c r="E88" s="242" t="n"/>
      <c r="F88" s="148" t="inlineStr">
        <is>
          <t>*026122315 GA</t>
        </is>
      </c>
      <c r="G88" s="228" t="n"/>
      <c r="H88" s="236" t="n"/>
      <c r="I88" s="122" t="n">
        <v>8008773687</v>
      </c>
      <c r="J88" s="240" t="n"/>
      <c r="K88" s="240" t="n"/>
      <c r="L88" s="241" t="n"/>
      <c r="M88" s="122" t="inlineStr">
        <is>
          <t>FLAT</t>
        </is>
      </c>
      <c r="N88" s="241" t="n"/>
      <c r="O88" s="122" t="inlineStr">
        <is>
          <t>WHITE INTER</t>
        </is>
      </c>
      <c r="P88" s="240" t="n"/>
      <c r="Q88" s="240" t="n"/>
      <c r="R88" s="240" t="n"/>
      <c r="S88" s="240" t="n"/>
      <c r="T88" s="241" t="n"/>
      <c r="U88" s="243" t="n"/>
      <c r="V88" s="229" t="n"/>
      <c r="W88" s="242" t="n"/>
      <c r="X88" s="242" t="n"/>
      <c r="Y88" s="185">
        <f>VLOOKUP(F87,'DATA BASE'!A:I,2,FALSE)</f>
        <v/>
      </c>
      <c r="Z88" s="230" t="n"/>
      <c r="AA88" s="231" t="n"/>
      <c r="AB88" s="232">
        <f>IFERROR(VLOOKUP(F87,'DATA BASE'!A:I,4,FALSE),"")</f>
        <v/>
      </c>
      <c r="AC88" s="230" t="n"/>
      <c r="AD88" s="231" t="n"/>
      <c r="AE88" s="232">
        <f>IFERROR(VLOOKUP(F87,'DATA BASE'!A:I,5,FALSE),"")</f>
        <v/>
      </c>
      <c r="AF88" s="231" t="n"/>
      <c r="AG88" s="232">
        <f>IFERROR(VLOOKUP(F87,'DATA BASE'!A:I,7,FALSE),"")</f>
        <v/>
      </c>
      <c r="AH88" s="230" t="n"/>
      <c r="AI88" s="231" t="n"/>
      <c r="AJ88" s="238" t="n"/>
      <c r="AK88" s="239" t="n"/>
    </row>
    <row r="89" ht="15.5" customHeight="1" s="7">
      <c r="A89" s="157" t="n">
        <v>41</v>
      </c>
      <c r="B89" s="158" t="inlineStr">
        <is>
          <t>G</t>
        </is>
      </c>
      <c r="C89" s="159" t="n">
        <v>1</v>
      </c>
      <c r="D89" s="159" t="inlineStr">
        <is>
          <t>LG</t>
        </is>
      </c>
      <c r="E89" s="159" t="n">
        <v>1159</v>
      </c>
      <c r="F89" s="148" t="inlineStr">
        <is>
          <t>DAVID THOMAS</t>
        </is>
      </c>
      <c r="G89" s="228" t="n"/>
      <c r="H89" s="236" t="n"/>
      <c r="I89" s="122" t="inlineStr">
        <is>
          <t>SOUTH WEST TRANS</t>
        </is>
      </c>
      <c r="J89" s="240" t="n"/>
      <c r="K89" s="240" t="n"/>
      <c r="L89" s="241" t="n"/>
      <c r="M89" s="138" t="inlineStr">
        <is>
          <t>COMMERCIAL</t>
        </is>
      </c>
      <c r="N89" s="241" t="n"/>
      <c r="O89" s="122" t="inlineStr">
        <is>
          <t>GV0279L GA</t>
        </is>
      </c>
      <c r="P89" s="240" t="n"/>
      <c r="Q89" s="240" t="n"/>
      <c r="R89" s="240" t="n"/>
      <c r="S89" s="240" t="n"/>
      <c r="T89" s="241" t="n"/>
      <c r="U89" s="146" t="inlineStr">
        <is>
          <t>BASEWIDE</t>
        </is>
      </c>
      <c r="V89" s="227" t="n"/>
      <c r="W89" s="159" t="n">
        <v>2</v>
      </c>
      <c r="X89" s="159" t="n"/>
      <c r="Y89" s="185" t="inlineStr">
        <is>
          <t>DAVID WILDNER</t>
        </is>
      </c>
      <c r="Z89" s="230" t="n"/>
      <c r="AA89" s="231" t="n"/>
      <c r="AB89" s="232">
        <f>IFERROR(VLOOKUP(F89,'DATA BASE'!A:I,3,FALSE),"")</f>
        <v/>
      </c>
      <c r="AC89" s="230" t="n"/>
      <c r="AD89" s="231" t="n"/>
      <c r="AE89" s="233">
        <f>IFERROR(VLOOKUP(F89,'DATA BASE'!A:I,9,FALSE),"")</f>
        <v/>
      </c>
      <c r="AF89" s="231" t="n"/>
      <c r="AG89" s="232">
        <f>IFERROR(VLOOKUP(F89,'DATA BASE'!A:I,6,FALSE),"")</f>
        <v/>
      </c>
      <c r="AH89" s="230" t="n"/>
      <c r="AI89" s="231" t="n"/>
      <c r="AJ89" s="234">
        <f>IFERROR(VLOOKUP(F89,'DATA BASE'!A:I,8,FALSE),"")</f>
        <v/>
      </c>
      <c r="AK89" s="235" t="n"/>
    </row>
    <row r="90" ht="15.5" customHeight="1" s="7">
      <c r="A90" s="242" t="n"/>
      <c r="B90" s="242" t="n"/>
      <c r="C90" s="242" t="n"/>
      <c r="D90" s="242" t="n"/>
      <c r="E90" s="242" t="n"/>
      <c r="F90" s="148" t="inlineStr">
        <is>
          <t>*051296485 GA</t>
        </is>
      </c>
      <c r="G90" s="228" t="n"/>
      <c r="H90" s="236" t="n"/>
      <c r="I90" s="122" t="n">
        <v>6788363288</v>
      </c>
      <c r="J90" s="240" t="n"/>
      <c r="K90" s="240" t="n"/>
      <c r="L90" s="241" t="n"/>
      <c r="M90" s="122" t="inlineStr">
        <is>
          <t>BUS</t>
        </is>
      </c>
      <c r="N90" s="241" t="n"/>
      <c r="O90" s="122" t="inlineStr">
        <is>
          <t>WHITE FORD</t>
        </is>
      </c>
      <c r="P90" s="240" t="n"/>
      <c r="Q90" s="240" t="n"/>
      <c r="R90" s="240" t="n"/>
      <c r="S90" s="240" t="n"/>
      <c r="T90" s="241" t="n"/>
      <c r="U90" s="243" t="n"/>
      <c r="V90" s="229" t="n"/>
      <c r="W90" s="242" t="n"/>
      <c r="X90" s="242" t="n"/>
      <c r="Y90" s="185">
        <f>VLOOKUP(F89,'DATA BASE'!A:I,2,FALSE)</f>
        <v/>
      </c>
      <c r="Z90" s="230" t="n"/>
      <c r="AA90" s="231" t="n"/>
      <c r="AB90" s="232">
        <f>IFERROR(VLOOKUP(F89,'DATA BASE'!A:I,4,FALSE),"")</f>
        <v/>
      </c>
      <c r="AC90" s="230" t="n"/>
      <c r="AD90" s="231" t="n"/>
      <c r="AE90" s="232">
        <f>IFERROR(VLOOKUP(F89,'DATA BASE'!A:I,5,FALSE),"")</f>
        <v/>
      </c>
      <c r="AF90" s="231" t="n"/>
      <c r="AG90" s="232">
        <f>IFERROR(VLOOKUP(F89,'DATA BASE'!A:I,7,FALSE),"")</f>
        <v/>
      </c>
      <c r="AH90" s="230" t="n"/>
      <c r="AI90" s="231" t="n"/>
      <c r="AJ90" s="238" t="n"/>
      <c r="AK90" s="239" t="n"/>
    </row>
    <row r="91" ht="15.5" customHeight="1" s="7">
      <c r="A91" s="157" t="n">
        <v>42</v>
      </c>
      <c r="B91" s="158" t="inlineStr">
        <is>
          <t>F</t>
        </is>
      </c>
      <c r="C91" s="159" t="n">
        <v>1</v>
      </c>
      <c r="D91" s="159" t="inlineStr">
        <is>
          <t>SM</t>
        </is>
      </c>
      <c r="E91" s="159" t="n">
        <v>1202</v>
      </c>
      <c r="F91" s="148" t="inlineStr">
        <is>
          <t>CHRISTOPHER YERBY</t>
        </is>
      </c>
      <c r="G91" s="228" t="n"/>
      <c r="H91" s="236" t="n"/>
      <c r="I91" s="122" t="inlineStr">
        <is>
          <t>DSC-EMI</t>
        </is>
      </c>
      <c r="J91" s="240" t="n"/>
      <c r="K91" s="240" t="n"/>
      <c r="L91" s="241" t="n"/>
      <c r="M91" s="138" t="inlineStr">
        <is>
          <t>CONTRACTOR</t>
        </is>
      </c>
      <c r="N91" s="241" t="n"/>
      <c r="O91" s="122" t="inlineStr">
        <is>
          <t>TAE8497 NC</t>
        </is>
      </c>
      <c r="P91" s="240" t="n"/>
      <c r="Q91" s="240" t="n"/>
      <c r="R91" s="240" t="n"/>
      <c r="S91" s="240" t="n"/>
      <c r="T91" s="241" t="n"/>
      <c r="U91" s="146" t="n">
        <v>3500</v>
      </c>
      <c r="V91" s="227" t="n"/>
      <c r="W91" s="159" t="n"/>
      <c r="X91" s="159" t="n"/>
      <c r="Y91" s="185" t="inlineStr">
        <is>
          <t>DAVID WILDNER</t>
        </is>
      </c>
      <c r="Z91" s="230" t="n"/>
      <c r="AA91" s="231" t="n"/>
      <c r="AB91" s="232">
        <f>IFERROR(VLOOKUP(F91,'DATA BASE'!A:I,3,FALSE),"")</f>
        <v/>
      </c>
      <c r="AC91" s="230" t="n"/>
      <c r="AD91" s="231" t="n"/>
      <c r="AE91" s="233">
        <f>IFERROR(VLOOKUP(F91,'DATA BASE'!A:I,9,FALSE),"")</f>
        <v/>
      </c>
      <c r="AF91" s="231" t="n"/>
      <c r="AG91" s="232">
        <f>IFERROR(VLOOKUP(F91,'DATA BASE'!A:I,6,FALSE),"")</f>
        <v/>
      </c>
      <c r="AH91" s="230" t="n"/>
      <c r="AI91" s="231" t="n"/>
      <c r="AJ91" s="234">
        <f>IFERROR(VLOOKUP(F91,'DATA BASE'!A:I,8,FALSE),"")</f>
        <v/>
      </c>
      <c r="AK91" s="235" t="n"/>
    </row>
    <row r="92" ht="15.5" customHeight="1" s="7">
      <c r="A92" s="242" t="n"/>
      <c r="B92" s="242" t="n"/>
      <c r="C92" s="242" t="n"/>
      <c r="D92" s="242" t="n"/>
      <c r="E92" s="242" t="n"/>
      <c r="F92" s="148" t="inlineStr">
        <is>
          <t>054298312 GA</t>
        </is>
      </c>
      <c r="G92" s="228" t="n"/>
      <c r="H92" s="236" t="n"/>
      <c r="I92" s="122" t="n">
        <v>2298691490</v>
      </c>
      <c r="J92" s="240" t="n"/>
      <c r="K92" s="240" t="n"/>
      <c r="L92" s="241" t="n"/>
      <c r="M92" s="122" t="inlineStr">
        <is>
          <t>PU</t>
        </is>
      </c>
      <c r="N92" s="241" t="n"/>
      <c r="O92" s="122" t="inlineStr">
        <is>
          <t>WHITE GMC</t>
        </is>
      </c>
      <c r="P92" s="240" t="n"/>
      <c r="Q92" s="240" t="n"/>
      <c r="R92" s="240" t="n"/>
      <c r="S92" s="240" t="n"/>
      <c r="T92" s="241" t="n"/>
      <c r="U92" s="243" t="n"/>
      <c r="V92" s="229" t="n"/>
      <c r="W92" s="242" t="n"/>
      <c r="X92" s="242" t="n"/>
      <c r="Y92" s="185">
        <f>VLOOKUP(F91,'DATA BASE'!A:I,2,FALSE)</f>
        <v/>
      </c>
      <c r="Z92" s="230" t="n"/>
      <c r="AA92" s="231" t="n"/>
      <c r="AB92" s="232">
        <f>IFERROR(VLOOKUP(F91,'DATA BASE'!A:I,4,FALSE),"")</f>
        <v/>
      </c>
      <c r="AC92" s="230" t="n"/>
      <c r="AD92" s="231" t="n"/>
      <c r="AE92" s="232">
        <f>IFERROR(VLOOKUP(F91,'DATA BASE'!A:I,5,FALSE),"")</f>
        <v/>
      </c>
      <c r="AF92" s="231" t="n"/>
      <c r="AG92" s="232">
        <f>IFERROR(VLOOKUP(F91,'DATA BASE'!A:I,7,FALSE),"")</f>
        <v/>
      </c>
      <c r="AH92" s="230" t="n"/>
      <c r="AI92" s="231" t="n"/>
      <c r="AJ92" s="238" t="n"/>
      <c r="AK92" s="239" t="n"/>
    </row>
    <row r="93" ht="15.5" customHeight="1" s="7">
      <c r="A93" s="157" t="n">
        <v>43</v>
      </c>
      <c r="B93" s="158" t="inlineStr">
        <is>
          <t>G</t>
        </is>
      </c>
      <c r="C93" s="159" t="n">
        <v>1</v>
      </c>
      <c r="D93" s="159" t="inlineStr">
        <is>
          <t>LG</t>
        </is>
      </c>
      <c r="E93" s="159" t="n">
        <v>1208</v>
      </c>
      <c r="F93" s="148" t="inlineStr">
        <is>
          <t>KARIE AWIL</t>
        </is>
      </c>
      <c r="G93" s="228" t="n"/>
      <c r="H93" s="236" t="n"/>
      <c r="I93" s="122" t="inlineStr">
        <is>
          <t>ELEVATED LOGIS</t>
        </is>
      </c>
      <c r="J93" s="240" t="n"/>
      <c r="K93" s="240" t="n"/>
      <c r="L93" s="241" t="n"/>
      <c r="M93" s="138" t="inlineStr">
        <is>
          <t>COMMERCIAL</t>
        </is>
      </c>
      <c r="N93" s="241" t="n"/>
      <c r="O93" s="122" t="inlineStr">
        <is>
          <t>R792512 TX</t>
        </is>
      </c>
      <c r="P93" s="240" t="n"/>
      <c r="Q93" s="240" t="n"/>
      <c r="R93" s="240" t="n"/>
      <c r="S93" s="240" t="n"/>
      <c r="T93" s="241" t="n"/>
      <c r="U93" s="146" t="n">
        <v>1221</v>
      </c>
      <c r="V93" s="227" t="n"/>
      <c r="W93" s="159" t="n"/>
      <c r="X93" s="159" t="n"/>
      <c r="Y93" s="185" t="inlineStr">
        <is>
          <t>DAVID WILDNER</t>
        </is>
      </c>
      <c r="Z93" s="230" t="n"/>
      <c r="AA93" s="231" t="n"/>
      <c r="AB93" s="232">
        <f>IFERROR(VLOOKUP(F93,'DATA BASE'!A:I,3,FALSE),"")</f>
        <v/>
      </c>
      <c r="AC93" s="230" t="n"/>
      <c r="AD93" s="231" t="n"/>
      <c r="AE93" s="233">
        <f>IFERROR(VLOOKUP(F93,'DATA BASE'!A:I,9,FALSE),"")</f>
        <v/>
      </c>
      <c r="AF93" s="231" t="n"/>
      <c r="AG93" s="232">
        <f>IFERROR(VLOOKUP(F93,'DATA BASE'!A:I,6,FALSE),"")</f>
        <v/>
      </c>
      <c r="AH93" s="230" t="n"/>
      <c r="AI93" s="231" t="n"/>
      <c r="AJ93" s="234">
        <f>IFERROR(VLOOKUP(F93,'DATA BASE'!A:I,8,FALSE),"")</f>
        <v/>
      </c>
      <c r="AK93" s="235" t="n"/>
    </row>
    <row r="94" ht="15.5" customHeight="1" s="7">
      <c r="A94" s="242" t="n"/>
      <c r="B94" s="242" t="n"/>
      <c r="C94" s="242" t="n"/>
      <c r="D94" s="242" t="n"/>
      <c r="E94" s="242" t="n"/>
      <c r="F94" s="148" t="inlineStr">
        <is>
          <t>*090764837 TN</t>
        </is>
      </c>
      <c r="G94" s="228" t="n"/>
      <c r="H94" s="236" t="n"/>
      <c r="I94" s="122" t="n">
        <v>7202243333</v>
      </c>
      <c r="J94" s="240" t="n"/>
      <c r="K94" s="240" t="n"/>
      <c r="L94" s="241" t="n"/>
      <c r="M94" s="122" t="inlineStr">
        <is>
          <t>BOX</t>
        </is>
      </c>
      <c r="N94" s="241" t="n"/>
      <c r="O94" s="122" t="inlineStr">
        <is>
          <t>WHITE VOLVO</t>
        </is>
      </c>
      <c r="P94" s="240" t="n"/>
      <c r="Q94" s="240" t="n"/>
      <c r="R94" s="240" t="n"/>
      <c r="S94" s="240" t="n"/>
      <c r="T94" s="241" t="n"/>
      <c r="U94" s="243" t="n"/>
      <c r="V94" s="229" t="n"/>
      <c r="W94" s="242" t="n"/>
      <c r="X94" s="242" t="n"/>
      <c r="Y94" s="185">
        <f>VLOOKUP(F93,'DATA BASE'!A:I,2,FALSE)</f>
        <v/>
      </c>
      <c r="Z94" s="230" t="n"/>
      <c r="AA94" s="231" t="n"/>
      <c r="AB94" s="232">
        <f>IFERROR(VLOOKUP(F93,'DATA BASE'!A:I,4,FALSE),"")</f>
        <v/>
      </c>
      <c r="AC94" s="230" t="n"/>
      <c r="AD94" s="231" t="n"/>
      <c r="AE94" s="232">
        <f>IFERROR(VLOOKUP(F93,'DATA BASE'!A:I,5,FALSE),"")</f>
        <v/>
      </c>
      <c r="AF94" s="231" t="n"/>
      <c r="AG94" s="232">
        <f>IFERROR(VLOOKUP(F93,'DATA BASE'!A:I,7,FALSE),"")</f>
        <v/>
      </c>
      <c r="AH94" s="230" t="n"/>
      <c r="AI94" s="231" t="n"/>
      <c r="AJ94" s="238" t="n"/>
      <c r="AK94" s="239" t="n"/>
    </row>
    <row r="95" ht="15.5" customHeight="1" s="7">
      <c r="A95" s="157" t="n">
        <v>44</v>
      </c>
      <c r="B95" s="158" t="inlineStr">
        <is>
          <t>G</t>
        </is>
      </c>
      <c r="C95" s="159" t="n">
        <v>1</v>
      </c>
      <c r="D95" s="159" t="inlineStr">
        <is>
          <t>LG</t>
        </is>
      </c>
      <c r="E95" s="159" t="n">
        <v>1241</v>
      </c>
      <c r="F95" s="148" t="inlineStr">
        <is>
          <t>JESSIE SIMON</t>
        </is>
      </c>
      <c r="G95" s="228" t="n"/>
      <c r="H95" s="236" t="n"/>
      <c r="I95" s="122" t="inlineStr">
        <is>
          <t>SAIS</t>
        </is>
      </c>
      <c r="J95" s="240" t="n"/>
      <c r="K95" s="240" t="n"/>
      <c r="L95" s="241" t="n"/>
      <c r="M95" s="138" t="inlineStr">
        <is>
          <t>COMMERCIAL</t>
        </is>
      </c>
      <c r="N95" s="241" t="n"/>
      <c r="O95" s="122" t="inlineStr">
        <is>
          <t>P254369 LA</t>
        </is>
      </c>
      <c r="P95" s="240" t="n"/>
      <c r="Q95" s="240" t="n"/>
      <c r="R95" s="240" t="n"/>
      <c r="S95" s="240" t="n"/>
      <c r="T95" s="241" t="n"/>
      <c r="U95" s="146" t="n">
        <v>1221</v>
      </c>
      <c r="V95" s="227" t="n"/>
      <c r="W95" s="159" t="n"/>
      <c r="X95" s="159" t="n"/>
      <c r="Y95" s="185" t="inlineStr">
        <is>
          <t>DAVID WILDNER</t>
        </is>
      </c>
      <c r="Z95" s="230" t="n"/>
      <c r="AA95" s="231" t="n"/>
      <c r="AB95" s="232">
        <f>IFERROR(VLOOKUP(F95,'DATA BASE'!A:I,3,FALSE),"")</f>
        <v/>
      </c>
      <c r="AC95" s="230" t="n"/>
      <c r="AD95" s="231" t="n"/>
      <c r="AE95" s="233">
        <f>IFERROR(VLOOKUP(F95,'DATA BASE'!A:I,9,FALSE),"")</f>
        <v/>
      </c>
      <c r="AF95" s="231" t="n"/>
      <c r="AG95" s="232">
        <f>IFERROR(VLOOKUP(F95,'DATA BASE'!A:I,6,FALSE),"")</f>
        <v/>
      </c>
      <c r="AH95" s="230" t="n"/>
      <c r="AI95" s="231" t="n"/>
      <c r="AJ95" s="234">
        <f>IFERROR(VLOOKUP(F95,'DATA BASE'!A:I,8,FALSE),"")</f>
        <v/>
      </c>
      <c r="AK95" s="235" t="n"/>
    </row>
    <row r="96" ht="15.5" customHeight="1" s="7">
      <c r="A96" s="242" t="n"/>
      <c r="B96" s="242" t="n"/>
      <c r="C96" s="242" t="n"/>
      <c r="D96" s="242" t="n"/>
      <c r="E96" s="242" t="n"/>
      <c r="F96" s="148" t="inlineStr">
        <is>
          <t>*050184398 GA</t>
        </is>
      </c>
      <c r="G96" s="228" t="n"/>
      <c r="H96" s="236" t="n"/>
      <c r="I96" s="122" t="n">
        <v>6788185204</v>
      </c>
      <c r="J96" s="240" t="n"/>
      <c r="K96" s="240" t="n"/>
      <c r="L96" s="241" t="n"/>
      <c r="M96" s="122" t="inlineStr">
        <is>
          <t>BOX</t>
        </is>
      </c>
      <c r="N96" s="241" t="n"/>
      <c r="O96" s="122" t="inlineStr">
        <is>
          <t>RED FREIGHTLINER</t>
        </is>
      </c>
      <c r="P96" s="240" t="n"/>
      <c r="Q96" s="240" t="n"/>
      <c r="R96" s="240" t="n"/>
      <c r="S96" s="240" t="n"/>
      <c r="T96" s="241" t="n"/>
      <c r="U96" s="243" t="n"/>
      <c r="V96" s="229" t="n"/>
      <c r="W96" s="242" t="n"/>
      <c r="X96" s="242" t="n"/>
      <c r="Y96" s="185">
        <f>VLOOKUP(F95,'DATA BASE'!A:I,2,FALSE)</f>
        <v/>
      </c>
      <c r="Z96" s="230" t="n"/>
      <c r="AA96" s="231" t="n"/>
      <c r="AB96" s="232">
        <f>IFERROR(VLOOKUP(F95,'DATA BASE'!A:I,4,FALSE),"")</f>
        <v/>
      </c>
      <c r="AC96" s="230" t="n"/>
      <c r="AD96" s="231" t="n"/>
      <c r="AE96" s="232">
        <f>IFERROR(VLOOKUP(F95,'DATA BASE'!A:I,5,FALSE),"")</f>
        <v/>
      </c>
      <c r="AF96" s="231" t="n"/>
      <c r="AG96" s="232">
        <f>IFERROR(VLOOKUP(F95,'DATA BASE'!A:I,7,FALSE),"")</f>
        <v/>
      </c>
      <c r="AH96" s="230" t="n"/>
      <c r="AI96" s="231" t="n"/>
      <c r="AJ96" s="238" t="n"/>
      <c r="AK96" s="239" t="n"/>
    </row>
    <row r="97" ht="15.5" customHeight="1" s="7">
      <c r="A97" s="157" t="n">
        <v>45</v>
      </c>
      <c r="B97" s="158" t="inlineStr">
        <is>
          <t>G</t>
        </is>
      </c>
      <c r="C97" s="159" t="n">
        <v>1</v>
      </c>
      <c r="D97" s="159" t="inlineStr">
        <is>
          <t>SM</t>
        </is>
      </c>
      <c r="E97" s="159" t="n">
        <v>1249</v>
      </c>
      <c r="F97" s="148" t="inlineStr">
        <is>
          <t>SYREETA MITCHELL</t>
        </is>
      </c>
      <c r="G97" s="228" t="n"/>
      <c r="H97" s="236" t="n"/>
      <c r="I97" s="122" t="inlineStr">
        <is>
          <t>DHL</t>
        </is>
      </c>
      <c r="J97" s="240" t="n"/>
      <c r="K97" s="240" t="n"/>
      <c r="L97" s="241" t="n"/>
      <c r="M97" s="138" t="inlineStr">
        <is>
          <t>COMMERCIAL</t>
        </is>
      </c>
      <c r="N97" s="241" t="n"/>
      <c r="O97" s="122" t="inlineStr">
        <is>
          <t>3355981 IN</t>
        </is>
      </c>
      <c r="P97" s="240" t="n"/>
      <c r="Q97" s="240" t="n"/>
      <c r="R97" s="240" t="n"/>
      <c r="S97" s="240" t="n"/>
      <c r="T97" s="241" t="n"/>
      <c r="U97" s="146" t="n">
        <v>1221</v>
      </c>
      <c r="V97" s="227" t="n"/>
      <c r="W97" s="159" t="n"/>
      <c r="X97" s="159" t="n"/>
      <c r="Y97" s="185" t="inlineStr">
        <is>
          <t>DAVID WILDNER</t>
        </is>
      </c>
      <c r="Z97" s="230" t="n"/>
      <c r="AA97" s="231" t="n"/>
      <c r="AB97" s="232">
        <f>IFERROR(VLOOKUP(F97,'DATA BASE'!A:I,3,FALSE),"")</f>
        <v/>
      </c>
      <c r="AC97" s="230" t="n"/>
      <c r="AD97" s="231" t="n"/>
      <c r="AE97" s="233">
        <f>IFERROR(VLOOKUP(F97,'DATA BASE'!A:I,9,FALSE),"")</f>
        <v/>
      </c>
      <c r="AF97" s="231" t="n"/>
      <c r="AG97" s="232">
        <f>IFERROR(VLOOKUP(F97,'DATA BASE'!A:I,6,FALSE),"")</f>
        <v/>
      </c>
      <c r="AH97" s="230" t="n"/>
      <c r="AI97" s="231" t="n"/>
      <c r="AJ97" s="234">
        <f>IFERROR(VLOOKUP(F97,'DATA BASE'!A:I,8,FALSE),"")</f>
        <v/>
      </c>
      <c r="AK97" s="235" t="n"/>
    </row>
    <row r="98" ht="15.5" customHeight="1" s="7">
      <c r="A98" s="242" t="n"/>
      <c r="B98" s="242" t="n"/>
      <c r="C98" s="242" t="n"/>
      <c r="D98" s="242" t="n"/>
      <c r="E98" s="242" t="n"/>
      <c r="F98" s="148" t="inlineStr">
        <is>
          <t>*051381745 GA</t>
        </is>
      </c>
      <c r="G98" s="228" t="n"/>
      <c r="H98" s="236" t="n"/>
      <c r="I98" s="122" t="n">
        <v>2292910094</v>
      </c>
      <c r="J98" s="240" t="n"/>
      <c r="K98" s="240" t="n"/>
      <c r="L98" s="241" t="n"/>
      <c r="M98" s="122" t="inlineStr">
        <is>
          <t>VAN</t>
        </is>
      </c>
      <c r="N98" s="241" t="n"/>
      <c r="O98" s="122" t="inlineStr">
        <is>
          <t>YELLOW FORD</t>
        </is>
      </c>
      <c r="P98" s="240" t="n"/>
      <c r="Q98" s="240" t="n"/>
      <c r="R98" s="240" t="n"/>
      <c r="S98" s="240" t="n"/>
      <c r="T98" s="241" t="n"/>
      <c r="U98" s="243" t="n"/>
      <c r="V98" s="229" t="n"/>
      <c r="W98" s="242" t="n"/>
      <c r="X98" s="242" t="n"/>
      <c r="Y98" s="185">
        <f>VLOOKUP(F97,'DATA BASE'!A:I,2,FALSE)</f>
        <v/>
      </c>
      <c r="Z98" s="230" t="n"/>
      <c r="AA98" s="231" t="n"/>
      <c r="AB98" s="232">
        <f>IFERROR(VLOOKUP(F97,'DATA BASE'!A:I,4,FALSE),"")</f>
        <v/>
      </c>
      <c r="AC98" s="230" t="n"/>
      <c r="AD98" s="231" t="n"/>
      <c r="AE98" s="232">
        <f>IFERROR(VLOOKUP(F97,'DATA BASE'!A:I,5,FALSE),"")</f>
        <v/>
      </c>
      <c r="AF98" s="231" t="n"/>
      <c r="AG98" s="232">
        <f>IFERROR(VLOOKUP(F97,'DATA BASE'!A:I,7,FALSE),"")</f>
        <v/>
      </c>
      <c r="AH98" s="230" t="n"/>
      <c r="AI98" s="231" t="n"/>
      <c r="AJ98" s="238" t="n"/>
      <c r="AK98" s="239" t="n"/>
    </row>
    <row r="99" ht="15.5" customHeight="1" s="7">
      <c r="A99" s="157" t="n">
        <v>46</v>
      </c>
      <c r="B99" s="158" t="inlineStr">
        <is>
          <t>G</t>
        </is>
      </c>
      <c r="C99" s="159" t="n">
        <v>1</v>
      </c>
      <c r="D99" s="159" t="inlineStr">
        <is>
          <t>LG</t>
        </is>
      </c>
      <c r="E99" s="159" t="n">
        <v>1315</v>
      </c>
      <c r="F99" s="148" t="inlineStr">
        <is>
          <t>GUERRERO VICTRO MANUEL</t>
        </is>
      </c>
      <c r="G99" s="228" t="n"/>
      <c r="H99" s="236" t="n"/>
      <c r="I99" s="122" t="inlineStr">
        <is>
          <t>VMG</t>
        </is>
      </c>
      <c r="J99" s="240" t="n"/>
      <c r="K99" s="240" t="n"/>
      <c r="L99" s="241" t="n"/>
      <c r="M99" s="138" t="inlineStr">
        <is>
          <t>COMMERCIAL</t>
        </is>
      </c>
      <c r="N99" s="241" t="n"/>
      <c r="O99" s="122" t="inlineStr">
        <is>
          <t>XD271X</t>
        </is>
      </c>
      <c r="P99" s="240" t="n"/>
      <c r="Q99" s="240" t="n"/>
      <c r="R99" s="240" t="n"/>
      <c r="S99" s="240" t="n"/>
      <c r="T99" s="241" t="n"/>
      <c r="U99" s="146" t="n">
        <v>1221</v>
      </c>
      <c r="V99" s="227" t="n"/>
      <c r="W99" s="159" t="n"/>
      <c r="X99" s="159" t="n"/>
      <c r="Y99" s="185" t="inlineStr">
        <is>
          <t>DAVID WILDNER</t>
        </is>
      </c>
      <c r="Z99" s="230" t="n"/>
      <c r="AA99" s="231" t="n"/>
      <c r="AB99" s="232">
        <f>IFERROR(VLOOKUP(F99,'DATA BASE'!A:I,3,FALSE),"")</f>
        <v/>
      </c>
      <c r="AC99" s="230" t="n"/>
      <c r="AD99" s="231" t="n"/>
      <c r="AE99" s="233">
        <f>IFERROR(VLOOKUP(F99,'DATA BASE'!A:I,9,FALSE),"")</f>
        <v/>
      </c>
      <c r="AF99" s="231" t="n"/>
      <c r="AG99" s="232">
        <f>IFERROR(VLOOKUP(F99,'DATA BASE'!A:I,6,FALSE),"")</f>
        <v/>
      </c>
      <c r="AH99" s="230" t="n"/>
      <c r="AI99" s="231" t="n"/>
      <c r="AJ99" s="234">
        <f>IFERROR(VLOOKUP(F99,'DATA BASE'!A:I,8,FALSE),"")</f>
        <v/>
      </c>
      <c r="AK99" s="235" t="n"/>
    </row>
    <row r="100" ht="15.5" customHeight="1" s="7">
      <c r="A100" s="242" t="n"/>
      <c r="B100" s="242" t="n"/>
      <c r="C100" s="242" t="n"/>
      <c r="D100" s="242" t="n"/>
      <c r="E100" s="242" t="n"/>
      <c r="F100" s="148" t="inlineStr">
        <is>
          <t>G360574500000 FL</t>
        </is>
      </c>
      <c r="G100" s="228" t="n"/>
      <c r="H100" s="236" t="n"/>
      <c r="I100" s="122" t="n">
        <v>8135351372</v>
      </c>
      <c r="J100" s="240" t="n"/>
      <c r="K100" s="240" t="n"/>
      <c r="L100" s="241" t="n"/>
      <c r="M100" s="122" t="inlineStr">
        <is>
          <t>BOX</t>
        </is>
      </c>
      <c r="N100" s="241" t="n"/>
      <c r="O100" s="122" t="inlineStr">
        <is>
          <t>BLACK FREIGHTLINER</t>
        </is>
      </c>
      <c r="P100" s="240" t="n"/>
      <c r="Q100" s="240" t="n"/>
      <c r="R100" s="240" t="n"/>
      <c r="S100" s="240" t="n"/>
      <c r="T100" s="241" t="n"/>
      <c r="U100" s="243" t="n"/>
      <c r="V100" s="229" t="n"/>
      <c r="W100" s="242" t="n"/>
      <c r="X100" s="242" t="n"/>
      <c r="Y100" s="185">
        <f>VLOOKUP(F99,'DATA BASE'!A:I,2,FALSE)</f>
        <v/>
      </c>
      <c r="Z100" s="230" t="n"/>
      <c r="AA100" s="231" t="n"/>
      <c r="AB100" s="232">
        <f>IFERROR(VLOOKUP(F99,'DATA BASE'!A:I,4,FALSE),"")</f>
        <v/>
      </c>
      <c r="AC100" s="230" t="n"/>
      <c r="AD100" s="231" t="n"/>
      <c r="AE100" s="232">
        <f>IFERROR(VLOOKUP(F99,'DATA BASE'!A:I,5,FALSE),"")</f>
        <v/>
      </c>
      <c r="AF100" s="231" t="n"/>
      <c r="AG100" s="232">
        <f>IFERROR(VLOOKUP(F99,'DATA BASE'!A:I,7,FALSE),"")</f>
        <v/>
      </c>
      <c r="AH100" s="230" t="n"/>
      <c r="AI100" s="231" t="n"/>
      <c r="AJ100" s="238" t="n"/>
      <c r="AK100" s="239" t="n"/>
    </row>
    <row r="101" ht="15.5" customHeight="1" s="7">
      <c r="A101" s="157" t="n">
        <v>47</v>
      </c>
      <c r="B101" s="158" t="inlineStr">
        <is>
          <t>G</t>
        </is>
      </c>
      <c r="C101" s="159" t="n">
        <v>1</v>
      </c>
      <c r="D101" s="159" t="inlineStr">
        <is>
          <t>SM</t>
        </is>
      </c>
      <c r="E101" s="159" t="n">
        <v>1338</v>
      </c>
      <c r="F101" s="148" t="inlineStr">
        <is>
          <t>OSBORNE T PARIS</t>
        </is>
      </c>
      <c r="G101" s="228" t="n"/>
      <c r="H101" s="236" t="n"/>
      <c r="I101" s="122" t="inlineStr">
        <is>
          <t xml:space="preserve">IMS </t>
        </is>
      </c>
      <c r="J101" s="240" t="n"/>
      <c r="K101" s="240" t="n"/>
      <c r="L101" s="241" t="n"/>
      <c r="M101" s="138" t="inlineStr">
        <is>
          <t>COMMERCIAL</t>
        </is>
      </c>
      <c r="N101" s="241" t="n"/>
      <c r="O101" s="122" t="inlineStr">
        <is>
          <t>BA552167 WV</t>
        </is>
      </c>
      <c r="P101" s="240" t="n"/>
      <c r="Q101" s="240" t="n"/>
      <c r="R101" s="240" t="n"/>
      <c r="S101" s="240" t="n"/>
      <c r="T101" s="241" t="n"/>
      <c r="U101" s="146" t="n">
        <v>1221</v>
      </c>
      <c r="V101" s="227" t="n"/>
      <c r="W101" s="159" t="n"/>
      <c r="X101" s="159" t="n"/>
      <c r="Y101" s="185" t="inlineStr">
        <is>
          <t>DAVID WILDNER</t>
        </is>
      </c>
      <c r="Z101" s="230" t="n"/>
      <c r="AA101" s="231" t="n"/>
      <c r="AB101" s="232">
        <f>IFERROR(VLOOKUP(F101,'DATA BASE'!A:I,3,FALSE),"")</f>
        <v/>
      </c>
      <c r="AC101" s="230" t="n"/>
      <c r="AD101" s="231" t="n"/>
      <c r="AE101" s="233">
        <f>IFERROR(VLOOKUP(F101,'DATA BASE'!A:I,9,FALSE),"")</f>
        <v/>
      </c>
      <c r="AF101" s="231" t="n"/>
      <c r="AG101" s="232">
        <f>IFERROR(VLOOKUP(F101,'DATA BASE'!A:I,6,FALSE),"")</f>
        <v/>
      </c>
      <c r="AH101" s="230" t="n"/>
      <c r="AI101" s="231" t="n"/>
      <c r="AJ101" s="234">
        <f>IFERROR(VLOOKUP(F101,'DATA BASE'!A:I,8,FALSE),"")</f>
        <v/>
      </c>
      <c r="AK101" s="235" t="n"/>
    </row>
    <row r="102" ht="15.5" customHeight="1" s="7">
      <c r="A102" s="242" t="n"/>
      <c r="B102" s="242" t="n"/>
      <c r="C102" s="242" t="n"/>
      <c r="D102" s="242" t="n"/>
      <c r="E102" s="242" t="n"/>
      <c r="F102" s="148" t="inlineStr">
        <is>
          <t>F429924 WV</t>
        </is>
      </c>
      <c r="G102" s="228" t="n"/>
      <c r="H102" s="236" t="n"/>
      <c r="I102" s="122" t="n">
        <v>3045820042</v>
      </c>
      <c r="J102" s="240" t="n"/>
      <c r="K102" s="240" t="n"/>
      <c r="L102" s="241" t="n"/>
      <c r="M102" s="122" t="inlineStr">
        <is>
          <t>FLAT</t>
        </is>
      </c>
      <c r="N102" s="241" t="n"/>
      <c r="O102" s="122" t="inlineStr">
        <is>
          <t>BROWN KENWORTH</t>
        </is>
      </c>
      <c r="P102" s="240" t="n"/>
      <c r="Q102" s="240" t="n"/>
      <c r="R102" s="240" t="n"/>
      <c r="S102" s="240" t="n"/>
      <c r="T102" s="241" t="n"/>
      <c r="U102" s="243" t="n"/>
      <c r="V102" s="229" t="n"/>
      <c r="W102" s="242" t="n"/>
      <c r="X102" s="242" t="n"/>
      <c r="Y102" s="185">
        <f>VLOOKUP(F101,'DATA BASE'!A:I,2,FALSE)</f>
        <v/>
      </c>
      <c r="Z102" s="230" t="n"/>
      <c r="AA102" s="231" t="n"/>
      <c r="AB102" s="232">
        <f>IFERROR(VLOOKUP(F101,'DATA BASE'!A:I,4,FALSE),"")</f>
        <v/>
      </c>
      <c r="AC102" s="230" t="n"/>
      <c r="AD102" s="231" t="n"/>
      <c r="AE102" s="232">
        <f>IFERROR(VLOOKUP(F101,'DATA BASE'!A:I,5,FALSE),"")</f>
        <v/>
      </c>
      <c r="AF102" s="231" t="n"/>
      <c r="AG102" s="232">
        <f>IFERROR(VLOOKUP(F101,'DATA BASE'!A:I,7,FALSE),"")</f>
        <v/>
      </c>
      <c r="AH102" s="230" t="n"/>
      <c r="AI102" s="231" t="n"/>
      <c r="AJ102" s="238" t="n"/>
      <c r="AK102" s="239" t="n"/>
    </row>
    <row r="103" ht="15.65" customHeight="1" s="7">
      <c r="A103" s="157" t="n">
        <v>48</v>
      </c>
      <c r="B103" s="158" t="inlineStr">
        <is>
          <t>F</t>
        </is>
      </c>
      <c r="C103" s="159" t="n">
        <v>1</v>
      </c>
      <c r="D103" s="159" t="inlineStr">
        <is>
          <t>LG</t>
        </is>
      </c>
      <c r="E103" s="159" t="n">
        <v>1400</v>
      </c>
      <c r="F103" s="148" t="inlineStr">
        <is>
          <t>CHARLES HOLLOWAY</t>
        </is>
      </c>
      <c r="G103" s="228" t="n"/>
      <c r="H103" s="236" t="n"/>
      <c r="I103" s="122" t="inlineStr">
        <is>
          <t>ESS</t>
        </is>
      </c>
      <c r="J103" s="240" t="n"/>
      <c r="K103" s="240" t="n"/>
      <c r="L103" s="241" t="n"/>
      <c r="M103" s="138" t="inlineStr">
        <is>
          <t>CONTRACTOR</t>
        </is>
      </c>
      <c r="N103" s="241" t="n"/>
      <c r="O103" s="122" t="inlineStr">
        <is>
          <t>TCF4879 GA</t>
        </is>
      </c>
      <c r="P103" s="240" t="n"/>
      <c r="Q103" s="240" t="n"/>
      <c r="R103" s="240" t="n"/>
      <c r="S103" s="240" t="n"/>
      <c r="T103" s="241" t="n"/>
      <c r="U103" s="146" t="inlineStr">
        <is>
          <t>BASEWIDE</t>
        </is>
      </c>
      <c r="V103" s="227" t="n"/>
      <c r="W103" s="159" t="n"/>
      <c r="X103" s="159" t="n"/>
      <c r="Y103" s="185" t="inlineStr">
        <is>
          <t>DAVID WILDNER</t>
        </is>
      </c>
      <c r="Z103" s="230" t="n"/>
      <c r="AA103" s="231" t="n"/>
      <c r="AB103" s="232">
        <f>IFERROR(VLOOKUP(F103,'DATA BASE'!A:I,3,FALSE),"")</f>
        <v/>
      </c>
      <c r="AC103" s="230" t="n"/>
      <c r="AD103" s="231" t="n"/>
      <c r="AE103" s="233">
        <f>IFERROR(VLOOKUP(F103,'DATA BASE'!A:I,9,FALSE),"")</f>
        <v/>
      </c>
      <c r="AF103" s="231" t="n"/>
      <c r="AG103" s="232">
        <f>IFERROR(VLOOKUP(F103,'DATA BASE'!A:I,6,FALSE),"")</f>
        <v/>
      </c>
      <c r="AH103" s="230" t="n"/>
      <c r="AI103" s="231" t="n"/>
      <c r="AJ103" s="234">
        <f>IFERROR(VLOOKUP(F103,'DATA BASE'!A:I,8,FALSE),"")</f>
        <v/>
      </c>
      <c r="AK103" s="235" t="n"/>
    </row>
    <row r="104" ht="15.65" customHeight="1" s="7">
      <c r="A104" s="242" t="n"/>
      <c r="B104" s="242" t="n"/>
      <c r="C104" s="242" t="n"/>
      <c r="D104" s="242" t="n"/>
      <c r="E104" s="242" t="n"/>
      <c r="F104" s="148" t="inlineStr">
        <is>
          <t>049140234 GA</t>
        </is>
      </c>
      <c r="G104" s="228" t="n"/>
      <c r="H104" s="236" t="n"/>
      <c r="I104" s="122" t="n">
        <v>2293442649</v>
      </c>
      <c r="J104" s="240" t="n"/>
      <c r="K104" s="240" t="n"/>
      <c r="L104" s="241" t="n"/>
      <c r="M104" s="122" t="inlineStr">
        <is>
          <t>VAN</t>
        </is>
      </c>
      <c r="N104" s="241" t="n"/>
      <c r="O104" s="122" t="inlineStr">
        <is>
          <t>WHITE CHEV</t>
        </is>
      </c>
      <c r="P104" s="240" t="n"/>
      <c r="Q104" s="240" t="n"/>
      <c r="R104" s="240" t="n"/>
      <c r="S104" s="240" t="n"/>
      <c r="T104" s="241" t="n"/>
      <c r="U104" s="243" t="n"/>
      <c r="V104" s="229" t="n"/>
      <c r="W104" s="242" t="n"/>
      <c r="X104" s="242" t="n"/>
      <c r="Y104" s="185">
        <f>VLOOKUP(F103,'DATA BASE'!A:I,2,FALSE)</f>
        <v/>
      </c>
      <c r="Z104" s="230" t="n"/>
      <c r="AA104" s="231" t="n"/>
      <c r="AB104" s="232">
        <f>IFERROR(VLOOKUP(F103,'DATA BASE'!A:I,4,FALSE),"")</f>
        <v/>
      </c>
      <c r="AC104" s="230" t="n"/>
      <c r="AD104" s="231" t="n"/>
      <c r="AE104" s="232">
        <f>IFERROR(VLOOKUP(F103,'DATA BASE'!A:I,5,FALSE),"")</f>
        <v/>
      </c>
      <c r="AF104" s="231" t="n"/>
      <c r="AG104" s="232">
        <f>IFERROR(VLOOKUP(F103,'DATA BASE'!A:I,7,FALSE),"")</f>
        <v/>
      </c>
      <c r="AH104" s="230" t="n"/>
      <c r="AI104" s="231" t="n"/>
      <c r="AJ104" s="238" t="n"/>
      <c r="AK104" s="239" t="n"/>
    </row>
    <row r="105" ht="15.5" customHeight="1" s="7">
      <c r="A105" s="157" t="n">
        <v>49</v>
      </c>
      <c r="B105" s="158" t="inlineStr">
        <is>
          <t>G</t>
        </is>
      </c>
      <c r="C105" s="159" t="n">
        <v>1</v>
      </c>
      <c r="D105" s="159" t="inlineStr">
        <is>
          <t>LG</t>
        </is>
      </c>
      <c r="E105" s="159" t="n">
        <v>1412</v>
      </c>
      <c r="F105" s="148" t="inlineStr">
        <is>
          <t>GARY DALE</t>
        </is>
      </c>
      <c r="G105" s="228" t="n"/>
      <c r="H105" s="236" t="n"/>
      <c r="I105" s="122" t="inlineStr">
        <is>
          <t>WRIGHT TRANSPO</t>
        </is>
      </c>
      <c r="J105" s="240" t="n"/>
      <c r="K105" s="240" t="n"/>
      <c r="L105" s="241" t="n"/>
      <c r="M105" s="138" t="inlineStr">
        <is>
          <t>COMMERCIAL</t>
        </is>
      </c>
      <c r="N105" s="241" t="n"/>
      <c r="O105" s="122" t="inlineStr">
        <is>
          <t>A550604 MS</t>
        </is>
      </c>
      <c r="P105" s="240" t="n"/>
      <c r="Q105" s="240" t="n"/>
      <c r="R105" s="240" t="n"/>
      <c r="S105" s="240" t="n"/>
      <c r="T105" s="241" t="n"/>
      <c r="U105" s="146" t="n">
        <v>1221</v>
      </c>
      <c r="V105" s="227" t="n"/>
      <c r="W105" s="159" t="n"/>
      <c r="X105" s="159" t="n"/>
      <c r="Y105" s="185" t="inlineStr">
        <is>
          <t>DAVID WILDNER</t>
        </is>
      </c>
      <c r="Z105" s="230" t="n"/>
      <c r="AA105" s="231" t="n"/>
      <c r="AB105" s="232">
        <f>IFERROR(VLOOKUP(F105,'DATA BASE'!A:I,3,FALSE),"")</f>
        <v/>
      </c>
      <c r="AC105" s="230" t="n"/>
      <c r="AD105" s="231" t="n"/>
      <c r="AE105" s="233">
        <f>IFERROR(VLOOKUP(F105,'DATA BASE'!A:I,9,FALSE),"")</f>
        <v/>
      </c>
      <c r="AF105" s="231" t="n"/>
      <c r="AG105" s="232">
        <f>IFERROR(VLOOKUP(F105,'DATA BASE'!A:I,6,FALSE),"")</f>
        <v/>
      </c>
      <c r="AH105" s="230" t="n"/>
      <c r="AI105" s="231" t="n"/>
      <c r="AJ105" s="234">
        <f>IFERROR(VLOOKUP(F105,'DATA BASE'!A:I,8,FALSE),"")</f>
        <v/>
      </c>
      <c r="AK105" s="235" t="n"/>
    </row>
    <row r="106" ht="15.5" customHeight="1" s="7">
      <c r="A106" s="242" t="n"/>
      <c r="B106" s="242" t="n"/>
      <c r="C106" s="242" t="n"/>
      <c r="D106" s="242" t="n"/>
      <c r="E106" s="242" t="n"/>
      <c r="F106" s="148" t="inlineStr">
        <is>
          <t>D400284660570</t>
        </is>
      </c>
      <c r="G106" s="228" t="n"/>
      <c r="H106" s="236" t="n"/>
      <c r="I106" s="122" t="n">
        <v>8505860874</v>
      </c>
      <c r="J106" s="240" t="n"/>
      <c r="K106" s="240" t="n"/>
      <c r="L106" s="241" t="n"/>
      <c r="M106" s="122" t="inlineStr">
        <is>
          <t>BOX</t>
        </is>
      </c>
      <c r="N106" s="241" t="n"/>
      <c r="O106" s="122" t="inlineStr">
        <is>
          <t>WHITE KENWORTH</t>
        </is>
      </c>
      <c r="P106" s="240" t="n"/>
      <c r="Q106" s="240" t="n"/>
      <c r="R106" s="240" t="n"/>
      <c r="S106" s="240" t="n"/>
      <c r="T106" s="241" t="n"/>
      <c r="U106" s="243" t="n"/>
      <c r="V106" s="229" t="n"/>
      <c r="W106" s="242" t="n"/>
      <c r="X106" s="242" t="n"/>
      <c r="Y106" s="185">
        <f>VLOOKUP(F105,'DATA BASE'!A:I,2,FALSE)</f>
        <v/>
      </c>
      <c r="Z106" s="230" t="n"/>
      <c r="AA106" s="231" t="n"/>
      <c r="AB106" s="232">
        <f>IFERROR(VLOOKUP(F105,'DATA BASE'!A:I,4,FALSE),"")</f>
        <v/>
      </c>
      <c r="AC106" s="230" t="n"/>
      <c r="AD106" s="231" t="n"/>
      <c r="AE106" s="232">
        <f>IFERROR(VLOOKUP(F105,'DATA BASE'!A:I,5,FALSE),"")</f>
        <v/>
      </c>
      <c r="AF106" s="231" t="n"/>
      <c r="AG106" s="232">
        <f>IFERROR(VLOOKUP(F105,'DATA BASE'!A:I,7,FALSE),"")</f>
        <v/>
      </c>
      <c r="AH106" s="230" t="n"/>
      <c r="AI106" s="231" t="n"/>
      <c r="AJ106" s="238" t="n"/>
      <c r="AK106" s="239" t="n"/>
    </row>
    <row r="107" ht="15.5" customHeight="1" s="7">
      <c r="A107" s="157" t="n">
        <v>50</v>
      </c>
      <c r="B107" s="158" t="inlineStr">
        <is>
          <t>G</t>
        </is>
      </c>
      <c r="C107" s="159" t="n">
        <v>1</v>
      </c>
      <c r="D107" s="159" t="inlineStr">
        <is>
          <t>LG</t>
        </is>
      </c>
      <c r="E107" s="159" t="n">
        <v>1440</v>
      </c>
      <c r="F107" s="148" t="inlineStr">
        <is>
          <t>PATRICK MONTGOMERY</t>
        </is>
      </c>
      <c r="G107" s="228" t="n"/>
      <c r="H107" s="236" t="n"/>
      <c r="I107" s="122" t="inlineStr">
        <is>
          <t>FEDEX</t>
        </is>
      </c>
      <c r="J107" s="240" t="n"/>
      <c r="K107" s="240" t="n"/>
      <c r="L107" s="241" t="n"/>
      <c r="M107" s="138" t="inlineStr">
        <is>
          <t>COMMERCIAL</t>
        </is>
      </c>
      <c r="N107" s="241" t="n"/>
      <c r="O107" s="122" t="inlineStr">
        <is>
          <t>C7821A GA</t>
        </is>
      </c>
      <c r="P107" s="240" t="n"/>
      <c r="Q107" s="240" t="n"/>
      <c r="R107" s="240" t="n"/>
      <c r="S107" s="240" t="n"/>
      <c r="T107" s="241" t="n"/>
      <c r="U107" s="146" t="inlineStr">
        <is>
          <t>BW</t>
        </is>
      </c>
      <c r="V107" s="227" t="n"/>
      <c r="W107" s="159" t="n"/>
      <c r="X107" s="159" t="n"/>
      <c r="Y107" s="185" t="inlineStr">
        <is>
          <t>DAVID WILDNER</t>
        </is>
      </c>
      <c r="Z107" s="230" t="n"/>
      <c r="AA107" s="231" t="n"/>
      <c r="AB107" s="232">
        <f>IFERROR(VLOOKUP(F107,'DATA BASE'!A:I,3,FALSE),"")</f>
        <v/>
      </c>
      <c r="AC107" s="230" t="n"/>
      <c r="AD107" s="231" t="n"/>
      <c r="AE107" s="233">
        <f>IFERROR(VLOOKUP(F107,'DATA BASE'!A:I,9,FALSE),"")</f>
        <v/>
      </c>
      <c r="AF107" s="231" t="n"/>
      <c r="AG107" s="232">
        <f>IFERROR(VLOOKUP(F107,'DATA BASE'!A:I,6,FALSE),"")</f>
        <v/>
      </c>
      <c r="AH107" s="230" t="n"/>
      <c r="AI107" s="231" t="n"/>
      <c r="AJ107" s="234">
        <f>IFERROR(VLOOKUP(F107,'DATA BASE'!A:I,8,FALSE),"")</f>
        <v/>
      </c>
      <c r="AK107" s="235" t="n"/>
    </row>
    <row r="108" ht="15.5" customHeight="1" s="7">
      <c r="A108" s="242" t="n"/>
      <c r="B108" s="242" t="n"/>
      <c r="C108" s="242" t="n"/>
      <c r="D108" s="242" t="n"/>
      <c r="E108" s="242" t="n"/>
      <c r="F108" s="148" t="inlineStr">
        <is>
          <t>*051158837 GA</t>
        </is>
      </c>
      <c r="G108" s="228" t="n"/>
      <c r="H108" s="236" t="n"/>
      <c r="I108" s="122" t="n">
        <v>2292884442</v>
      </c>
      <c r="J108" s="240" t="n"/>
      <c r="K108" s="240" t="n"/>
      <c r="L108" s="241" t="n"/>
      <c r="M108" s="122" t="inlineStr">
        <is>
          <t>BOX</t>
        </is>
      </c>
      <c r="N108" s="241" t="n"/>
      <c r="O108" s="122" t="inlineStr">
        <is>
          <t>WHITE FREIGHTLINER</t>
        </is>
      </c>
      <c r="P108" s="240" t="n"/>
      <c r="Q108" s="240" t="n"/>
      <c r="R108" s="240" t="n"/>
      <c r="S108" s="240" t="n"/>
      <c r="T108" s="241" t="n"/>
      <c r="U108" s="243" t="n"/>
      <c r="V108" s="229" t="n"/>
      <c r="W108" s="242" t="n"/>
      <c r="X108" s="242" t="n"/>
      <c r="Y108" s="185">
        <f>VLOOKUP(F107,'DATA BASE'!A:I,2,FALSE)</f>
        <v/>
      </c>
      <c r="Z108" s="230" t="n"/>
      <c r="AA108" s="231" t="n"/>
      <c r="AB108" s="232">
        <f>IFERROR(VLOOKUP(F107,'DATA BASE'!A:I,4,FALSE),"")</f>
        <v/>
      </c>
      <c r="AC108" s="230" t="n"/>
      <c r="AD108" s="231" t="n"/>
      <c r="AE108" s="232">
        <f>IFERROR(VLOOKUP(F107,'DATA BASE'!A:I,5,FALSE),"")</f>
        <v/>
      </c>
      <c r="AF108" s="231" t="n"/>
      <c r="AG108" s="232">
        <f>IFERROR(VLOOKUP(F107,'DATA BASE'!A:I,7,FALSE),"")</f>
        <v/>
      </c>
      <c r="AH108" s="230" t="n"/>
      <c r="AI108" s="231" t="n"/>
      <c r="AJ108" s="238" t="n"/>
      <c r="AK108" s="239" t="n"/>
    </row>
    <row r="109" ht="15.5" customHeight="1" s="7">
      <c r="A109" s="157" t="n">
        <v>51</v>
      </c>
      <c r="B109" s="158" t="n"/>
      <c r="C109" s="159" t="n"/>
      <c r="D109" s="159" t="n"/>
      <c r="E109" s="159" t="n"/>
      <c r="F109" s="148" t="n"/>
      <c r="G109" s="228" t="n"/>
      <c r="H109" s="236" t="n"/>
      <c r="I109" s="122" t="n"/>
      <c r="J109" s="240" t="n"/>
      <c r="K109" s="240" t="n"/>
      <c r="L109" s="241" t="n"/>
      <c r="M109" s="138" t="n"/>
      <c r="N109" s="241" t="n"/>
      <c r="O109" s="122" t="n"/>
      <c r="P109" s="240" t="n"/>
      <c r="Q109" s="240" t="n"/>
      <c r="R109" s="240" t="n"/>
      <c r="S109" s="240" t="n"/>
      <c r="T109" s="241" t="n"/>
      <c r="U109" s="146" t="n"/>
      <c r="V109" s="227" t="n"/>
      <c r="W109" s="159" t="n"/>
      <c r="X109" s="159" t="n"/>
      <c r="Y109" s="185" t="inlineStr">
        <is>
          <t>DAVID WILDNER</t>
        </is>
      </c>
      <c r="Z109" s="230" t="n"/>
      <c r="AA109" s="231" t="n"/>
      <c r="AB109" s="232">
        <f>IFERROR(VLOOKUP(F109,'DATA BASE'!A:I,3,FALSE),"")</f>
        <v/>
      </c>
      <c r="AC109" s="230" t="n"/>
      <c r="AD109" s="231" t="n"/>
      <c r="AE109" s="233">
        <f>IFERROR(VLOOKUP(F109,'DATA BASE'!A:I,9,FALSE),"")</f>
        <v/>
      </c>
      <c r="AF109" s="231" t="n"/>
      <c r="AG109" s="232">
        <f>IFERROR(VLOOKUP(F109,'DATA BASE'!A:I,6,FALSE),"")</f>
        <v/>
      </c>
      <c r="AH109" s="230" t="n"/>
      <c r="AI109" s="231" t="n"/>
      <c r="AJ109" s="234">
        <f>IFERROR(VLOOKUP(F109,'DATA BASE'!A:I,8,FALSE),"")</f>
        <v/>
      </c>
      <c r="AK109" s="235" t="n"/>
    </row>
    <row r="110" ht="15.5" customHeight="1" s="7">
      <c r="A110" s="242" t="n"/>
      <c r="B110" s="242" t="n"/>
      <c r="C110" s="242" t="n"/>
      <c r="D110" s="242" t="n"/>
      <c r="E110" s="242" t="n"/>
      <c r="F110" s="148" t="n"/>
      <c r="G110" s="228" t="n"/>
      <c r="H110" s="236" t="n"/>
      <c r="I110" s="122" t="n"/>
      <c r="J110" s="240" t="n"/>
      <c r="K110" s="240" t="n"/>
      <c r="L110" s="241" t="n"/>
      <c r="M110" s="122" t="n"/>
      <c r="N110" s="241" t="n"/>
      <c r="O110" s="122" t="n"/>
      <c r="P110" s="240" t="n"/>
      <c r="Q110" s="240" t="n"/>
      <c r="R110" s="240" t="n"/>
      <c r="S110" s="240" t="n"/>
      <c r="T110" s="241" t="n"/>
      <c r="U110" s="243" t="n"/>
      <c r="V110" s="229" t="n"/>
      <c r="W110" s="242" t="n"/>
      <c r="X110" s="242" t="n"/>
      <c r="Y110" s="185">
        <f>VLOOKUP(F109,'DATA BASE'!A:I,2,FALSE)</f>
        <v/>
      </c>
      <c r="Z110" s="230" t="n"/>
      <c r="AA110" s="231" t="n"/>
      <c r="AB110" s="232">
        <f>IFERROR(VLOOKUP(F109,'DATA BASE'!A:I,4,FALSE),"")</f>
        <v/>
      </c>
      <c r="AC110" s="230" t="n"/>
      <c r="AD110" s="231" t="n"/>
      <c r="AE110" s="232">
        <f>IFERROR(VLOOKUP(F109,'DATA BASE'!A:I,5,FALSE),"")</f>
        <v/>
      </c>
      <c r="AF110" s="231" t="n"/>
      <c r="AG110" s="232">
        <f>IFERROR(VLOOKUP(F109,'DATA BASE'!A:I,7,FALSE),"")</f>
        <v/>
      </c>
      <c r="AH110" s="230" t="n"/>
      <c r="AI110" s="231" t="n"/>
      <c r="AJ110" s="238" t="n"/>
      <c r="AK110" s="239" t="n"/>
    </row>
    <row r="111" ht="15.5" customHeight="1" s="7">
      <c r="A111" s="157" t="n">
        <v>52</v>
      </c>
      <c r="B111" s="158" t="n"/>
      <c r="C111" s="159" t="n"/>
      <c r="D111" s="159" t="n"/>
      <c r="E111" s="159" t="n"/>
      <c r="F111" s="148" t="n"/>
      <c r="G111" s="228" t="n"/>
      <c r="H111" s="236" t="n"/>
      <c r="I111" s="122" t="n"/>
      <c r="J111" s="240" t="n"/>
      <c r="K111" s="240" t="n"/>
      <c r="L111" s="241" t="n"/>
      <c r="M111" s="138" t="n"/>
      <c r="N111" s="241" t="n"/>
      <c r="O111" s="122" t="n"/>
      <c r="P111" s="240" t="n"/>
      <c r="Q111" s="240" t="n"/>
      <c r="R111" s="240" t="n"/>
      <c r="S111" s="240" t="n"/>
      <c r="T111" s="241" t="n"/>
      <c r="U111" s="146" t="n"/>
      <c r="V111" s="227" t="n"/>
      <c r="W111" s="159" t="n"/>
      <c r="X111" s="159" t="n"/>
      <c r="Y111" s="185" t="inlineStr">
        <is>
          <t>DAVID WILDNER</t>
        </is>
      </c>
      <c r="Z111" s="230" t="n"/>
      <c r="AA111" s="231" t="n"/>
      <c r="AB111" s="232">
        <f>IFERROR(VLOOKUP(F111,'DATA BASE'!A:I,3,FALSE),"")</f>
        <v/>
      </c>
      <c r="AC111" s="230" t="n"/>
      <c r="AD111" s="231" t="n"/>
      <c r="AE111" s="233">
        <f>IFERROR(VLOOKUP(F111,'DATA BASE'!A:I,9,FALSE),"")</f>
        <v/>
      </c>
      <c r="AF111" s="231" t="n"/>
      <c r="AG111" s="232">
        <f>IFERROR(VLOOKUP(F111,'DATA BASE'!A:I,6,FALSE),"")</f>
        <v/>
      </c>
      <c r="AH111" s="230" t="n"/>
      <c r="AI111" s="231" t="n"/>
      <c r="AJ111" s="234">
        <f>IFERROR(VLOOKUP(F111,'DATA BASE'!A:I,8,FALSE),"")</f>
        <v/>
      </c>
      <c r="AK111" s="235" t="n"/>
    </row>
    <row r="112" ht="15.5" customHeight="1" s="7">
      <c r="A112" s="242" t="n"/>
      <c r="B112" s="242" t="n"/>
      <c r="C112" s="242" t="n"/>
      <c r="D112" s="242" t="n"/>
      <c r="E112" s="242" t="n"/>
      <c r="F112" s="148" t="n"/>
      <c r="G112" s="228" t="n"/>
      <c r="H112" s="236" t="n"/>
      <c r="I112" s="122" t="n"/>
      <c r="J112" s="240" t="n"/>
      <c r="K112" s="240" t="n"/>
      <c r="L112" s="241" t="n"/>
      <c r="M112" s="122" t="n"/>
      <c r="N112" s="241" t="n"/>
      <c r="O112" s="122" t="n"/>
      <c r="P112" s="240" t="n"/>
      <c r="Q112" s="240" t="n"/>
      <c r="R112" s="240" t="n"/>
      <c r="S112" s="240" t="n"/>
      <c r="T112" s="241" t="n"/>
      <c r="U112" s="243" t="n"/>
      <c r="V112" s="229" t="n"/>
      <c r="W112" s="242" t="n"/>
      <c r="X112" s="242" t="n"/>
      <c r="Y112" s="185">
        <f>VLOOKUP(F111,'DATA BASE'!A:I,2,FALSE)</f>
        <v/>
      </c>
      <c r="Z112" s="230" t="n"/>
      <c r="AA112" s="231" t="n"/>
      <c r="AB112" s="232">
        <f>IFERROR(VLOOKUP(F111,'DATA BASE'!A:I,4,FALSE),"")</f>
        <v/>
      </c>
      <c r="AC112" s="230" t="n"/>
      <c r="AD112" s="231" t="n"/>
      <c r="AE112" s="232">
        <f>IFERROR(VLOOKUP(F111,'DATA BASE'!A:I,5,FALSE),"")</f>
        <v/>
      </c>
      <c r="AF112" s="231" t="n"/>
      <c r="AG112" s="232">
        <f>IFERROR(VLOOKUP(F111,'DATA BASE'!A:I,7,FALSE),"")</f>
        <v/>
      </c>
      <c r="AH112" s="230" t="n"/>
      <c r="AI112" s="231" t="n"/>
      <c r="AJ112" s="238" t="n"/>
      <c r="AK112" s="239" t="n"/>
    </row>
    <row r="113" ht="15.65" customHeight="1" s="7">
      <c r="A113" s="157" t="n">
        <v>53</v>
      </c>
      <c r="B113" s="158" t="n"/>
      <c r="C113" s="159" t="n"/>
      <c r="D113" s="159" t="n"/>
      <c r="E113" s="159" t="n"/>
      <c r="F113" s="148" t="n"/>
      <c r="G113" s="228" t="n"/>
      <c r="H113" s="236" t="n"/>
      <c r="I113" s="122" t="n"/>
      <c r="J113" s="240" t="n"/>
      <c r="K113" s="240" t="n"/>
      <c r="L113" s="241" t="n"/>
      <c r="M113" s="138" t="n"/>
      <c r="N113" s="241" t="n"/>
      <c r="O113" s="122" t="n"/>
      <c r="P113" s="240" t="n"/>
      <c r="Q113" s="240" t="n"/>
      <c r="R113" s="240" t="n"/>
      <c r="S113" s="240" t="n"/>
      <c r="T113" s="241" t="n"/>
      <c r="U113" s="146" t="n"/>
      <c r="V113" s="227" t="n"/>
      <c r="W113" s="159" t="n"/>
      <c r="X113" s="159" t="n"/>
      <c r="Y113" s="185" t="inlineStr">
        <is>
          <t>DAVID WILDNER</t>
        </is>
      </c>
      <c r="Z113" s="230" t="n"/>
      <c r="AA113" s="231" t="n"/>
      <c r="AB113" s="232">
        <f>IFERROR(VLOOKUP(F113,'DATA BASE'!A:I,3,FALSE),"")</f>
        <v/>
      </c>
      <c r="AC113" s="230" t="n"/>
      <c r="AD113" s="231" t="n"/>
      <c r="AE113" s="233">
        <f>IFERROR(VLOOKUP(F113,'DATA BASE'!A:I,9,FALSE),"")</f>
        <v/>
      </c>
      <c r="AF113" s="231" t="n"/>
      <c r="AG113" s="232">
        <f>IFERROR(VLOOKUP(F113,'DATA BASE'!A:I,6,FALSE),"")</f>
        <v/>
      </c>
      <c r="AH113" s="230" t="n"/>
      <c r="AI113" s="231" t="n"/>
      <c r="AJ113" s="234">
        <f>IFERROR(VLOOKUP(F113,'DATA BASE'!A:I,8,FALSE),"")</f>
        <v/>
      </c>
      <c r="AK113" s="235" t="n"/>
    </row>
    <row r="114" ht="15.65" customHeight="1" s="7">
      <c r="A114" s="242" t="n"/>
      <c r="B114" s="242" t="n"/>
      <c r="C114" s="242" t="n"/>
      <c r="D114" s="242" t="n"/>
      <c r="E114" s="242" t="n"/>
      <c r="F114" s="148" t="n"/>
      <c r="G114" s="228" t="n"/>
      <c r="H114" s="236" t="n"/>
      <c r="I114" s="122" t="n"/>
      <c r="J114" s="240" t="n"/>
      <c r="K114" s="240" t="n"/>
      <c r="L114" s="241" t="n"/>
      <c r="M114" s="122" t="n"/>
      <c r="N114" s="241" t="n"/>
      <c r="O114" s="122" t="n"/>
      <c r="P114" s="240" t="n"/>
      <c r="Q114" s="240" t="n"/>
      <c r="R114" s="240" t="n"/>
      <c r="S114" s="240" t="n"/>
      <c r="T114" s="241" t="n"/>
      <c r="U114" s="243" t="n"/>
      <c r="V114" s="229" t="n"/>
      <c r="W114" s="242" t="n"/>
      <c r="X114" s="242" t="n"/>
      <c r="Y114" s="185">
        <f>VLOOKUP(F113,'DATA BASE'!A:I,2,FALSE)</f>
        <v/>
      </c>
      <c r="Z114" s="230" t="n"/>
      <c r="AA114" s="231" t="n"/>
      <c r="AB114" s="232">
        <f>IFERROR(VLOOKUP(F113,'DATA BASE'!A:I,4,FALSE),"")</f>
        <v/>
      </c>
      <c r="AC114" s="230" t="n"/>
      <c r="AD114" s="231" t="n"/>
      <c r="AE114" s="232">
        <f>IFERROR(VLOOKUP(F113,'DATA BASE'!A:I,5,FALSE),"")</f>
        <v/>
      </c>
      <c r="AF114" s="231" t="n"/>
      <c r="AG114" s="232">
        <f>IFERROR(VLOOKUP(F113,'DATA BASE'!A:I,7,FALSE),"")</f>
        <v/>
      </c>
      <c r="AH114" s="230" t="n"/>
      <c r="AI114" s="231" t="n"/>
      <c r="AJ114" s="238" t="n"/>
      <c r="AK114" s="239" t="n"/>
    </row>
    <row r="115" ht="15.5" customHeight="1" s="7">
      <c r="A115" s="157" t="n">
        <v>54</v>
      </c>
      <c r="B115" s="158" t="n"/>
      <c r="C115" s="159" t="n"/>
      <c r="D115" s="159" t="n"/>
      <c r="E115" s="159" t="n"/>
      <c r="F115" s="148" t="n"/>
      <c r="G115" s="228" t="n"/>
      <c r="H115" s="236" t="n"/>
      <c r="I115" s="122" t="n"/>
      <c r="J115" s="240" t="n"/>
      <c r="K115" s="240" t="n"/>
      <c r="L115" s="241" t="n"/>
      <c r="M115" s="138" t="n"/>
      <c r="N115" s="241" t="n"/>
      <c r="O115" s="122" t="n"/>
      <c r="P115" s="240" t="n"/>
      <c r="Q115" s="240" t="n"/>
      <c r="R115" s="240" t="n"/>
      <c r="S115" s="240" t="n"/>
      <c r="T115" s="241" t="n"/>
      <c r="U115" s="146" t="n"/>
      <c r="V115" s="227" t="n"/>
      <c r="W115" s="159" t="n"/>
      <c r="X115" s="159" t="n"/>
      <c r="Y115" s="185" t="inlineStr">
        <is>
          <t>DAVID WILDNER</t>
        </is>
      </c>
      <c r="Z115" s="230" t="n"/>
      <c r="AA115" s="231" t="n"/>
      <c r="AB115" s="232">
        <f>IFERROR(VLOOKUP(F115,'DATA BASE'!A:I,3,FALSE),"")</f>
        <v/>
      </c>
      <c r="AC115" s="230" t="n"/>
      <c r="AD115" s="231" t="n"/>
      <c r="AE115" s="233">
        <f>IFERROR(VLOOKUP(F115,'DATA BASE'!A:I,9,FALSE),"")</f>
        <v/>
      </c>
      <c r="AF115" s="231" t="n"/>
      <c r="AG115" s="232">
        <f>IFERROR(VLOOKUP(F115,'DATA BASE'!A:I,6,FALSE),"")</f>
        <v/>
      </c>
      <c r="AH115" s="230" t="n"/>
      <c r="AI115" s="231" t="n"/>
      <c r="AJ115" s="234">
        <f>IFERROR(VLOOKUP(F115,'DATA BASE'!A:I,8,FALSE),"")</f>
        <v/>
      </c>
      <c r="AK115" s="235" t="n"/>
    </row>
    <row r="116" ht="15.5" customHeight="1" s="7">
      <c r="A116" s="242" t="n"/>
      <c r="B116" s="242" t="n"/>
      <c r="C116" s="242" t="n"/>
      <c r="D116" s="242" t="n"/>
      <c r="E116" s="242" t="n"/>
      <c r="F116" s="148" t="n"/>
      <c r="G116" s="228" t="n"/>
      <c r="H116" s="236" t="n"/>
      <c r="I116" s="122" t="n"/>
      <c r="J116" s="240" t="n"/>
      <c r="K116" s="240" t="n"/>
      <c r="L116" s="241" t="n"/>
      <c r="M116" s="122" t="n"/>
      <c r="N116" s="241" t="n"/>
      <c r="O116" s="122" t="n"/>
      <c r="P116" s="240" t="n"/>
      <c r="Q116" s="240" t="n"/>
      <c r="R116" s="240" t="n"/>
      <c r="S116" s="240" t="n"/>
      <c r="T116" s="241" t="n"/>
      <c r="U116" s="243" t="n"/>
      <c r="V116" s="229" t="n"/>
      <c r="W116" s="242" t="n"/>
      <c r="X116" s="242" t="n"/>
      <c r="Y116" s="185">
        <f>VLOOKUP(F115,'DATA BASE'!A:I,2,FALSE)</f>
        <v/>
      </c>
      <c r="Z116" s="230" t="n"/>
      <c r="AA116" s="231" t="n"/>
      <c r="AB116" s="232">
        <f>IFERROR(VLOOKUP(F115,'DATA BASE'!A:I,4,FALSE),"")</f>
        <v/>
      </c>
      <c r="AC116" s="230" t="n"/>
      <c r="AD116" s="231" t="n"/>
      <c r="AE116" s="232">
        <f>IFERROR(VLOOKUP(F115,'DATA BASE'!A:I,5,FALSE),"")</f>
        <v/>
      </c>
      <c r="AF116" s="231" t="n"/>
      <c r="AG116" s="232">
        <f>IFERROR(VLOOKUP(F115,'DATA BASE'!A:I,7,FALSE),"")</f>
        <v/>
      </c>
      <c r="AH116" s="230" t="n"/>
      <c r="AI116" s="231" t="n"/>
      <c r="AJ116" s="238" t="n"/>
      <c r="AK116" s="239" t="n"/>
    </row>
    <row r="117" ht="15.5" customHeight="1" s="7">
      <c r="A117" s="157" t="n">
        <v>55</v>
      </c>
      <c r="B117" s="158" t="n"/>
      <c r="C117" s="159" t="n"/>
      <c r="D117" s="159" t="n"/>
      <c r="E117" s="159" t="n"/>
      <c r="F117" s="148" t="n"/>
      <c r="G117" s="228" t="n"/>
      <c r="H117" s="236" t="n"/>
      <c r="I117" s="122" t="n"/>
      <c r="J117" s="240" t="n"/>
      <c r="K117" s="240" t="n"/>
      <c r="L117" s="241" t="n"/>
      <c r="M117" s="138" t="n"/>
      <c r="N117" s="241" t="n"/>
      <c r="O117" s="122" t="n"/>
      <c r="P117" s="240" t="n"/>
      <c r="Q117" s="240" t="n"/>
      <c r="R117" s="240" t="n"/>
      <c r="S117" s="240" t="n"/>
      <c r="T117" s="241" t="n"/>
      <c r="U117" s="146" t="n"/>
      <c r="V117" s="227" t="n"/>
      <c r="W117" s="159" t="n"/>
      <c r="X117" s="159" t="n"/>
      <c r="Y117" s="185" t="inlineStr">
        <is>
          <t>DAVID WILDNER</t>
        </is>
      </c>
      <c r="Z117" s="230" t="n"/>
      <c r="AA117" s="231" t="n"/>
      <c r="AB117" s="232">
        <f>IFERROR(VLOOKUP(F117,'DATA BASE'!A:I,3,FALSE),"")</f>
        <v/>
      </c>
      <c r="AC117" s="230" t="n"/>
      <c r="AD117" s="231" t="n"/>
      <c r="AE117" s="233">
        <f>IFERROR(VLOOKUP(F117,'DATA BASE'!A:I,9,FALSE),"")</f>
        <v/>
      </c>
      <c r="AF117" s="231" t="n"/>
      <c r="AG117" s="232">
        <f>IFERROR(VLOOKUP(F117,'DATA BASE'!A:I,6,FALSE),"")</f>
        <v/>
      </c>
      <c r="AH117" s="230" t="n"/>
      <c r="AI117" s="231" t="n"/>
      <c r="AJ117" s="234">
        <f>IFERROR(VLOOKUP(F117,'DATA BASE'!A:I,8,FALSE),"")</f>
        <v/>
      </c>
      <c r="AK117" s="235" t="n"/>
    </row>
    <row r="118" ht="15.5" customHeight="1" s="7">
      <c r="A118" s="242" t="n"/>
      <c r="B118" s="242" t="n"/>
      <c r="C118" s="242" t="n"/>
      <c r="D118" s="242" t="n"/>
      <c r="E118" s="242" t="n"/>
      <c r="F118" s="148" t="n"/>
      <c r="G118" s="228" t="n"/>
      <c r="H118" s="236" t="n"/>
      <c r="I118" s="122" t="n"/>
      <c r="J118" s="240" t="n"/>
      <c r="K118" s="240" t="n"/>
      <c r="L118" s="241" t="n"/>
      <c r="M118" s="122" t="n"/>
      <c r="N118" s="241" t="n"/>
      <c r="O118" s="122" t="n"/>
      <c r="P118" s="240" t="n"/>
      <c r="Q118" s="240" t="n"/>
      <c r="R118" s="240" t="n"/>
      <c r="S118" s="240" t="n"/>
      <c r="T118" s="241" t="n"/>
      <c r="U118" s="243" t="n"/>
      <c r="V118" s="229" t="n"/>
      <c r="W118" s="242" t="n"/>
      <c r="X118" s="242" t="n"/>
      <c r="Y118" s="185">
        <f>VLOOKUP(F117,'DATA BASE'!A:I,2,FALSE)</f>
        <v/>
      </c>
      <c r="Z118" s="230" t="n"/>
      <c r="AA118" s="231" t="n"/>
      <c r="AB118" s="232">
        <f>IFERROR(VLOOKUP(F117,'DATA BASE'!A:I,4,FALSE),"")</f>
        <v/>
      </c>
      <c r="AC118" s="230" t="n"/>
      <c r="AD118" s="231" t="n"/>
      <c r="AE118" s="232">
        <f>IFERROR(VLOOKUP(F117,'DATA BASE'!A:I,5,FALSE),"")</f>
        <v/>
      </c>
      <c r="AF118" s="231" t="n"/>
      <c r="AG118" s="232">
        <f>IFERROR(VLOOKUP(F117,'DATA BASE'!A:I,7,FALSE),"")</f>
        <v/>
      </c>
      <c r="AH118" s="230" t="n"/>
      <c r="AI118" s="231" t="n"/>
      <c r="AJ118" s="238" t="n"/>
      <c r="AK118" s="239" t="n"/>
    </row>
    <row r="119" ht="15.5" customHeight="1" s="7">
      <c r="A119" s="157" t="n">
        <v>56</v>
      </c>
      <c r="B119" s="158" t="n"/>
      <c r="C119" s="159" t="n"/>
      <c r="D119" s="159" t="n"/>
      <c r="E119" s="159" t="n"/>
      <c r="F119" s="148" t="n"/>
      <c r="G119" s="228" t="n"/>
      <c r="H119" s="236" t="n"/>
      <c r="I119" s="122" t="n"/>
      <c r="J119" s="240" t="n"/>
      <c r="K119" s="240" t="n"/>
      <c r="L119" s="241" t="n"/>
      <c r="M119" s="138" t="n"/>
      <c r="N119" s="241" t="n"/>
      <c r="O119" s="122" t="n"/>
      <c r="P119" s="240" t="n"/>
      <c r="Q119" s="240" t="n"/>
      <c r="R119" s="240" t="n"/>
      <c r="S119" s="240" t="n"/>
      <c r="T119" s="241" t="n"/>
      <c r="U119" s="146" t="n"/>
      <c r="V119" s="227" t="n"/>
      <c r="W119" s="159" t="n"/>
      <c r="X119" s="159" t="n"/>
      <c r="Y119" s="185" t="inlineStr">
        <is>
          <t>DAVID WILDNER</t>
        </is>
      </c>
      <c r="Z119" s="230" t="n"/>
      <c r="AA119" s="231" t="n"/>
      <c r="AB119" s="232">
        <f>IFERROR(VLOOKUP(F119,'DATA BASE'!A:I,3,FALSE),"")</f>
        <v/>
      </c>
      <c r="AC119" s="230" t="n"/>
      <c r="AD119" s="231" t="n"/>
      <c r="AE119" s="233">
        <f>IFERROR(VLOOKUP(F119,'DATA BASE'!A:I,9,FALSE),"")</f>
        <v/>
      </c>
      <c r="AF119" s="231" t="n"/>
      <c r="AG119" s="232">
        <f>IFERROR(VLOOKUP(F119,'DATA BASE'!A:I,6,FALSE),"")</f>
        <v/>
      </c>
      <c r="AH119" s="230" t="n"/>
      <c r="AI119" s="231" t="n"/>
      <c r="AJ119" s="234">
        <f>IFERROR(VLOOKUP(F119,'DATA BASE'!A:I,8,FALSE),"")</f>
        <v/>
      </c>
      <c r="AK119" s="235" t="n"/>
    </row>
    <row r="120" ht="15.5" customHeight="1" s="7">
      <c r="A120" s="242" t="n"/>
      <c r="B120" s="242" t="n"/>
      <c r="C120" s="242" t="n"/>
      <c r="D120" s="242" t="n"/>
      <c r="E120" s="242" t="n"/>
      <c r="F120" s="148" t="n"/>
      <c r="G120" s="228" t="n"/>
      <c r="H120" s="236" t="n"/>
      <c r="I120" s="122" t="n"/>
      <c r="J120" s="240" t="n"/>
      <c r="K120" s="240" t="n"/>
      <c r="L120" s="241" t="n"/>
      <c r="M120" s="122" t="n"/>
      <c r="N120" s="241" t="n"/>
      <c r="O120" s="122" t="n"/>
      <c r="P120" s="240" t="n"/>
      <c r="Q120" s="240" t="n"/>
      <c r="R120" s="240" t="n"/>
      <c r="S120" s="240" t="n"/>
      <c r="T120" s="241" t="n"/>
      <c r="U120" s="243" t="n"/>
      <c r="V120" s="229" t="n"/>
      <c r="W120" s="242" t="n"/>
      <c r="X120" s="242" t="n"/>
      <c r="Y120" s="185">
        <f>VLOOKUP(F119,'DATA BASE'!A:I,2,FALSE)</f>
        <v/>
      </c>
      <c r="Z120" s="230" t="n"/>
      <c r="AA120" s="231" t="n"/>
      <c r="AB120" s="232">
        <f>IFERROR(VLOOKUP(F119,'DATA BASE'!A:I,4,FALSE),"")</f>
        <v/>
      </c>
      <c r="AC120" s="230" t="n"/>
      <c r="AD120" s="231" t="n"/>
      <c r="AE120" s="232">
        <f>IFERROR(VLOOKUP(F119,'DATA BASE'!A:I,5,FALSE),"")</f>
        <v/>
      </c>
      <c r="AF120" s="231" t="n"/>
      <c r="AG120" s="232">
        <f>IFERROR(VLOOKUP(F119,'DATA BASE'!A:I,7,FALSE),"")</f>
        <v/>
      </c>
      <c r="AH120" s="230" t="n"/>
      <c r="AI120" s="231" t="n"/>
      <c r="AJ120" s="238" t="n"/>
      <c r="AK120" s="239" t="n"/>
    </row>
    <row r="121" ht="15.5" customHeight="1" s="7">
      <c r="A121" s="157" t="n">
        <v>57</v>
      </c>
      <c r="B121" s="158" t="n"/>
      <c r="C121" s="159" t="n"/>
      <c r="D121" s="159" t="n"/>
      <c r="E121" s="159" t="n"/>
      <c r="F121" s="148" t="n"/>
      <c r="G121" s="228" t="n"/>
      <c r="H121" s="236" t="n"/>
      <c r="I121" s="122" t="n"/>
      <c r="J121" s="240" t="n"/>
      <c r="K121" s="240" t="n"/>
      <c r="L121" s="241" t="n"/>
      <c r="M121" s="138" t="n"/>
      <c r="N121" s="241" t="n"/>
      <c r="O121" s="122" t="n"/>
      <c r="P121" s="240" t="n"/>
      <c r="Q121" s="240" t="n"/>
      <c r="R121" s="240" t="n"/>
      <c r="S121" s="240" t="n"/>
      <c r="T121" s="241" t="n"/>
      <c r="U121" s="146" t="n"/>
      <c r="V121" s="227" t="n"/>
      <c r="W121" s="159" t="n"/>
      <c r="X121" s="159" t="n"/>
      <c r="Y121" s="185" t="inlineStr">
        <is>
          <t>DAVID WILDNER</t>
        </is>
      </c>
      <c r="Z121" s="230" t="n"/>
      <c r="AA121" s="231" t="n"/>
      <c r="AB121" s="232">
        <f>IFERROR(VLOOKUP(F121,'DATA BASE'!A:I,3,FALSE),"")</f>
        <v/>
      </c>
      <c r="AC121" s="230" t="n"/>
      <c r="AD121" s="231" t="n"/>
      <c r="AE121" s="233">
        <f>IFERROR(VLOOKUP(F121,'DATA BASE'!A:I,9,FALSE),"")</f>
        <v/>
      </c>
      <c r="AF121" s="231" t="n"/>
      <c r="AG121" s="232">
        <f>IFERROR(VLOOKUP(F121,'DATA BASE'!A:I,6,FALSE),"")</f>
        <v/>
      </c>
      <c r="AH121" s="230" t="n"/>
      <c r="AI121" s="231" t="n"/>
      <c r="AJ121" s="234">
        <f>IFERROR(VLOOKUP(F121,'DATA BASE'!A:I,8,FALSE),"")</f>
        <v/>
      </c>
      <c r="AK121" s="235" t="n"/>
    </row>
    <row r="122" ht="15.5" customHeight="1" s="7">
      <c r="A122" s="242" t="n"/>
      <c r="B122" s="242" t="n"/>
      <c r="C122" s="242" t="n"/>
      <c r="D122" s="242" t="n"/>
      <c r="E122" s="242" t="n"/>
      <c r="F122" s="148" t="n"/>
      <c r="G122" s="228" t="n"/>
      <c r="H122" s="236" t="n"/>
      <c r="I122" s="122" t="n"/>
      <c r="J122" s="240" t="n"/>
      <c r="K122" s="240" t="n"/>
      <c r="L122" s="241" t="n"/>
      <c r="M122" s="122" t="n"/>
      <c r="N122" s="241" t="n"/>
      <c r="O122" s="122" t="n"/>
      <c r="P122" s="240" t="n"/>
      <c r="Q122" s="240" t="n"/>
      <c r="R122" s="240" t="n"/>
      <c r="S122" s="240" t="n"/>
      <c r="T122" s="241" t="n"/>
      <c r="U122" s="243" t="n"/>
      <c r="V122" s="229" t="n"/>
      <c r="W122" s="242" t="n"/>
      <c r="X122" s="242" t="n"/>
      <c r="Y122" s="185">
        <f>VLOOKUP(F121,'DATA BASE'!A:I,2,FALSE)</f>
        <v/>
      </c>
      <c r="Z122" s="230" t="n"/>
      <c r="AA122" s="231" t="n"/>
      <c r="AB122" s="232">
        <f>IFERROR(VLOOKUP(F121,'DATA BASE'!A:I,4,FALSE),"")</f>
        <v/>
      </c>
      <c r="AC122" s="230" t="n"/>
      <c r="AD122" s="231" t="n"/>
      <c r="AE122" s="232">
        <f>IFERROR(VLOOKUP(F121,'DATA BASE'!A:I,5,FALSE),"")</f>
        <v/>
      </c>
      <c r="AF122" s="231" t="n"/>
      <c r="AG122" s="232">
        <f>IFERROR(VLOOKUP(F121,'DATA BASE'!A:I,7,FALSE),"")</f>
        <v/>
      </c>
      <c r="AH122" s="230" t="n"/>
      <c r="AI122" s="231" t="n"/>
      <c r="AJ122" s="238" t="n"/>
      <c r="AK122" s="239" t="n"/>
    </row>
    <row r="123" ht="15.65" customHeight="1" s="7">
      <c r="A123" s="157" t="n">
        <v>58</v>
      </c>
      <c r="B123" s="158" t="n"/>
      <c r="C123" s="159" t="n"/>
      <c r="D123" s="159" t="n"/>
      <c r="E123" s="159" t="n"/>
      <c r="F123" s="148" t="n"/>
      <c r="G123" s="228" t="n"/>
      <c r="H123" s="236" t="n"/>
      <c r="I123" s="122" t="n"/>
      <c r="J123" s="240" t="n"/>
      <c r="K123" s="240" t="n"/>
      <c r="L123" s="241" t="n"/>
      <c r="M123" s="138" t="n"/>
      <c r="N123" s="241" t="n"/>
      <c r="O123" s="122" t="n"/>
      <c r="P123" s="240" t="n"/>
      <c r="Q123" s="240" t="n"/>
      <c r="R123" s="240" t="n"/>
      <c r="S123" s="240" t="n"/>
      <c r="T123" s="241" t="n"/>
      <c r="U123" s="146" t="n"/>
      <c r="V123" s="227" t="n"/>
      <c r="W123" s="159" t="n"/>
      <c r="X123" s="159" t="n"/>
      <c r="Y123" s="185" t="inlineStr">
        <is>
          <t>DAVID WILDNER</t>
        </is>
      </c>
      <c r="Z123" s="230" t="n"/>
      <c r="AA123" s="231" t="n"/>
      <c r="AB123" s="232">
        <f>IFERROR(VLOOKUP(F123,'DATA BASE'!A:I,3,FALSE),"")</f>
        <v/>
      </c>
      <c r="AC123" s="230" t="n"/>
      <c r="AD123" s="231" t="n"/>
      <c r="AE123" s="233">
        <f>IFERROR(VLOOKUP(F123,'DATA BASE'!A:I,9,FALSE),"")</f>
        <v/>
      </c>
      <c r="AF123" s="231" t="n"/>
      <c r="AG123" s="232">
        <f>IFERROR(VLOOKUP(F123,'DATA BASE'!A:I,6,FALSE),"")</f>
        <v/>
      </c>
      <c r="AH123" s="230" t="n"/>
      <c r="AI123" s="231" t="n"/>
      <c r="AJ123" s="234">
        <f>IFERROR(VLOOKUP(F123,'DATA BASE'!A:I,8,FALSE),"")</f>
        <v/>
      </c>
      <c r="AK123" s="235" t="n"/>
    </row>
    <row r="124" ht="15.65" customHeight="1" s="7">
      <c r="A124" s="242" t="n"/>
      <c r="B124" s="242" t="n"/>
      <c r="C124" s="242" t="n"/>
      <c r="D124" s="242" t="n"/>
      <c r="E124" s="242" t="n"/>
      <c r="F124" s="148" t="n"/>
      <c r="G124" s="228" t="n"/>
      <c r="H124" s="236" t="n"/>
      <c r="I124" s="122" t="n"/>
      <c r="J124" s="240" t="n"/>
      <c r="K124" s="240" t="n"/>
      <c r="L124" s="241" t="n"/>
      <c r="M124" s="122" t="n"/>
      <c r="N124" s="241" t="n"/>
      <c r="O124" s="122" t="n"/>
      <c r="P124" s="240" t="n"/>
      <c r="Q124" s="240" t="n"/>
      <c r="R124" s="240" t="n"/>
      <c r="S124" s="240" t="n"/>
      <c r="T124" s="241" t="n"/>
      <c r="U124" s="243" t="n"/>
      <c r="V124" s="229" t="n"/>
      <c r="W124" s="242" t="n"/>
      <c r="X124" s="242" t="n"/>
      <c r="Y124" s="185">
        <f>VLOOKUP(F123,'DATA BASE'!A:I,2,FALSE)</f>
        <v/>
      </c>
      <c r="Z124" s="230" t="n"/>
      <c r="AA124" s="231" t="n"/>
      <c r="AB124" s="232">
        <f>IFERROR(VLOOKUP(F123,'DATA BASE'!A:I,4,FALSE),"")</f>
        <v/>
      </c>
      <c r="AC124" s="230" t="n"/>
      <c r="AD124" s="231" t="n"/>
      <c r="AE124" s="232">
        <f>IFERROR(VLOOKUP(F123,'DATA BASE'!A:I,5,FALSE),"")</f>
        <v/>
      </c>
      <c r="AF124" s="231" t="n"/>
      <c r="AG124" s="232">
        <f>IFERROR(VLOOKUP(F123,'DATA BASE'!A:I,7,FALSE),"")</f>
        <v/>
      </c>
      <c r="AH124" s="230" t="n"/>
      <c r="AI124" s="231" t="n"/>
      <c r="AJ124" s="238" t="n"/>
      <c r="AK124" s="239" t="n"/>
    </row>
    <row r="125" ht="15.5" customHeight="1" s="7">
      <c r="A125" s="157" t="n">
        <v>59</v>
      </c>
      <c r="B125" s="158" t="n"/>
      <c r="C125" s="159" t="n"/>
      <c r="D125" s="159" t="n"/>
      <c r="E125" s="159" t="n"/>
      <c r="F125" s="148" t="n"/>
      <c r="G125" s="228" t="n"/>
      <c r="H125" s="236" t="n"/>
      <c r="I125" s="122" t="n"/>
      <c r="J125" s="240" t="n"/>
      <c r="K125" s="240" t="n"/>
      <c r="L125" s="241" t="n"/>
      <c r="M125" s="138" t="n"/>
      <c r="N125" s="241" t="n"/>
      <c r="O125" s="122" t="n"/>
      <c r="P125" s="240" t="n"/>
      <c r="Q125" s="240" t="n"/>
      <c r="R125" s="240" t="n"/>
      <c r="S125" s="240" t="n"/>
      <c r="T125" s="241" t="n"/>
      <c r="U125" s="146" t="n"/>
      <c r="V125" s="227" t="n"/>
      <c r="W125" s="159" t="n"/>
      <c r="X125" s="159" t="n"/>
      <c r="Y125" s="185" t="inlineStr">
        <is>
          <t>DAVID WILDNER</t>
        </is>
      </c>
      <c r="Z125" s="230" t="n"/>
      <c r="AA125" s="231" t="n"/>
      <c r="AB125" s="232">
        <f>IFERROR(VLOOKUP(F125,'DATA BASE'!A:I,3,FALSE),"")</f>
        <v/>
      </c>
      <c r="AC125" s="230" t="n"/>
      <c r="AD125" s="231" t="n"/>
      <c r="AE125" s="233">
        <f>IFERROR(VLOOKUP(F125,'DATA BASE'!A:I,9,FALSE),"")</f>
        <v/>
      </c>
      <c r="AF125" s="231" t="n"/>
      <c r="AG125" s="232">
        <f>IFERROR(VLOOKUP(F125,'DATA BASE'!A:I,6,FALSE),"")</f>
        <v/>
      </c>
      <c r="AH125" s="230" t="n"/>
      <c r="AI125" s="231" t="n"/>
      <c r="AJ125" s="234">
        <f>IFERROR(VLOOKUP(F125,'DATA BASE'!A:I,8,FALSE),"")</f>
        <v/>
      </c>
      <c r="AK125" s="235" t="n"/>
    </row>
    <row r="126" ht="15.5" customHeight="1" s="7">
      <c r="A126" s="242" t="n"/>
      <c r="B126" s="242" t="n"/>
      <c r="C126" s="242" t="n"/>
      <c r="D126" s="242" t="n"/>
      <c r="E126" s="242" t="n"/>
      <c r="F126" s="148" t="n"/>
      <c r="G126" s="228" t="n"/>
      <c r="H126" s="236" t="n"/>
      <c r="I126" s="122" t="n"/>
      <c r="J126" s="240" t="n"/>
      <c r="K126" s="240" t="n"/>
      <c r="L126" s="241" t="n"/>
      <c r="M126" s="122" t="n"/>
      <c r="N126" s="241" t="n"/>
      <c r="O126" s="122" t="n"/>
      <c r="P126" s="240" t="n"/>
      <c r="Q126" s="240" t="n"/>
      <c r="R126" s="240" t="n"/>
      <c r="S126" s="240" t="n"/>
      <c r="T126" s="241" t="n"/>
      <c r="U126" s="243" t="n"/>
      <c r="V126" s="229" t="n"/>
      <c r="W126" s="242" t="n"/>
      <c r="X126" s="242" t="n"/>
      <c r="Y126" s="185">
        <f>VLOOKUP(F125,'DATA BASE'!A:I,2,FALSE)</f>
        <v/>
      </c>
      <c r="Z126" s="230" t="n"/>
      <c r="AA126" s="231" t="n"/>
      <c r="AB126" s="232">
        <f>IFERROR(VLOOKUP(F125,'DATA BASE'!A:I,4,FALSE),"")</f>
        <v/>
      </c>
      <c r="AC126" s="230" t="n"/>
      <c r="AD126" s="231" t="n"/>
      <c r="AE126" s="232">
        <f>IFERROR(VLOOKUP(F125,'DATA BASE'!A:I,5,FALSE),"")</f>
        <v/>
      </c>
      <c r="AF126" s="231" t="n"/>
      <c r="AG126" s="232">
        <f>IFERROR(VLOOKUP(F125,'DATA BASE'!A:I,7,FALSE),"")</f>
        <v/>
      </c>
      <c r="AH126" s="230" t="n"/>
      <c r="AI126" s="231" t="n"/>
      <c r="AJ126" s="238" t="n"/>
      <c r="AK126" s="239" t="n"/>
    </row>
    <row r="127" ht="15.65" customHeight="1" s="7">
      <c r="A127" s="157" t="n">
        <v>60</v>
      </c>
      <c r="B127" s="158" t="n"/>
      <c r="C127" s="159" t="n"/>
      <c r="D127" s="159" t="n"/>
      <c r="E127" s="159" t="n"/>
      <c r="F127" s="148" t="n"/>
      <c r="G127" s="228" t="n"/>
      <c r="H127" s="236" t="n"/>
      <c r="I127" s="122" t="n"/>
      <c r="J127" s="240" t="n"/>
      <c r="K127" s="240" t="n"/>
      <c r="L127" s="241" t="n"/>
      <c r="M127" s="138" t="n"/>
      <c r="N127" s="241" t="n"/>
      <c r="O127" s="122" t="n"/>
      <c r="P127" s="240" t="n"/>
      <c r="Q127" s="240" t="n"/>
      <c r="R127" s="240" t="n"/>
      <c r="S127" s="240" t="n"/>
      <c r="T127" s="241" t="n"/>
      <c r="U127" s="146" t="n"/>
      <c r="V127" s="227" t="n"/>
      <c r="W127" s="159" t="n"/>
      <c r="X127" s="159" t="n"/>
      <c r="Y127" s="185" t="inlineStr">
        <is>
          <t>DAVID WILDNER</t>
        </is>
      </c>
      <c r="Z127" s="230" t="n"/>
      <c r="AA127" s="231" t="n"/>
      <c r="AB127" s="232">
        <f>IFERROR(VLOOKUP(F127,'DATA BASE'!A:I,3,FALSE),"")</f>
        <v/>
      </c>
      <c r="AC127" s="230" t="n"/>
      <c r="AD127" s="231" t="n"/>
      <c r="AE127" s="233">
        <f>IFERROR(VLOOKUP(F127,'DATA BASE'!A:I,9,FALSE),"")</f>
        <v/>
      </c>
      <c r="AF127" s="231" t="n"/>
      <c r="AG127" s="232">
        <f>IFERROR(VLOOKUP(F127,'DATA BASE'!A:I,6,FALSE),"")</f>
        <v/>
      </c>
      <c r="AH127" s="230" t="n"/>
      <c r="AI127" s="231" t="n"/>
      <c r="AJ127" s="234">
        <f>IFERROR(VLOOKUP(F127,'DATA BASE'!A:I,8,FALSE),"")</f>
        <v/>
      </c>
      <c r="AK127" s="235" t="n"/>
    </row>
    <row r="128" ht="15.65" customHeight="1" s="7">
      <c r="A128" s="242" t="n"/>
      <c r="B128" s="242" t="n"/>
      <c r="C128" s="242" t="n"/>
      <c r="D128" s="242" t="n"/>
      <c r="E128" s="242" t="n"/>
      <c r="F128" s="148" t="n"/>
      <c r="G128" s="228" t="n"/>
      <c r="H128" s="236" t="n"/>
      <c r="I128" s="122" t="n"/>
      <c r="J128" s="240" t="n"/>
      <c r="K128" s="240" t="n"/>
      <c r="L128" s="241" t="n"/>
      <c r="M128" s="122" t="n"/>
      <c r="N128" s="241" t="n"/>
      <c r="O128" s="122" t="n"/>
      <c r="P128" s="240" t="n"/>
      <c r="Q128" s="240" t="n"/>
      <c r="R128" s="240" t="n"/>
      <c r="S128" s="240" t="n"/>
      <c r="T128" s="241" t="n"/>
      <c r="U128" s="243" t="n"/>
      <c r="V128" s="229" t="n"/>
      <c r="W128" s="242" t="n"/>
      <c r="X128" s="242" t="n"/>
      <c r="Y128" s="185">
        <f>VLOOKUP(F127,'DATA BASE'!A:I,2,FALSE)</f>
        <v/>
      </c>
      <c r="Z128" s="230" t="n"/>
      <c r="AA128" s="231" t="n"/>
      <c r="AB128" s="232">
        <f>IFERROR(VLOOKUP(F127,'DATA BASE'!A:I,4,FALSE),"")</f>
        <v/>
      </c>
      <c r="AC128" s="230" t="n"/>
      <c r="AD128" s="231" t="n"/>
      <c r="AE128" s="232">
        <f>IFERROR(VLOOKUP(F127,'DATA BASE'!A:I,5,FALSE),"")</f>
        <v/>
      </c>
      <c r="AF128" s="231" t="n"/>
      <c r="AG128" s="232">
        <f>IFERROR(VLOOKUP(F127,'DATA BASE'!A:I,7,FALSE),"")</f>
        <v/>
      </c>
      <c r="AH128" s="230" t="n"/>
      <c r="AI128" s="231" t="n"/>
      <c r="AJ128" s="238" t="n"/>
      <c r="AK128" s="239" t="n"/>
    </row>
    <row r="129" ht="15.5" customHeight="1" s="7">
      <c r="A129" s="157" t="n">
        <v>61</v>
      </c>
      <c r="B129" s="158" t="n"/>
      <c r="C129" s="159" t="n"/>
      <c r="D129" s="159" t="n"/>
      <c r="E129" s="159" t="n"/>
      <c r="F129" s="148" t="n"/>
      <c r="G129" s="228" t="n"/>
      <c r="H129" s="236" t="n"/>
      <c r="I129" s="122" t="n"/>
      <c r="J129" s="240" t="n"/>
      <c r="K129" s="240" t="n"/>
      <c r="L129" s="241" t="n"/>
      <c r="M129" s="138" t="n"/>
      <c r="N129" s="241" t="n"/>
      <c r="O129" s="122" t="n"/>
      <c r="P129" s="240" t="n"/>
      <c r="Q129" s="240" t="n"/>
      <c r="R129" s="240" t="n"/>
      <c r="S129" s="240" t="n"/>
      <c r="T129" s="241" t="n"/>
      <c r="U129" s="146" t="n"/>
      <c r="V129" s="227" t="n"/>
      <c r="W129" s="159" t="n"/>
      <c r="X129" s="159" t="n"/>
      <c r="Y129" s="185" t="inlineStr">
        <is>
          <t>DAVID WILDNER</t>
        </is>
      </c>
      <c r="Z129" s="230" t="n"/>
      <c r="AA129" s="231" t="n"/>
      <c r="AB129" s="232">
        <f>IFERROR(VLOOKUP(F129,'DATA BASE'!A:I,3,FALSE),"")</f>
        <v/>
      </c>
      <c r="AC129" s="230" t="n"/>
      <c r="AD129" s="231" t="n"/>
      <c r="AE129" s="233">
        <f>IFERROR(VLOOKUP(F129,'DATA BASE'!A:I,9,FALSE),"")</f>
        <v/>
      </c>
      <c r="AF129" s="231" t="n"/>
      <c r="AG129" s="232">
        <f>IFERROR(VLOOKUP(F129,'DATA BASE'!A:I,6,FALSE),"")</f>
        <v/>
      </c>
      <c r="AH129" s="230" t="n"/>
      <c r="AI129" s="231" t="n"/>
      <c r="AJ129" s="234">
        <f>IFERROR(VLOOKUP(F129,'DATA BASE'!A:I,8,FALSE),"")</f>
        <v/>
      </c>
      <c r="AK129" s="235" t="n"/>
    </row>
    <row r="130" ht="15.5" customHeight="1" s="7">
      <c r="A130" s="242" t="n"/>
      <c r="B130" s="242" t="n"/>
      <c r="C130" s="242" t="n"/>
      <c r="D130" s="242" t="n"/>
      <c r="E130" s="242" t="n"/>
      <c r="F130" s="148" t="n"/>
      <c r="G130" s="228" t="n"/>
      <c r="H130" s="236" t="n"/>
      <c r="I130" s="122" t="n"/>
      <c r="J130" s="240" t="n"/>
      <c r="K130" s="240" t="n"/>
      <c r="L130" s="241" t="n"/>
      <c r="M130" s="122" t="n"/>
      <c r="N130" s="241" t="n"/>
      <c r="O130" s="122" t="n"/>
      <c r="P130" s="240" t="n"/>
      <c r="Q130" s="240" t="n"/>
      <c r="R130" s="240" t="n"/>
      <c r="S130" s="240" t="n"/>
      <c r="T130" s="241" t="n"/>
      <c r="U130" s="243" t="n"/>
      <c r="V130" s="229" t="n"/>
      <c r="W130" s="242" t="n"/>
      <c r="X130" s="242" t="n"/>
      <c r="Y130" s="185">
        <f>VLOOKUP(F129,'DATA BASE'!A:I,2,FALSE)</f>
        <v/>
      </c>
      <c r="Z130" s="230" t="n"/>
      <c r="AA130" s="231" t="n"/>
      <c r="AB130" s="232">
        <f>IFERROR(VLOOKUP(F129,'DATA BASE'!A:I,4,FALSE),"")</f>
        <v/>
      </c>
      <c r="AC130" s="230" t="n"/>
      <c r="AD130" s="231" t="n"/>
      <c r="AE130" s="232">
        <f>IFERROR(VLOOKUP(F129,'DATA BASE'!A:I,5,FALSE),"")</f>
        <v/>
      </c>
      <c r="AF130" s="231" t="n"/>
      <c r="AG130" s="232">
        <f>IFERROR(VLOOKUP(F129,'DATA BASE'!A:I,7,FALSE),"")</f>
        <v/>
      </c>
      <c r="AH130" s="230" t="n"/>
      <c r="AI130" s="231" t="n"/>
      <c r="AJ130" s="238" t="n"/>
      <c r="AK130" s="239" t="n"/>
    </row>
    <row r="131" ht="15.5" customHeight="1" s="7">
      <c r="A131" s="157" t="n">
        <v>62</v>
      </c>
      <c r="B131" s="158" t="n"/>
      <c r="C131" s="159" t="n"/>
      <c r="D131" s="159" t="n"/>
      <c r="E131" s="159" t="n"/>
      <c r="F131" s="148" t="n"/>
      <c r="G131" s="228" t="n"/>
      <c r="H131" s="236" t="n"/>
      <c r="I131" s="122" t="n"/>
      <c r="J131" s="240" t="n"/>
      <c r="K131" s="240" t="n"/>
      <c r="L131" s="241" t="n"/>
      <c r="M131" s="138" t="n"/>
      <c r="N131" s="241" t="n"/>
      <c r="O131" s="122" t="n"/>
      <c r="P131" s="240" t="n"/>
      <c r="Q131" s="240" t="n"/>
      <c r="R131" s="240" t="n"/>
      <c r="S131" s="240" t="n"/>
      <c r="T131" s="241" t="n"/>
      <c r="U131" s="146" t="n"/>
      <c r="V131" s="227" t="n"/>
      <c r="W131" s="159" t="n"/>
      <c r="X131" s="159" t="n"/>
      <c r="Y131" s="185" t="inlineStr">
        <is>
          <t>DAVID WILDNER</t>
        </is>
      </c>
      <c r="Z131" s="230" t="n"/>
      <c r="AA131" s="231" t="n"/>
      <c r="AB131" s="232">
        <f>IFERROR(VLOOKUP(F131,'DATA BASE'!A:I,3,FALSE),"")</f>
        <v/>
      </c>
      <c r="AC131" s="230" t="n"/>
      <c r="AD131" s="231" t="n"/>
      <c r="AE131" s="233">
        <f>IFERROR(VLOOKUP(F131,'DATA BASE'!A:I,9,FALSE),"")</f>
        <v/>
      </c>
      <c r="AF131" s="231" t="n"/>
      <c r="AG131" s="232">
        <f>IFERROR(VLOOKUP(F131,'DATA BASE'!A:I,6,FALSE),"")</f>
        <v/>
      </c>
      <c r="AH131" s="230" t="n"/>
      <c r="AI131" s="231" t="n"/>
      <c r="AJ131" s="234">
        <f>IFERROR(VLOOKUP(F131,'DATA BASE'!A:I,8,FALSE),"")</f>
        <v/>
      </c>
      <c r="AK131" s="235" t="n"/>
    </row>
    <row r="132" ht="15.5" customHeight="1" s="7">
      <c r="A132" s="242" t="n"/>
      <c r="B132" s="242" t="n"/>
      <c r="C132" s="242" t="n"/>
      <c r="D132" s="242" t="n"/>
      <c r="E132" s="242" t="n"/>
      <c r="F132" s="148" t="n"/>
      <c r="G132" s="228" t="n"/>
      <c r="H132" s="236" t="n"/>
      <c r="I132" s="122" t="n"/>
      <c r="J132" s="240" t="n"/>
      <c r="K132" s="240" t="n"/>
      <c r="L132" s="241" t="n"/>
      <c r="M132" s="122" t="n"/>
      <c r="N132" s="241" t="n"/>
      <c r="O132" s="122" t="n"/>
      <c r="P132" s="240" t="n"/>
      <c r="Q132" s="240" t="n"/>
      <c r="R132" s="240" t="n"/>
      <c r="S132" s="240" t="n"/>
      <c r="T132" s="241" t="n"/>
      <c r="U132" s="243" t="n"/>
      <c r="V132" s="229" t="n"/>
      <c r="W132" s="242" t="n"/>
      <c r="X132" s="242" t="n"/>
      <c r="Y132" s="185">
        <f>VLOOKUP(F131,'DATA BASE'!A:I,2,FALSE)</f>
        <v/>
      </c>
      <c r="Z132" s="230" t="n"/>
      <c r="AA132" s="231" t="n"/>
      <c r="AB132" s="232">
        <f>IFERROR(VLOOKUP(F131,'DATA BASE'!A:I,4,FALSE),"")</f>
        <v/>
      </c>
      <c r="AC132" s="230" t="n"/>
      <c r="AD132" s="231" t="n"/>
      <c r="AE132" s="232">
        <f>IFERROR(VLOOKUP(F131,'DATA BASE'!A:I,5,FALSE),"")</f>
        <v/>
      </c>
      <c r="AF132" s="231" t="n"/>
      <c r="AG132" s="232">
        <f>IFERROR(VLOOKUP(F131,'DATA BASE'!A:I,7,FALSE),"")</f>
        <v/>
      </c>
      <c r="AH132" s="230" t="n"/>
      <c r="AI132" s="231" t="n"/>
      <c r="AJ132" s="238" t="n"/>
      <c r="AK132" s="239" t="n"/>
    </row>
    <row r="133" ht="15.5" customHeight="1" s="7">
      <c r="A133" s="157" t="n">
        <v>63</v>
      </c>
      <c r="B133" s="158" t="n"/>
      <c r="C133" s="159" t="n"/>
      <c r="D133" s="159" t="n"/>
      <c r="E133" s="159" t="n"/>
      <c r="F133" s="148" t="n"/>
      <c r="G133" s="228" t="n"/>
      <c r="H133" s="236" t="n"/>
      <c r="I133" s="122" t="n"/>
      <c r="J133" s="240" t="n"/>
      <c r="K133" s="240" t="n"/>
      <c r="L133" s="241" t="n"/>
      <c r="M133" s="138" t="n"/>
      <c r="N133" s="241" t="n"/>
      <c r="O133" s="122" t="n"/>
      <c r="P133" s="240" t="n"/>
      <c r="Q133" s="240" t="n"/>
      <c r="R133" s="240" t="n"/>
      <c r="S133" s="240" t="n"/>
      <c r="T133" s="241" t="n"/>
      <c r="U133" s="146" t="n"/>
      <c r="V133" s="227" t="n"/>
      <c r="W133" s="159" t="n"/>
      <c r="X133" s="159" t="n"/>
      <c r="Y133" s="185" t="inlineStr">
        <is>
          <t>DAVID WILDNER</t>
        </is>
      </c>
      <c r="Z133" s="230" t="n"/>
      <c r="AA133" s="231" t="n"/>
      <c r="AB133" s="232">
        <f>IFERROR(VLOOKUP(F133,'DATA BASE'!A:I,3,FALSE),"")</f>
        <v/>
      </c>
      <c r="AC133" s="230" t="n"/>
      <c r="AD133" s="231" t="n"/>
      <c r="AE133" s="233">
        <f>IFERROR(VLOOKUP(F133,'DATA BASE'!A:I,9,FALSE),"")</f>
        <v/>
      </c>
      <c r="AF133" s="231" t="n"/>
      <c r="AG133" s="232">
        <f>IFERROR(VLOOKUP(F133,'DATA BASE'!A:I,6,FALSE),"")</f>
        <v/>
      </c>
      <c r="AH133" s="230" t="n"/>
      <c r="AI133" s="231" t="n"/>
      <c r="AJ133" s="234">
        <f>IFERROR(VLOOKUP(F133,'DATA BASE'!A:I,8,FALSE),"")</f>
        <v/>
      </c>
      <c r="AK133" s="235" t="n"/>
    </row>
    <row r="134" ht="15.5" customHeight="1" s="7">
      <c r="A134" s="242" t="n"/>
      <c r="B134" s="242" t="n"/>
      <c r="C134" s="242" t="n"/>
      <c r="D134" s="242" t="n"/>
      <c r="E134" s="242" t="n"/>
      <c r="F134" s="148" t="n"/>
      <c r="G134" s="228" t="n"/>
      <c r="H134" s="236" t="n"/>
      <c r="I134" s="122" t="n"/>
      <c r="J134" s="240" t="n"/>
      <c r="K134" s="240" t="n"/>
      <c r="L134" s="241" t="n"/>
      <c r="M134" s="122" t="n"/>
      <c r="N134" s="241" t="n"/>
      <c r="O134" s="122" t="n"/>
      <c r="P134" s="240" t="n"/>
      <c r="Q134" s="240" t="n"/>
      <c r="R134" s="240" t="n"/>
      <c r="S134" s="240" t="n"/>
      <c r="T134" s="241" t="n"/>
      <c r="U134" s="243" t="n"/>
      <c r="V134" s="229" t="n"/>
      <c r="W134" s="242" t="n"/>
      <c r="X134" s="242" t="n"/>
      <c r="Y134" s="185">
        <f>VLOOKUP(F133,'DATA BASE'!A:I,2,FALSE)</f>
        <v/>
      </c>
      <c r="Z134" s="230" t="n"/>
      <c r="AA134" s="231" t="n"/>
      <c r="AB134" s="232">
        <f>IFERROR(VLOOKUP(F133,'DATA BASE'!A:I,4,FALSE),"")</f>
        <v/>
      </c>
      <c r="AC134" s="230" t="n"/>
      <c r="AD134" s="231" t="n"/>
      <c r="AE134" s="232">
        <f>IFERROR(VLOOKUP(F133,'DATA BASE'!A:I,5,FALSE),"")</f>
        <v/>
      </c>
      <c r="AF134" s="231" t="n"/>
      <c r="AG134" s="232">
        <f>IFERROR(VLOOKUP(F133,'DATA BASE'!A:I,7,FALSE),"")</f>
        <v/>
      </c>
      <c r="AH134" s="230" t="n"/>
      <c r="AI134" s="231" t="n"/>
      <c r="AJ134" s="238" t="n"/>
      <c r="AK134" s="239" t="n"/>
    </row>
    <row r="135" ht="15.5" customHeight="1" s="7">
      <c r="A135" s="157" t="n">
        <v>64</v>
      </c>
      <c r="B135" s="158" t="n"/>
      <c r="C135" s="159" t="n"/>
      <c r="D135" s="159" t="n"/>
      <c r="E135" s="159" t="n"/>
      <c r="F135" s="148" t="n"/>
      <c r="G135" s="228" t="n"/>
      <c r="H135" s="236" t="n"/>
      <c r="I135" s="122" t="n"/>
      <c r="J135" s="240" t="n"/>
      <c r="K135" s="240" t="n"/>
      <c r="L135" s="241" t="n"/>
      <c r="M135" s="138" t="n"/>
      <c r="N135" s="241" t="n"/>
      <c r="O135" s="122" t="n"/>
      <c r="P135" s="240" t="n"/>
      <c r="Q135" s="240" t="n"/>
      <c r="R135" s="240" t="n"/>
      <c r="S135" s="240" t="n"/>
      <c r="T135" s="241" t="n"/>
      <c r="U135" s="146" t="n"/>
      <c r="V135" s="227" t="n"/>
      <c r="W135" s="159" t="n"/>
      <c r="X135" s="159" t="n"/>
      <c r="Y135" s="185" t="inlineStr">
        <is>
          <t>DAVID WILDNER</t>
        </is>
      </c>
      <c r="Z135" s="230" t="n"/>
      <c r="AA135" s="231" t="n"/>
      <c r="AB135" s="232">
        <f>IFERROR(VLOOKUP(F135,'DATA BASE'!A:I,3,FALSE),"")</f>
        <v/>
      </c>
      <c r="AC135" s="230" t="n"/>
      <c r="AD135" s="231" t="n"/>
      <c r="AE135" s="233">
        <f>IFERROR(VLOOKUP(F135,'DATA BASE'!A:I,9,FALSE),"")</f>
        <v/>
      </c>
      <c r="AF135" s="231" t="n"/>
      <c r="AG135" s="232">
        <f>IFERROR(VLOOKUP(F135,'DATA BASE'!A:I,6,FALSE),"")</f>
        <v/>
      </c>
      <c r="AH135" s="230" t="n"/>
      <c r="AI135" s="231" t="n"/>
      <c r="AJ135" s="234">
        <f>IFERROR(VLOOKUP(F135,'DATA BASE'!A:I,8,FALSE),"")</f>
        <v/>
      </c>
      <c r="AK135" s="235" t="n"/>
    </row>
    <row r="136" ht="15.5" customHeight="1" s="7">
      <c r="A136" s="242" t="n"/>
      <c r="B136" s="242" t="n"/>
      <c r="C136" s="242" t="n"/>
      <c r="D136" s="242" t="n"/>
      <c r="E136" s="242" t="n"/>
      <c r="F136" s="148" t="n"/>
      <c r="G136" s="228" t="n"/>
      <c r="H136" s="236" t="n"/>
      <c r="I136" s="122" t="n"/>
      <c r="J136" s="240" t="n"/>
      <c r="K136" s="240" t="n"/>
      <c r="L136" s="241" t="n"/>
      <c r="M136" s="122" t="n"/>
      <c r="N136" s="241" t="n"/>
      <c r="O136" s="122" t="n"/>
      <c r="P136" s="240" t="n"/>
      <c r="Q136" s="240" t="n"/>
      <c r="R136" s="240" t="n"/>
      <c r="S136" s="240" t="n"/>
      <c r="T136" s="241" t="n"/>
      <c r="U136" s="243" t="n"/>
      <c r="V136" s="229" t="n"/>
      <c r="W136" s="242" t="n"/>
      <c r="X136" s="242" t="n"/>
      <c r="Y136" s="185">
        <f>VLOOKUP(F135,'DATA BASE'!A:I,2,FALSE)</f>
        <v/>
      </c>
      <c r="Z136" s="230" t="n"/>
      <c r="AA136" s="231" t="n"/>
      <c r="AB136" s="232">
        <f>IFERROR(VLOOKUP(F135,'DATA BASE'!A:I,4,FALSE),"")</f>
        <v/>
      </c>
      <c r="AC136" s="230" t="n"/>
      <c r="AD136" s="231" t="n"/>
      <c r="AE136" s="232">
        <f>IFERROR(VLOOKUP(F135,'DATA BASE'!A:I,5,FALSE),"")</f>
        <v/>
      </c>
      <c r="AF136" s="231" t="n"/>
      <c r="AG136" s="232">
        <f>IFERROR(VLOOKUP(F135,'DATA BASE'!A:I,7,FALSE),"")</f>
        <v/>
      </c>
      <c r="AH136" s="230" t="n"/>
      <c r="AI136" s="231" t="n"/>
      <c r="AJ136" s="238" t="n"/>
      <c r="AK136" s="239" t="n"/>
    </row>
    <row r="137" ht="15.5" customHeight="1" s="7">
      <c r="A137" s="157" t="n">
        <v>65</v>
      </c>
      <c r="B137" s="158" t="n"/>
      <c r="C137" s="159" t="n"/>
      <c r="D137" s="159" t="n"/>
      <c r="E137" s="159" t="n"/>
      <c r="F137" s="148" t="n"/>
      <c r="G137" s="228" t="n"/>
      <c r="H137" s="236" t="n"/>
      <c r="I137" s="122" t="n"/>
      <c r="J137" s="240" t="n"/>
      <c r="K137" s="240" t="n"/>
      <c r="L137" s="241" t="n"/>
      <c r="M137" s="138" t="n"/>
      <c r="N137" s="241" t="n"/>
      <c r="O137" s="122" t="n"/>
      <c r="P137" s="240" t="n"/>
      <c r="Q137" s="240" t="n"/>
      <c r="R137" s="240" t="n"/>
      <c r="S137" s="240" t="n"/>
      <c r="T137" s="241" t="n"/>
      <c r="U137" s="146" t="n"/>
      <c r="V137" s="227" t="n"/>
      <c r="W137" s="159" t="n"/>
      <c r="X137" s="159" t="n"/>
      <c r="Y137" s="185" t="inlineStr">
        <is>
          <t>DAVID WILDNER</t>
        </is>
      </c>
      <c r="Z137" s="230" t="n"/>
      <c r="AA137" s="231" t="n"/>
      <c r="AB137" s="232">
        <f>IFERROR(VLOOKUP(F137,'DATA BASE'!A:I,3,FALSE),"")</f>
        <v/>
      </c>
      <c r="AC137" s="230" t="n"/>
      <c r="AD137" s="231" t="n"/>
      <c r="AE137" s="233">
        <f>IFERROR(VLOOKUP(F137,'DATA BASE'!A:I,9,FALSE),"")</f>
        <v/>
      </c>
      <c r="AF137" s="231" t="n"/>
      <c r="AG137" s="232">
        <f>IFERROR(VLOOKUP(F137,'DATA BASE'!A:I,6,FALSE),"")</f>
        <v/>
      </c>
      <c r="AH137" s="230" t="n"/>
      <c r="AI137" s="231" t="n"/>
      <c r="AJ137" s="234">
        <f>IFERROR(VLOOKUP(F137,'DATA BASE'!A:I,8,FALSE),"")</f>
        <v/>
      </c>
      <c r="AK137" s="235" t="n"/>
    </row>
    <row r="138" ht="15.5" customHeight="1" s="7">
      <c r="A138" s="242" t="n"/>
      <c r="B138" s="242" t="n"/>
      <c r="C138" s="242" t="n"/>
      <c r="D138" s="242" t="n"/>
      <c r="E138" s="242" t="n"/>
      <c r="F138" s="148" t="n"/>
      <c r="G138" s="228" t="n"/>
      <c r="H138" s="236" t="n"/>
      <c r="I138" s="122" t="n"/>
      <c r="J138" s="240" t="n"/>
      <c r="K138" s="240" t="n"/>
      <c r="L138" s="241" t="n"/>
      <c r="M138" s="122" t="n"/>
      <c r="N138" s="241" t="n"/>
      <c r="O138" s="122" t="n"/>
      <c r="P138" s="240" t="n"/>
      <c r="Q138" s="240" t="n"/>
      <c r="R138" s="240" t="n"/>
      <c r="S138" s="240" t="n"/>
      <c r="T138" s="241" t="n"/>
      <c r="U138" s="243" t="n"/>
      <c r="V138" s="229" t="n"/>
      <c r="W138" s="242" t="n"/>
      <c r="X138" s="242" t="n"/>
      <c r="Y138" s="185">
        <f>VLOOKUP(F137,'DATA BASE'!A:I,2,FALSE)</f>
        <v/>
      </c>
      <c r="Z138" s="230" t="n"/>
      <c r="AA138" s="231" t="n"/>
      <c r="AB138" s="232">
        <f>IFERROR(VLOOKUP(F137,'DATA BASE'!A:I,4,FALSE),"")</f>
        <v/>
      </c>
      <c r="AC138" s="230" t="n"/>
      <c r="AD138" s="231" t="n"/>
      <c r="AE138" s="232">
        <f>IFERROR(VLOOKUP(F137,'DATA BASE'!A:I,5,FALSE),"")</f>
        <v/>
      </c>
      <c r="AF138" s="231" t="n"/>
      <c r="AG138" s="232">
        <f>IFERROR(VLOOKUP(F137,'DATA BASE'!A:I,7,FALSE),"")</f>
        <v/>
      </c>
      <c r="AH138" s="230" t="n"/>
      <c r="AI138" s="231" t="n"/>
      <c r="AJ138" s="238" t="n"/>
      <c r="AK138" s="239" t="n"/>
    </row>
    <row r="139" ht="15.5" customHeight="1" s="7">
      <c r="A139" s="157" t="n">
        <v>66</v>
      </c>
      <c r="B139" s="158" t="n"/>
      <c r="C139" s="159" t="n"/>
      <c r="D139" s="159" t="n"/>
      <c r="E139" s="159" t="n"/>
      <c r="F139" s="148" t="n"/>
      <c r="G139" s="228" t="n"/>
      <c r="H139" s="236" t="n"/>
      <c r="I139" s="122" t="n"/>
      <c r="J139" s="240" t="n"/>
      <c r="K139" s="240" t="n"/>
      <c r="L139" s="241" t="n"/>
      <c r="M139" s="138" t="n"/>
      <c r="N139" s="241" t="n"/>
      <c r="O139" s="122" t="n"/>
      <c r="P139" s="240" t="n"/>
      <c r="Q139" s="240" t="n"/>
      <c r="R139" s="240" t="n"/>
      <c r="S139" s="240" t="n"/>
      <c r="T139" s="241" t="n"/>
      <c r="U139" s="146" t="n"/>
      <c r="V139" s="227" t="n"/>
      <c r="W139" s="159" t="n"/>
      <c r="X139" s="159" t="n"/>
      <c r="Y139" s="185" t="inlineStr">
        <is>
          <t>DAVID WILDNER</t>
        </is>
      </c>
      <c r="Z139" s="230" t="n"/>
      <c r="AA139" s="231" t="n"/>
      <c r="AB139" s="232">
        <f>IFERROR(VLOOKUP(F139,'DATA BASE'!A:I,3,FALSE),"")</f>
        <v/>
      </c>
      <c r="AC139" s="230" t="n"/>
      <c r="AD139" s="231" t="n"/>
      <c r="AE139" s="233">
        <f>IFERROR(VLOOKUP(F139,'DATA BASE'!A:I,9,FALSE),"")</f>
        <v/>
      </c>
      <c r="AF139" s="231" t="n"/>
      <c r="AG139" s="232">
        <f>IFERROR(VLOOKUP(F139,'DATA BASE'!A:I,6,FALSE),"")</f>
        <v/>
      </c>
      <c r="AH139" s="230" t="n"/>
      <c r="AI139" s="231" t="n"/>
      <c r="AJ139" s="234">
        <f>IFERROR(VLOOKUP(F139,'DATA BASE'!A:I,8,FALSE),"")</f>
        <v/>
      </c>
      <c r="AK139" s="235" t="n"/>
    </row>
    <row r="140" ht="15.5" customHeight="1" s="7">
      <c r="A140" s="242" t="n"/>
      <c r="B140" s="242" t="n"/>
      <c r="C140" s="242" t="n"/>
      <c r="D140" s="242" t="n"/>
      <c r="E140" s="242" t="n"/>
      <c r="F140" s="148" t="n"/>
      <c r="G140" s="228" t="n"/>
      <c r="H140" s="236" t="n"/>
      <c r="I140" s="122" t="n"/>
      <c r="J140" s="240" t="n"/>
      <c r="K140" s="240" t="n"/>
      <c r="L140" s="241" t="n"/>
      <c r="M140" s="122" t="n"/>
      <c r="N140" s="241" t="n"/>
      <c r="O140" s="122" t="n"/>
      <c r="P140" s="240" t="n"/>
      <c r="Q140" s="240" t="n"/>
      <c r="R140" s="240" t="n"/>
      <c r="S140" s="240" t="n"/>
      <c r="T140" s="241" t="n"/>
      <c r="U140" s="243" t="n"/>
      <c r="V140" s="229" t="n"/>
      <c r="W140" s="242" t="n"/>
      <c r="X140" s="242" t="n"/>
      <c r="Y140" s="185">
        <f>VLOOKUP(F139,'DATA BASE'!A:I,2,FALSE)</f>
        <v/>
      </c>
      <c r="Z140" s="230" t="n"/>
      <c r="AA140" s="231" t="n"/>
      <c r="AB140" s="232">
        <f>IFERROR(VLOOKUP(F139,'DATA BASE'!A:I,4,FALSE),"")</f>
        <v/>
      </c>
      <c r="AC140" s="230" t="n"/>
      <c r="AD140" s="231" t="n"/>
      <c r="AE140" s="232">
        <f>IFERROR(VLOOKUP(F139,'DATA BASE'!A:I,5,FALSE),"")</f>
        <v/>
      </c>
      <c r="AF140" s="231" t="n"/>
      <c r="AG140" s="232">
        <f>IFERROR(VLOOKUP(F139,'DATA BASE'!A:I,7,FALSE),"")</f>
        <v/>
      </c>
      <c r="AH140" s="230" t="n"/>
      <c r="AI140" s="231" t="n"/>
      <c r="AJ140" s="238" t="n"/>
      <c r="AK140" s="239" t="n"/>
    </row>
    <row r="141" ht="15.5" customHeight="1" s="7">
      <c r="A141" s="157" t="n">
        <v>67</v>
      </c>
      <c r="B141" s="158" t="n"/>
      <c r="C141" s="159" t="n"/>
      <c r="D141" s="159" t="n"/>
      <c r="E141" s="159" t="n"/>
      <c r="F141" s="148" t="n"/>
      <c r="G141" s="228" t="n"/>
      <c r="H141" s="236" t="n"/>
      <c r="I141" s="122" t="n"/>
      <c r="J141" s="240" t="n"/>
      <c r="K141" s="240" t="n"/>
      <c r="L141" s="241" t="n"/>
      <c r="M141" s="138" t="n"/>
      <c r="N141" s="241" t="n"/>
      <c r="O141" s="122" t="n"/>
      <c r="P141" s="240" t="n"/>
      <c r="Q141" s="240" t="n"/>
      <c r="R141" s="240" t="n"/>
      <c r="S141" s="240" t="n"/>
      <c r="T141" s="241" t="n"/>
      <c r="U141" s="146" t="n"/>
      <c r="V141" s="227" t="n"/>
      <c r="W141" s="159" t="n"/>
      <c r="X141" s="159" t="n"/>
      <c r="Y141" s="185" t="inlineStr">
        <is>
          <t>DAVID WILDNER</t>
        </is>
      </c>
      <c r="Z141" s="230" t="n"/>
      <c r="AA141" s="231" t="n"/>
      <c r="AB141" s="232">
        <f>IFERROR(VLOOKUP(F141,'DATA BASE'!A:I,3,FALSE),"")</f>
        <v/>
      </c>
      <c r="AC141" s="230" t="n"/>
      <c r="AD141" s="231" t="n"/>
      <c r="AE141" s="233">
        <f>IFERROR(VLOOKUP(F141,'DATA BASE'!A:I,9,FALSE),"")</f>
        <v/>
      </c>
      <c r="AF141" s="231" t="n"/>
      <c r="AG141" s="232">
        <f>IFERROR(VLOOKUP(F141,'DATA BASE'!A:I,6,FALSE),"")</f>
        <v/>
      </c>
      <c r="AH141" s="230" t="n"/>
      <c r="AI141" s="231" t="n"/>
      <c r="AJ141" s="234">
        <f>IFERROR(VLOOKUP(F141,'DATA BASE'!A:I,8,FALSE),"")</f>
        <v/>
      </c>
      <c r="AK141" s="235" t="n"/>
    </row>
    <row r="142" ht="15.5" customHeight="1" s="7">
      <c r="A142" s="242" t="n"/>
      <c r="B142" s="242" t="n"/>
      <c r="C142" s="242" t="n"/>
      <c r="D142" s="242" t="n"/>
      <c r="E142" s="242" t="n"/>
      <c r="F142" s="148" t="n"/>
      <c r="G142" s="228" t="n"/>
      <c r="H142" s="236" t="n"/>
      <c r="I142" s="122" t="n"/>
      <c r="J142" s="240" t="n"/>
      <c r="K142" s="240" t="n"/>
      <c r="L142" s="241" t="n"/>
      <c r="M142" s="122" t="n"/>
      <c r="N142" s="241" t="n"/>
      <c r="O142" s="122" t="n"/>
      <c r="P142" s="240" t="n"/>
      <c r="Q142" s="240" t="n"/>
      <c r="R142" s="240" t="n"/>
      <c r="S142" s="240" t="n"/>
      <c r="T142" s="241" t="n"/>
      <c r="U142" s="243" t="n"/>
      <c r="V142" s="229" t="n"/>
      <c r="W142" s="242" t="n"/>
      <c r="X142" s="242" t="n"/>
      <c r="Y142" s="185">
        <f>VLOOKUP(F141,'DATA BASE'!A:I,2,FALSE)</f>
        <v/>
      </c>
      <c r="Z142" s="230" t="n"/>
      <c r="AA142" s="231" t="n"/>
      <c r="AB142" s="232">
        <f>IFERROR(VLOOKUP(F141,'DATA BASE'!A:I,4,FALSE),"")</f>
        <v/>
      </c>
      <c r="AC142" s="230" t="n"/>
      <c r="AD142" s="231" t="n"/>
      <c r="AE142" s="232">
        <f>IFERROR(VLOOKUP(F141,'DATA BASE'!A:I,5,FALSE),"")</f>
        <v/>
      </c>
      <c r="AF142" s="231" t="n"/>
      <c r="AG142" s="232">
        <f>IFERROR(VLOOKUP(F141,'DATA BASE'!A:I,7,FALSE),"")</f>
        <v/>
      </c>
      <c r="AH142" s="230" t="n"/>
      <c r="AI142" s="231" t="n"/>
      <c r="AJ142" s="238" t="n"/>
      <c r="AK142" s="239" t="n"/>
    </row>
    <row r="143" ht="15.65" customHeight="1" s="7">
      <c r="A143" s="157" t="n">
        <v>68</v>
      </c>
      <c r="B143" s="158" t="n"/>
      <c r="C143" s="159" t="n"/>
      <c r="D143" s="159" t="n"/>
      <c r="E143" s="159" t="n"/>
      <c r="F143" s="148" t="n"/>
      <c r="G143" s="228" t="n"/>
      <c r="H143" s="236" t="n"/>
      <c r="I143" s="122" t="n"/>
      <c r="J143" s="240" t="n"/>
      <c r="K143" s="240" t="n"/>
      <c r="L143" s="241" t="n"/>
      <c r="M143" s="138" t="n"/>
      <c r="N143" s="241" t="n"/>
      <c r="O143" s="122" t="n"/>
      <c r="P143" s="240" t="n"/>
      <c r="Q143" s="240" t="n"/>
      <c r="R143" s="240" t="n"/>
      <c r="S143" s="240" t="n"/>
      <c r="T143" s="241" t="n"/>
      <c r="U143" s="146" t="n"/>
      <c r="V143" s="227" t="n"/>
      <c r="W143" s="159" t="n"/>
      <c r="X143" s="159" t="n"/>
      <c r="Y143" s="185" t="inlineStr">
        <is>
          <t>DAVID WILDNER</t>
        </is>
      </c>
      <c r="Z143" s="230" t="n"/>
      <c r="AA143" s="231" t="n"/>
      <c r="AB143" s="232">
        <f>IFERROR(VLOOKUP(F143,'DATA BASE'!A:I,3,FALSE),"")</f>
        <v/>
      </c>
      <c r="AC143" s="230" t="n"/>
      <c r="AD143" s="231" t="n"/>
      <c r="AE143" s="233">
        <f>IFERROR(VLOOKUP(F143,'DATA BASE'!A:I,9,FALSE),"")</f>
        <v/>
      </c>
      <c r="AF143" s="231" t="n"/>
      <c r="AG143" s="232">
        <f>IFERROR(VLOOKUP(F143,'DATA BASE'!A:I,6,FALSE),"")</f>
        <v/>
      </c>
      <c r="AH143" s="230" t="n"/>
      <c r="AI143" s="231" t="n"/>
      <c r="AJ143" s="234">
        <f>IFERROR(VLOOKUP(F143,'DATA BASE'!A:I,8,FALSE),"")</f>
        <v/>
      </c>
      <c r="AK143" s="235" t="n"/>
    </row>
    <row r="144" ht="15.65" customHeight="1" s="7">
      <c r="A144" s="242" t="n"/>
      <c r="B144" s="242" t="n"/>
      <c r="C144" s="242" t="n"/>
      <c r="D144" s="242" t="n"/>
      <c r="E144" s="242" t="n"/>
      <c r="F144" s="148" t="n"/>
      <c r="G144" s="228" t="n"/>
      <c r="H144" s="236" t="n"/>
      <c r="I144" s="122" t="n"/>
      <c r="J144" s="240" t="n"/>
      <c r="K144" s="240" t="n"/>
      <c r="L144" s="241" t="n"/>
      <c r="M144" s="122" t="n"/>
      <c r="N144" s="241" t="n"/>
      <c r="O144" s="122" t="n"/>
      <c r="P144" s="240" t="n"/>
      <c r="Q144" s="240" t="n"/>
      <c r="R144" s="240" t="n"/>
      <c r="S144" s="240" t="n"/>
      <c r="T144" s="241" t="n"/>
      <c r="U144" s="243" t="n"/>
      <c r="V144" s="229" t="n"/>
      <c r="W144" s="242" t="n"/>
      <c r="X144" s="242" t="n"/>
      <c r="Y144" s="185">
        <f>VLOOKUP(F143,'DATA BASE'!A:I,2,FALSE)</f>
        <v/>
      </c>
      <c r="Z144" s="230" t="n"/>
      <c r="AA144" s="231" t="n"/>
      <c r="AB144" s="232">
        <f>IFERROR(VLOOKUP(F143,'DATA BASE'!A:I,4,FALSE),"")</f>
        <v/>
      </c>
      <c r="AC144" s="230" t="n"/>
      <c r="AD144" s="231" t="n"/>
      <c r="AE144" s="232">
        <f>IFERROR(VLOOKUP(F143,'DATA BASE'!A:I,5,FALSE),"")</f>
        <v/>
      </c>
      <c r="AF144" s="231" t="n"/>
      <c r="AG144" s="232">
        <f>IFERROR(VLOOKUP(F143,'DATA BASE'!A:I,7,FALSE),"")</f>
        <v/>
      </c>
      <c r="AH144" s="230" t="n"/>
      <c r="AI144" s="231" t="n"/>
      <c r="AJ144" s="238" t="n"/>
      <c r="AK144" s="239" t="n"/>
    </row>
    <row r="145" ht="15.5" customHeight="1" s="7">
      <c r="A145" s="157" t="n">
        <v>69</v>
      </c>
      <c r="B145" s="158" t="n"/>
      <c r="C145" s="159" t="n"/>
      <c r="D145" s="159" t="n"/>
      <c r="E145" s="159" t="n"/>
      <c r="F145" s="148" t="n"/>
      <c r="G145" s="228" t="n"/>
      <c r="H145" s="236" t="n"/>
      <c r="I145" s="122" t="n"/>
      <c r="J145" s="240" t="n"/>
      <c r="K145" s="240" t="n"/>
      <c r="L145" s="241" t="n"/>
      <c r="M145" s="138" t="n"/>
      <c r="N145" s="241" t="n"/>
      <c r="O145" s="122" t="n"/>
      <c r="P145" s="240" t="n"/>
      <c r="Q145" s="240" t="n"/>
      <c r="R145" s="240" t="n"/>
      <c r="S145" s="240" t="n"/>
      <c r="T145" s="241" t="n"/>
      <c r="U145" s="146" t="n"/>
      <c r="V145" s="227" t="n"/>
      <c r="W145" s="159" t="n"/>
      <c r="X145" s="159" t="n"/>
      <c r="Y145" s="185" t="inlineStr">
        <is>
          <t>DAVID WILDNER</t>
        </is>
      </c>
      <c r="Z145" s="230" t="n"/>
      <c r="AA145" s="231" t="n"/>
      <c r="AB145" s="232">
        <f>IFERROR(VLOOKUP(F145,'DATA BASE'!A:I,3,FALSE),"")</f>
        <v/>
      </c>
      <c r="AC145" s="230" t="n"/>
      <c r="AD145" s="231" t="n"/>
      <c r="AE145" s="233">
        <f>IFERROR(VLOOKUP(F145,'DATA BASE'!A:I,9,FALSE),"")</f>
        <v/>
      </c>
      <c r="AF145" s="231" t="n"/>
      <c r="AG145" s="232">
        <f>IFERROR(VLOOKUP(F145,'DATA BASE'!A:I,6,FALSE),"")</f>
        <v/>
      </c>
      <c r="AH145" s="230" t="n"/>
      <c r="AI145" s="231" t="n"/>
      <c r="AJ145" s="234">
        <f>IFERROR(VLOOKUP(F145,'DATA BASE'!A:I,8,FALSE),"")</f>
        <v/>
      </c>
      <c r="AK145" s="235" t="n"/>
    </row>
    <row r="146" ht="15.5" customHeight="1" s="7">
      <c r="A146" s="242" t="n"/>
      <c r="B146" s="242" t="n"/>
      <c r="C146" s="242" t="n"/>
      <c r="D146" s="242" t="n"/>
      <c r="E146" s="242" t="n"/>
      <c r="F146" s="148" t="n"/>
      <c r="G146" s="228" t="n"/>
      <c r="H146" s="236" t="n"/>
      <c r="I146" s="122" t="n"/>
      <c r="J146" s="240" t="n"/>
      <c r="K146" s="240" t="n"/>
      <c r="L146" s="241" t="n"/>
      <c r="M146" s="122" t="n"/>
      <c r="N146" s="241" t="n"/>
      <c r="O146" s="122" t="n"/>
      <c r="P146" s="240" t="n"/>
      <c r="Q146" s="240" t="n"/>
      <c r="R146" s="240" t="n"/>
      <c r="S146" s="240" t="n"/>
      <c r="T146" s="241" t="n"/>
      <c r="U146" s="243" t="n"/>
      <c r="V146" s="229" t="n"/>
      <c r="W146" s="242" t="n"/>
      <c r="X146" s="242" t="n"/>
      <c r="Y146" s="185">
        <f>VLOOKUP(F145,'DATA BASE'!A:I,2,FALSE)</f>
        <v/>
      </c>
      <c r="Z146" s="230" t="n"/>
      <c r="AA146" s="231" t="n"/>
      <c r="AB146" s="232">
        <f>IFERROR(VLOOKUP(F145,'DATA BASE'!A:I,4,FALSE),"")</f>
        <v/>
      </c>
      <c r="AC146" s="230" t="n"/>
      <c r="AD146" s="231" t="n"/>
      <c r="AE146" s="232">
        <f>IFERROR(VLOOKUP(F145,'DATA BASE'!A:I,5,FALSE),"")</f>
        <v/>
      </c>
      <c r="AF146" s="231" t="n"/>
      <c r="AG146" s="232">
        <f>IFERROR(VLOOKUP(F145,'DATA BASE'!A:I,7,FALSE),"")</f>
        <v/>
      </c>
      <c r="AH146" s="230" t="n"/>
      <c r="AI146" s="231" t="n"/>
      <c r="AJ146" s="238" t="n"/>
      <c r="AK146" s="239" t="n"/>
    </row>
    <row r="147" ht="15.5" customHeight="1" s="7">
      <c r="A147" s="157" t="n">
        <v>70</v>
      </c>
      <c r="B147" s="158" t="n"/>
      <c r="C147" s="159" t="n"/>
      <c r="D147" s="159" t="n"/>
      <c r="E147" s="159" t="n"/>
      <c r="F147" s="148" t="n"/>
      <c r="G147" s="228" t="n"/>
      <c r="H147" s="236" t="n"/>
      <c r="I147" s="122" t="n"/>
      <c r="J147" s="240" t="n"/>
      <c r="K147" s="240" t="n"/>
      <c r="L147" s="241" t="n"/>
      <c r="M147" s="138" t="n"/>
      <c r="N147" s="241" t="n"/>
      <c r="O147" s="122" t="n"/>
      <c r="P147" s="240" t="n"/>
      <c r="Q147" s="240" t="n"/>
      <c r="R147" s="240" t="n"/>
      <c r="S147" s="240" t="n"/>
      <c r="T147" s="241" t="n"/>
      <c r="U147" s="146" t="n"/>
      <c r="V147" s="227" t="n"/>
      <c r="W147" s="159" t="n"/>
      <c r="X147" s="159" t="n"/>
      <c r="Y147" s="185" t="inlineStr">
        <is>
          <t>DAVID WILDNER</t>
        </is>
      </c>
      <c r="Z147" s="230" t="n"/>
      <c r="AA147" s="231" t="n"/>
      <c r="AB147" s="232">
        <f>IFERROR(VLOOKUP(F147,'DATA BASE'!A:I,3,FALSE),"")</f>
        <v/>
      </c>
      <c r="AC147" s="230" t="n"/>
      <c r="AD147" s="231" t="n"/>
      <c r="AE147" s="233">
        <f>IFERROR(VLOOKUP(F147,'DATA BASE'!A:I,9,FALSE),"")</f>
        <v/>
      </c>
      <c r="AF147" s="231" t="n"/>
      <c r="AG147" s="232">
        <f>IFERROR(VLOOKUP(F147,'DATA BASE'!A:I,6,FALSE),"")</f>
        <v/>
      </c>
      <c r="AH147" s="230" t="n"/>
      <c r="AI147" s="231" t="n"/>
      <c r="AJ147" s="234">
        <f>IFERROR(VLOOKUP(F147,'DATA BASE'!A:I,8,FALSE),"")</f>
        <v/>
      </c>
      <c r="AK147" s="235" t="n"/>
    </row>
    <row r="148" ht="15.5" customHeight="1" s="7">
      <c r="A148" s="242" t="n"/>
      <c r="B148" s="242" t="n"/>
      <c r="C148" s="242" t="n"/>
      <c r="D148" s="242" t="n"/>
      <c r="E148" s="242" t="n"/>
      <c r="F148" s="148" t="n"/>
      <c r="G148" s="228" t="n"/>
      <c r="H148" s="236" t="n"/>
      <c r="I148" s="122" t="n"/>
      <c r="J148" s="240" t="n"/>
      <c r="K148" s="240" t="n"/>
      <c r="L148" s="241" t="n"/>
      <c r="M148" s="122" t="n"/>
      <c r="N148" s="241" t="n"/>
      <c r="O148" s="122" t="n"/>
      <c r="P148" s="240" t="n"/>
      <c r="Q148" s="240" t="n"/>
      <c r="R148" s="240" t="n"/>
      <c r="S148" s="240" t="n"/>
      <c r="T148" s="241" t="n"/>
      <c r="U148" s="243" t="n"/>
      <c r="V148" s="229" t="n"/>
      <c r="W148" s="242" t="n"/>
      <c r="X148" s="242" t="n"/>
      <c r="Y148" s="185">
        <f>VLOOKUP(F147,'DATA BASE'!A:I,2,FALSE)</f>
        <v/>
      </c>
      <c r="Z148" s="230" t="n"/>
      <c r="AA148" s="231" t="n"/>
      <c r="AB148" s="232">
        <f>IFERROR(VLOOKUP(F147,'DATA BASE'!A:I,4,FALSE),"")</f>
        <v/>
      </c>
      <c r="AC148" s="230" t="n"/>
      <c r="AD148" s="231" t="n"/>
      <c r="AE148" s="232">
        <f>IFERROR(VLOOKUP(F147,'DATA BASE'!A:I,5,FALSE),"")</f>
        <v/>
      </c>
      <c r="AF148" s="231" t="n"/>
      <c r="AG148" s="232">
        <f>IFERROR(VLOOKUP(F147,'DATA BASE'!A:I,7,FALSE),"")</f>
        <v/>
      </c>
      <c r="AH148" s="230" t="n"/>
      <c r="AI148" s="231" t="n"/>
      <c r="AJ148" s="238" t="n"/>
      <c r="AK148" s="239" t="n"/>
    </row>
    <row r="149" ht="15.5" customHeight="1" s="7">
      <c r="A149" s="157" t="n">
        <v>71</v>
      </c>
      <c r="B149" s="158" t="n"/>
      <c r="C149" s="159" t="n"/>
      <c r="D149" s="159" t="n"/>
      <c r="E149" s="159" t="n"/>
      <c r="F149" s="148" t="n"/>
      <c r="G149" s="228" t="n"/>
      <c r="H149" s="236" t="n"/>
      <c r="I149" s="122" t="n"/>
      <c r="J149" s="240" t="n"/>
      <c r="K149" s="240" t="n"/>
      <c r="L149" s="241" t="n"/>
      <c r="M149" s="138" t="n"/>
      <c r="N149" s="241" t="n"/>
      <c r="O149" s="122" t="n"/>
      <c r="P149" s="240" t="n"/>
      <c r="Q149" s="240" t="n"/>
      <c r="R149" s="240" t="n"/>
      <c r="S149" s="240" t="n"/>
      <c r="T149" s="241" t="n"/>
      <c r="U149" s="146" t="n"/>
      <c r="V149" s="227" t="n"/>
      <c r="W149" s="159" t="n"/>
      <c r="X149" s="159" t="n"/>
      <c r="Y149" s="185" t="inlineStr">
        <is>
          <t>DAVID WILDNER</t>
        </is>
      </c>
      <c r="Z149" s="230" t="n"/>
      <c r="AA149" s="231" t="n"/>
      <c r="AB149" s="232">
        <f>IFERROR(VLOOKUP(F149,'DATA BASE'!A:I,3,FALSE),"")</f>
        <v/>
      </c>
      <c r="AC149" s="230" t="n"/>
      <c r="AD149" s="231" t="n"/>
      <c r="AE149" s="233">
        <f>IFERROR(VLOOKUP(F149,'DATA BASE'!A:I,9,FALSE),"")</f>
        <v/>
      </c>
      <c r="AF149" s="231" t="n"/>
      <c r="AG149" s="232">
        <f>IFERROR(VLOOKUP(F149,'DATA BASE'!A:I,6,FALSE),"")</f>
        <v/>
      </c>
      <c r="AH149" s="230" t="n"/>
      <c r="AI149" s="231" t="n"/>
      <c r="AJ149" s="234">
        <f>IFERROR(VLOOKUP(F149,'DATA BASE'!A:I,8,FALSE),"")</f>
        <v/>
      </c>
      <c r="AK149" s="235" t="n"/>
    </row>
    <row r="150" ht="15.5" customHeight="1" s="7">
      <c r="A150" s="242" t="n"/>
      <c r="B150" s="242" t="n"/>
      <c r="C150" s="242" t="n"/>
      <c r="D150" s="242" t="n"/>
      <c r="E150" s="242" t="n"/>
      <c r="F150" s="148" t="n"/>
      <c r="G150" s="228" t="n"/>
      <c r="H150" s="236" t="n"/>
      <c r="I150" s="122" t="n"/>
      <c r="J150" s="240" t="n"/>
      <c r="K150" s="240" t="n"/>
      <c r="L150" s="241" t="n"/>
      <c r="M150" s="122" t="n"/>
      <c r="N150" s="241" t="n"/>
      <c r="O150" s="122" t="n"/>
      <c r="P150" s="240" t="n"/>
      <c r="Q150" s="240" t="n"/>
      <c r="R150" s="240" t="n"/>
      <c r="S150" s="240" t="n"/>
      <c r="T150" s="241" t="n"/>
      <c r="U150" s="243" t="n"/>
      <c r="V150" s="229" t="n"/>
      <c r="W150" s="242" t="n"/>
      <c r="X150" s="242" t="n"/>
      <c r="Y150" s="185">
        <f>VLOOKUP(F149,'DATA BASE'!A:I,2,FALSE)</f>
        <v/>
      </c>
      <c r="Z150" s="230" t="n"/>
      <c r="AA150" s="231" t="n"/>
      <c r="AB150" s="232">
        <f>IFERROR(VLOOKUP(F149,'DATA BASE'!A:I,4,FALSE),"")</f>
        <v/>
      </c>
      <c r="AC150" s="230" t="n"/>
      <c r="AD150" s="231" t="n"/>
      <c r="AE150" s="232">
        <f>IFERROR(VLOOKUP(F149,'DATA BASE'!A:I,5,FALSE),"")</f>
        <v/>
      </c>
      <c r="AF150" s="231" t="n"/>
      <c r="AG150" s="232">
        <f>IFERROR(VLOOKUP(F149,'DATA BASE'!A:I,7,FALSE),"")</f>
        <v/>
      </c>
      <c r="AH150" s="230" t="n"/>
      <c r="AI150" s="231" t="n"/>
      <c r="AJ150" s="238" t="n"/>
      <c r="AK150" s="239" t="n"/>
    </row>
    <row r="151" ht="15.5" customHeight="1" s="7">
      <c r="A151" s="157" t="n">
        <v>72</v>
      </c>
      <c r="B151" s="158" t="n"/>
      <c r="C151" s="159" t="n"/>
      <c r="D151" s="159" t="n"/>
      <c r="E151" s="159" t="n"/>
      <c r="F151" s="148" t="n"/>
      <c r="G151" s="228" t="n"/>
      <c r="H151" s="236" t="n"/>
      <c r="I151" s="122" t="n"/>
      <c r="J151" s="240" t="n"/>
      <c r="K151" s="240" t="n"/>
      <c r="L151" s="241" t="n"/>
      <c r="M151" s="138" t="n"/>
      <c r="N151" s="241" t="n"/>
      <c r="O151" s="122" t="n"/>
      <c r="P151" s="240" t="n"/>
      <c r="Q151" s="240" t="n"/>
      <c r="R151" s="240" t="n"/>
      <c r="S151" s="240" t="n"/>
      <c r="T151" s="241" t="n"/>
      <c r="U151" s="146" t="n"/>
      <c r="V151" s="227" t="n"/>
      <c r="W151" s="159" t="n"/>
      <c r="X151" s="159" t="n"/>
      <c r="Y151" s="185" t="inlineStr">
        <is>
          <t>DAVID WILDNER</t>
        </is>
      </c>
      <c r="Z151" s="230" t="n"/>
      <c r="AA151" s="231" t="n"/>
      <c r="AB151" s="232">
        <f>IFERROR(VLOOKUP(F151,'DATA BASE'!A:I,3,FALSE),"")</f>
        <v/>
      </c>
      <c r="AC151" s="230" t="n"/>
      <c r="AD151" s="231" t="n"/>
      <c r="AE151" s="233">
        <f>IFERROR(VLOOKUP(F151,'DATA BASE'!A:I,9,FALSE),"")</f>
        <v/>
      </c>
      <c r="AF151" s="231" t="n"/>
      <c r="AG151" s="232">
        <f>IFERROR(VLOOKUP(F151,'DATA BASE'!A:I,6,FALSE),"")</f>
        <v/>
      </c>
      <c r="AH151" s="230" t="n"/>
      <c r="AI151" s="231" t="n"/>
      <c r="AJ151" s="234">
        <f>IFERROR(VLOOKUP(F151,'DATA BASE'!A:I,8,FALSE),"")</f>
        <v/>
      </c>
      <c r="AK151" s="235" t="n"/>
    </row>
    <row r="152" ht="15.5" customHeight="1" s="7">
      <c r="A152" s="242" t="n"/>
      <c r="B152" s="242" t="n"/>
      <c r="C152" s="242" t="n"/>
      <c r="D152" s="242" t="n"/>
      <c r="E152" s="242" t="n"/>
      <c r="F152" s="148" t="n"/>
      <c r="G152" s="228" t="n"/>
      <c r="H152" s="236" t="n"/>
      <c r="I152" s="122" t="n"/>
      <c r="J152" s="240" t="n"/>
      <c r="K152" s="240" t="n"/>
      <c r="L152" s="241" t="n"/>
      <c r="M152" s="122" t="n"/>
      <c r="N152" s="241" t="n"/>
      <c r="O152" s="122" t="n"/>
      <c r="P152" s="240" t="n"/>
      <c r="Q152" s="240" t="n"/>
      <c r="R152" s="240" t="n"/>
      <c r="S152" s="240" t="n"/>
      <c r="T152" s="241" t="n"/>
      <c r="U152" s="243" t="n"/>
      <c r="V152" s="229" t="n"/>
      <c r="W152" s="242" t="n"/>
      <c r="X152" s="242" t="n"/>
      <c r="Y152" s="185">
        <f>VLOOKUP(F151,'DATA BASE'!A:I,2,FALSE)</f>
        <v/>
      </c>
      <c r="Z152" s="230" t="n"/>
      <c r="AA152" s="231" t="n"/>
      <c r="AB152" s="232">
        <f>IFERROR(VLOOKUP(F151,'DATA BASE'!A:I,4,FALSE),"")</f>
        <v/>
      </c>
      <c r="AC152" s="230" t="n"/>
      <c r="AD152" s="231" t="n"/>
      <c r="AE152" s="232">
        <f>IFERROR(VLOOKUP(F151,'DATA BASE'!A:I,5,FALSE),"")</f>
        <v/>
      </c>
      <c r="AF152" s="231" t="n"/>
      <c r="AG152" s="232">
        <f>IFERROR(VLOOKUP(F151,'DATA BASE'!A:I,7,FALSE),"")</f>
        <v/>
      </c>
      <c r="AH152" s="230" t="n"/>
      <c r="AI152" s="231" t="n"/>
      <c r="AJ152" s="238" t="n"/>
      <c r="AK152" s="239" t="n"/>
    </row>
    <row r="153" ht="15.65" customHeight="1" s="7">
      <c r="A153" s="157" t="n">
        <v>73</v>
      </c>
      <c r="B153" s="158" t="n"/>
      <c r="C153" s="159" t="n"/>
      <c r="D153" s="159" t="n"/>
      <c r="E153" s="159" t="n"/>
      <c r="F153" s="148" t="n"/>
      <c r="G153" s="228" t="n"/>
      <c r="H153" s="236" t="n"/>
      <c r="I153" s="122" t="n"/>
      <c r="J153" s="240" t="n"/>
      <c r="K153" s="240" t="n"/>
      <c r="L153" s="241" t="n"/>
      <c r="M153" s="138" t="n"/>
      <c r="N153" s="241" t="n"/>
      <c r="O153" s="122" t="n"/>
      <c r="P153" s="240" t="n"/>
      <c r="Q153" s="240" t="n"/>
      <c r="R153" s="240" t="n"/>
      <c r="S153" s="240" t="n"/>
      <c r="T153" s="241" t="n"/>
      <c r="U153" s="146" t="n"/>
      <c r="V153" s="227" t="n"/>
      <c r="W153" s="159" t="n"/>
      <c r="X153" s="159" t="n"/>
      <c r="Y153" s="185" t="inlineStr">
        <is>
          <t>DAVID WILDNER</t>
        </is>
      </c>
      <c r="Z153" s="230" t="n"/>
      <c r="AA153" s="231" t="n"/>
      <c r="AB153" s="232">
        <f>IFERROR(VLOOKUP(F153,'DATA BASE'!A:I,3,FALSE),"")</f>
        <v/>
      </c>
      <c r="AC153" s="230" t="n"/>
      <c r="AD153" s="231" t="n"/>
      <c r="AE153" s="233">
        <f>IFERROR(VLOOKUP(F153,'DATA BASE'!A:I,9,FALSE),"")</f>
        <v/>
      </c>
      <c r="AF153" s="231" t="n"/>
      <c r="AG153" s="232">
        <f>IFERROR(VLOOKUP(F153,'DATA BASE'!A:I,6,FALSE),"")</f>
        <v/>
      </c>
      <c r="AH153" s="230" t="n"/>
      <c r="AI153" s="231" t="n"/>
      <c r="AJ153" s="234">
        <f>IFERROR(VLOOKUP(F153,'DATA BASE'!A:I,8,FALSE),"")</f>
        <v/>
      </c>
      <c r="AK153" s="235" t="n"/>
    </row>
    <row r="154" ht="15.65" customHeight="1" s="7">
      <c r="A154" s="242" t="n"/>
      <c r="B154" s="242" t="n"/>
      <c r="C154" s="242" t="n"/>
      <c r="D154" s="242" t="n"/>
      <c r="E154" s="242" t="n"/>
      <c r="F154" s="148" t="n"/>
      <c r="G154" s="228" t="n"/>
      <c r="H154" s="236" t="n"/>
      <c r="I154" s="122" t="n"/>
      <c r="J154" s="240" t="n"/>
      <c r="K154" s="240" t="n"/>
      <c r="L154" s="241" t="n"/>
      <c r="M154" s="122" t="n"/>
      <c r="N154" s="241" t="n"/>
      <c r="O154" s="122" t="n"/>
      <c r="P154" s="240" t="n"/>
      <c r="Q154" s="240" t="n"/>
      <c r="R154" s="240" t="n"/>
      <c r="S154" s="240" t="n"/>
      <c r="T154" s="241" t="n"/>
      <c r="U154" s="243" t="n"/>
      <c r="V154" s="229" t="n"/>
      <c r="W154" s="242" t="n"/>
      <c r="X154" s="242" t="n"/>
      <c r="Y154" s="185">
        <f>VLOOKUP(F153,'DATA BASE'!A:I,2,FALSE)</f>
        <v/>
      </c>
      <c r="Z154" s="230" t="n"/>
      <c r="AA154" s="231" t="n"/>
      <c r="AB154" s="232">
        <f>IFERROR(VLOOKUP(F153,'DATA BASE'!A:I,4,FALSE),"")</f>
        <v/>
      </c>
      <c r="AC154" s="230" t="n"/>
      <c r="AD154" s="231" t="n"/>
      <c r="AE154" s="232">
        <f>IFERROR(VLOOKUP(F153,'DATA BASE'!A:I,5,FALSE),"")</f>
        <v/>
      </c>
      <c r="AF154" s="231" t="n"/>
      <c r="AG154" s="232">
        <f>IFERROR(VLOOKUP(F153,'DATA BASE'!A:I,7,FALSE),"")</f>
        <v/>
      </c>
      <c r="AH154" s="230" t="n"/>
      <c r="AI154" s="231" t="n"/>
      <c r="AJ154" s="238" t="n"/>
      <c r="AK154" s="239" t="n"/>
    </row>
    <row r="155" ht="15.65" customHeight="1" s="7">
      <c r="A155" s="157" t="n">
        <v>74</v>
      </c>
      <c r="B155" s="158" t="n"/>
      <c r="C155" s="159" t="n"/>
      <c r="D155" s="159" t="n"/>
      <c r="E155" s="159" t="n"/>
      <c r="F155" s="148" t="n"/>
      <c r="G155" s="228" t="n"/>
      <c r="H155" s="236" t="n"/>
      <c r="I155" s="122" t="n"/>
      <c r="J155" s="240" t="n"/>
      <c r="K155" s="240" t="n"/>
      <c r="L155" s="241" t="n"/>
      <c r="M155" s="138" t="n"/>
      <c r="N155" s="241" t="n"/>
      <c r="O155" s="122" t="n"/>
      <c r="P155" s="240" t="n"/>
      <c r="Q155" s="240" t="n"/>
      <c r="R155" s="240" t="n"/>
      <c r="S155" s="240" t="n"/>
      <c r="T155" s="241" t="n"/>
      <c r="U155" s="146" t="n"/>
      <c r="V155" s="227" t="n"/>
      <c r="W155" s="159" t="n"/>
      <c r="X155" s="159" t="n"/>
      <c r="Y155" s="185" t="inlineStr">
        <is>
          <t>DAVID WILDNER</t>
        </is>
      </c>
      <c r="Z155" s="230" t="n"/>
      <c r="AA155" s="231" t="n"/>
      <c r="AB155" s="232">
        <f>IFERROR(VLOOKUP(F155,'DATA BASE'!A:I,3,FALSE),"")</f>
        <v/>
      </c>
      <c r="AC155" s="230" t="n"/>
      <c r="AD155" s="231" t="n"/>
      <c r="AE155" s="233">
        <f>IFERROR(VLOOKUP(F155,'DATA BASE'!A:I,9,FALSE),"")</f>
        <v/>
      </c>
      <c r="AF155" s="231" t="n"/>
      <c r="AG155" s="232">
        <f>IFERROR(VLOOKUP(F155,'DATA BASE'!A:I,6,FALSE),"")</f>
        <v/>
      </c>
      <c r="AH155" s="230" t="n"/>
      <c r="AI155" s="231" t="n"/>
      <c r="AJ155" s="234">
        <f>IFERROR(VLOOKUP(F155,'DATA BASE'!A:I,8,FALSE),"")</f>
        <v/>
      </c>
      <c r="AK155" s="235" t="n"/>
    </row>
    <row r="156" ht="15.65" customHeight="1" s="7">
      <c r="A156" s="242" t="n"/>
      <c r="B156" s="242" t="n"/>
      <c r="C156" s="242" t="n"/>
      <c r="D156" s="242" t="n"/>
      <c r="E156" s="242" t="n"/>
      <c r="F156" s="148" t="n"/>
      <c r="G156" s="228" t="n"/>
      <c r="H156" s="236" t="n"/>
      <c r="I156" s="122" t="n"/>
      <c r="J156" s="240" t="n"/>
      <c r="K156" s="240" t="n"/>
      <c r="L156" s="241" t="n"/>
      <c r="M156" s="122" t="n"/>
      <c r="N156" s="241" t="n"/>
      <c r="O156" s="122" t="n"/>
      <c r="P156" s="240" t="n"/>
      <c r="Q156" s="240" t="n"/>
      <c r="R156" s="240" t="n"/>
      <c r="S156" s="240" t="n"/>
      <c r="T156" s="241" t="n"/>
      <c r="U156" s="243" t="n"/>
      <c r="V156" s="229" t="n"/>
      <c r="W156" s="242" t="n"/>
      <c r="X156" s="242" t="n"/>
      <c r="Y156" s="185">
        <f>VLOOKUP(F155,'DATA BASE'!A:I,2,FALSE)</f>
        <v/>
      </c>
      <c r="Z156" s="230" t="n"/>
      <c r="AA156" s="231" t="n"/>
      <c r="AB156" s="232">
        <f>IFERROR(VLOOKUP(F155,'DATA BASE'!A:I,4,FALSE),"")</f>
        <v/>
      </c>
      <c r="AC156" s="230" t="n"/>
      <c r="AD156" s="231" t="n"/>
      <c r="AE156" s="232">
        <f>IFERROR(VLOOKUP(F155,'DATA BASE'!A:I,5,FALSE),"")</f>
        <v/>
      </c>
      <c r="AF156" s="231" t="n"/>
      <c r="AG156" s="232">
        <f>IFERROR(VLOOKUP(F155,'DATA BASE'!A:I,7,FALSE),"")</f>
        <v/>
      </c>
      <c r="AH156" s="230" t="n"/>
      <c r="AI156" s="231" t="n"/>
      <c r="AJ156" s="238" t="n"/>
      <c r="AK156" s="239" t="n"/>
    </row>
    <row r="157" ht="15.65" customHeight="1" s="7">
      <c r="A157" s="157" t="n">
        <v>75</v>
      </c>
      <c r="B157" s="158" t="n"/>
      <c r="C157" s="159" t="n"/>
      <c r="D157" s="159" t="n"/>
      <c r="E157" s="159" t="n"/>
      <c r="F157" s="148" t="n"/>
      <c r="G157" s="228" t="n"/>
      <c r="H157" s="236" t="n"/>
      <c r="I157" s="122" t="n"/>
      <c r="J157" s="240" t="n"/>
      <c r="K157" s="240" t="n"/>
      <c r="L157" s="241" t="n"/>
      <c r="M157" s="138" t="n"/>
      <c r="N157" s="241" t="n"/>
      <c r="O157" s="122" t="n"/>
      <c r="P157" s="240" t="n"/>
      <c r="Q157" s="240" t="n"/>
      <c r="R157" s="240" t="n"/>
      <c r="S157" s="240" t="n"/>
      <c r="T157" s="241" t="n"/>
      <c r="U157" s="146" t="n"/>
      <c r="V157" s="227" t="n"/>
      <c r="W157" s="159" t="n"/>
      <c r="X157" s="159" t="n"/>
      <c r="Y157" s="185" t="inlineStr">
        <is>
          <t>DAVID WILDNER</t>
        </is>
      </c>
      <c r="Z157" s="230" t="n"/>
      <c r="AA157" s="231" t="n"/>
      <c r="AB157" s="232">
        <f>IFERROR(VLOOKUP(F157,'DATA BASE'!A:I,3,FALSE),"")</f>
        <v/>
      </c>
      <c r="AC157" s="230" t="n"/>
      <c r="AD157" s="231" t="n"/>
      <c r="AE157" s="233">
        <f>IFERROR(VLOOKUP(F157,'DATA BASE'!A:I,9,FALSE),"")</f>
        <v/>
      </c>
      <c r="AF157" s="231" t="n"/>
      <c r="AG157" s="232">
        <f>IFERROR(VLOOKUP(F157,'DATA BASE'!A:I,6,FALSE),"")</f>
        <v/>
      </c>
      <c r="AH157" s="230" t="n"/>
      <c r="AI157" s="231" t="n"/>
      <c r="AJ157" s="234">
        <f>IFERROR(VLOOKUP(F157,'DATA BASE'!A:I,8,FALSE),"")</f>
        <v/>
      </c>
      <c r="AK157" s="235" t="n"/>
    </row>
    <row r="158" ht="15.65" customHeight="1" s="7">
      <c r="A158" s="242" t="n"/>
      <c r="B158" s="242" t="n"/>
      <c r="C158" s="242" t="n"/>
      <c r="D158" s="242" t="n"/>
      <c r="E158" s="242" t="n"/>
      <c r="F158" s="148" t="n"/>
      <c r="G158" s="228" t="n"/>
      <c r="H158" s="236" t="n"/>
      <c r="I158" s="122" t="n"/>
      <c r="J158" s="240" t="n"/>
      <c r="K158" s="240" t="n"/>
      <c r="L158" s="241" t="n"/>
      <c r="M158" s="122" t="n"/>
      <c r="N158" s="241" t="n"/>
      <c r="O158" s="122" t="n"/>
      <c r="P158" s="240" t="n"/>
      <c r="Q158" s="240" t="n"/>
      <c r="R158" s="240" t="n"/>
      <c r="S158" s="240" t="n"/>
      <c r="T158" s="241" t="n"/>
      <c r="U158" s="243" t="n"/>
      <c r="V158" s="229" t="n"/>
      <c r="W158" s="242" t="n"/>
      <c r="X158" s="242" t="n"/>
      <c r="Y158" s="185">
        <f>VLOOKUP(F157,'DATA BASE'!A:I,2,FALSE)</f>
        <v/>
      </c>
      <c r="Z158" s="230" t="n"/>
      <c r="AA158" s="231" t="n"/>
      <c r="AB158" s="232">
        <f>IFERROR(VLOOKUP(F157,'DATA BASE'!A:I,4,FALSE),"")</f>
        <v/>
      </c>
      <c r="AC158" s="230" t="n"/>
      <c r="AD158" s="231" t="n"/>
      <c r="AE158" s="232">
        <f>IFERROR(VLOOKUP(F157,'DATA BASE'!A:I,5,FALSE),"")</f>
        <v/>
      </c>
      <c r="AF158" s="231" t="n"/>
      <c r="AG158" s="232">
        <f>IFERROR(VLOOKUP(F157,'DATA BASE'!A:I,7,FALSE),"")</f>
        <v/>
      </c>
      <c r="AH158" s="230" t="n"/>
      <c r="AI158" s="231" t="n"/>
      <c r="AJ158" s="238" t="n"/>
      <c r="AK158" s="239" t="n"/>
    </row>
    <row r="159" ht="15.5" customHeight="1" s="7">
      <c r="A159" s="157" t="n">
        <v>76</v>
      </c>
      <c r="B159" s="158" t="n"/>
      <c r="C159" s="159" t="n"/>
      <c r="D159" s="159" t="n"/>
      <c r="E159" s="159" t="n"/>
      <c r="F159" s="148" t="n"/>
      <c r="G159" s="228" t="n"/>
      <c r="H159" s="236" t="n"/>
      <c r="I159" s="122" t="n"/>
      <c r="J159" s="240" t="n"/>
      <c r="K159" s="240" t="n"/>
      <c r="L159" s="241" t="n"/>
      <c r="M159" s="138" t="n"/>
      <c r="N159" s="241" t="n"/>
      <c r="O159" s="122" t="n"/>
      <c r="P159" s="240" t="n"/>
      <c r="Q159" s="240" t="n"/>
      <c r="R159" s="240" t="n"/>
      <c r="S159" s="240" t="n"/>
      <c r="T159" s="241" t="n"/>
      <c r="U159" s="146" t="n"/>
      <c r="V159" s="227" t="n"/>
      <c r="W159" s="159" t="n"/>
      <c r="X159" s="159" t="n"/>
      <c r="Y159" s="185" t="inlineStr">
        <is>
          <t>DAVID WILDNER</t>
        </is>
      </c>
      <c r="Z159" s="230" t="n"/>
      <c r="AA159" s="231" t="n"/>
      <c r="AB159" s="232">
        <f>IFERROR(VLOOKUP(F159,'DATA BASE'!A:I,3,FALSE),"")</f>
        <v/>
      </c>
      <c r="AC159" s="230" t="n"/>
      <c r="AD159" s="231" t="n"/>
      <c r="AE159" s="233">
        <f>IFERROR(VLOOKUP(F159,'DATA BASE'!A:I,9,FALSE),"")</f>
        <v/>
      </c>
      <c r="AF159" s="231" t="n"/>
      <c r="AG159" s="232">
        <f>IFERROR(VLOOKUP(F159,'DATA BASE'!A:I,6,FALSE),"")</f>
        <v/>
      </c>
      <c r="AH159" s="230" t="n"/>
      <c r="AI159" s="231" t="n"/>
      <c r="AJ159" s="234">
        <f>IFERROR(VLOOKUP(F159,'DATA BASE'!A:I,8,FALSE),"")</f>
        <v/>
      </c>
      <c r="AK159" s="235" t="n"/>
    </row>
    <row r="160" ht="15.5" customHeight="1" s="7">
      <c r="A160" s="242" t="n"/>
      <c r="B160" s="242" t="n"/>
      <c r="C160" s="242" t="n"/>
      <c r="D160" s="242" t="n"/>
      <c r="E160" s="242" t="n"/>
      <c r="F160" s="148" t="n"/>
      <c r="G160" s="228" t="n"/>
      <c r="H160" s="236" t="n"/>
      <c r="I160" s="122" t="n"/>
      <c r="J160" s="240" t="n"/>
      <c r="K160" s="240" t="n"/>
      <c r="L160" s="241" t="n"/>
      <c r="M160" s="122" t="n"/>
      <c r="N160" s="241" t="n"/>
      <c r="O160" s="122" t="n"/>
      <c r="P160" s="240" t="n"/>
      <c r="Q160" s="240" t="n"/>
      <c r="R160" s="240" t="n"/>
      <c r="S160" s="240" t="n"/>
      <c r="T160" s="241" t="n"/>
      <c r="U160" s="243" t="n"/>
      <c r="V160" s="229" t="n"/>
      <c r="W160" s="242" t="n"/>
      <c r="X160" s="242" t="n"/>
      <c r="Y160" s="185">
        <f>VLOOKUP(F159,'DATA BASE'!A:I,2,FALSE)</f>
        <v/>
      </c>
      <c r="Z160" s="230" t="n"/>
      <c r="AA160" s="231" t="n"/>
      <c r="AB160" s="232">
        <f>IFERROR(VLOOKUP(F159,'DATA BASE'!A:I,4,FALSE),"")</f>
        <v/>
      </c>
      <c r="AC160" s="230" t="n"/>
      <c r="AD160" s="231" t="n"/>
      <c r="AE160" s="232">
        <f>IFERROR(VLOOKUP(F159,'DATA BASE'!A:I,5,FALSE),"")</f>
        <v/>
      </c>
      <c r="AF160" s="231" t="n"/>
      <c r="AG160" s="232">
        <f>IFERROR(VLOOKUP(F159,'DATA BASE'!A:I,7,FALSE),"")</f>
        <v/>
      </c>
      <c r="AH160" s="230" t="n"/>
      <c r="AI160" s="231" t="n"/>
      <c r="AJ160" s="238" t="n"/>
      <c r="AK160" s="239" t="n"/>
    </row>
    <row r="161" ht="15.5" customHeight="1" s="7">
      <c r="A161" s="157" t="n">
        <v>77</v>
      </c>
      <c r="B161" s="158" t="n"/>
      <c r="C161" s="159" t="n"/>
      <c r="D161" s="159" t="n"/>
      <c r="E161" s="159" t="n"/>
      <c r="F161" s="148" t="n"/>
      <c r="G161" s="228" t="n"/>
      <c r="H161" s="236" t="n"/>
      <c r="I161" s="122" t="n"/>
      <c r="J161" s="240" t="n"/>
      <c r="K161" s="240" t="n"/>
      <c r="L161" s="241" t="n"/>
      <c r="M161" s="138" t="n"/>
      <c r="N161" s="241" t="n"/>
      <c r="O161" s="122" t="n"/>
      <c r="P161" s="240" t="n"/>
      <c r="Q161" s="240" t="n"/>
      <c r="R161" s="240" t="n"/>
      <c r="S161" s="240" t="n"/>
      <c r="T161" s="241" t="n"/>
      <c r="U161" s="146" t="n"/>
      <c r="V161" s="227" t="n"/>
      <c r="W161" s="159" t="n"/>
      <c r="X161" s="159" t="n"/>
      <c r="Y161" s="185" t="inlineStr">
        <is>
          <t>DAVID WILDNER</t>
        </is>
      </c>
      <c r="Z161" s="230" t="n"/>
      <c r="AA161" s="231" t="n"/>
      <c r="AB161" s="232">
        <f>IFERROR(VLOOKUP(F161,'DATA BASE'!A:I,3,FALSE),"")</f>
        <v/>
      </c>
      <c r="AC161" s="230" t="n"/>
      <c r="AD161" s="231" t="n"/>
      <c r="AE161" s="233">
        <f>IFERROR(VLOOKUP(F161,'DATA BASE'!A:I,9,FALSE),"")</f>
        <v/>
      </c>
      <c r="AF161" s="231" t="n"/>
      <c r="AG161" s="232">
        <f>IFERROR(VLOOKUP(F161,'DATA BASE'!A:I,6,FALSE),"")</f>
        <v/>
      </c>
      <c r="AH161" s="230" t="n"/>
      <c r="AI161" s="231" t="n"/>
      <c r="AJ161" s="234">
        <f>IFERROR(VLOOKUP(F161,'DATA BASE'!A:I,8,FALSE),"")</f>
        <v/>
      </c>
      <c r="AK161" s="235" t="n"/>
    </row>
    <row r="162" ht="15.5" customHeight="1" s="7">
      <c r="A162" s="242" t="n"/>
      <c r="B162" s="242" t="n"/>
      <c r="C162" s="242" t="n"/>
      <c r="D162" s="242" t="n"/>
      <c r="E162" s="242" t="n"/>
      <c r="F162" s="148" t="n"/>
      <c r="G162" s="228" t="n"/>
      <c r="H162" s="236" t="n"/>
      <c r="I162" s="122" t="n"/>
      <c r="J162" s="240" t="n"/>
      <c r="K162" s="240" t="n"/>
      <c r="L162" s="241" t="n"/>
      <c r="M162" s="122" t="n"/>
      <c r="N162" s="241" t="n"/>
      <c r="O162" s="122" t="n"/>
      <c r="P162" s="240" t="n"/>
      <c r="Q162" s="240" t="n"/>
      <c r="R162" s="240" t="n"/>
      <c r="S162" s="240" t="n"/>
      <c r="T162" s="241" t="n"/>
      <c r="U162" s="243" t="n"/>
      <c r="V162" s="229" t="n"/>
      <c r="W162" s="242" t="n"/>
      <c r="X162" s="242" t="n"/>
      <c r="Y162" s="185">
        <f>VLOOKUP(F161,'DATA BASE'!A:I,2,FALSE)</f>
        <v/>
      </c>
      <c r="Z162" s="230" t="n"/>
      <c r="AA162" s="231" t="n"/>
      <c r="AB162" s="232">
        <f>IFERROR(VLOOKUP(F161,'DATA BASE'!A:I,4,FALSE),"")</f>
        <v/>
      </c>
      <c r="AC162" s="230" t="n"/>
      <c r="AD162" s="231" t="n"/>
      <c r="AE162" s="232">
        <f>IFERROR(VLOOKUP(F161,'DATA BASE'!A:I,5,FALSE),"")</f>
        <v/>
      </c>
      <c r="AF162" s="231" t="n"/>
      <c r="AG162" s="232">
        <f>IFERROR(VLOOKUP(F161,'DATA BASE'!A:I,7,FALSE),"")</f>
        <v/>
      </c>
      <c r="AH162" s="230" t="n"/>
      <c r="AI162" s="231" t="n"/>
      <c r="AJ162" s="238" t="n"/>
      <c r="AK162" s="239" t="n"/>
    </row>
    <row r="163" ht="15.5" customHeight="1" s="7">
      <c r="A163" s="157" t="n">
        <v>78</v>
      </c>
      <c r="B163" s="158" t="n"/>
      <c r="C163" s="159" t="n"/>
      <c r="D163" s="159" t="n"/>
      <c r="E163" s="159" t="n"/>
      <c r="F163" s="148" t="n"/>
      <c r="G163" s="228" t="n"/>
      <c r="H163" s="236" t="n"/>
      <c r="I163" s="122" t="n"/>
      <c r="J163" s="240" t="n"/>
      <c r="K163" s="240" t="n"/>
      <c r="L163" s="241" t="n"/>
      <c r="M163" s="138" t="n"/>
      <c r="N163" s="241" t="n"/>
      <c r="O163" s="122" t="n"/>
      <c r="P163" s="240" t="n"/>
      <c r="Q163" s="240" t="n"/>
      <c r="R163" s="240" t="n"/>
      <c r="S163" s="240" t="n"/>
      <c r="T163" s="241" t="n"/>
      <c r="U163" s="146" t="n"/>
      <c r="V163" s="227" t="n"/>
      <c r="W163" s="159" t="n"/>
      <c r="X163" s="159" t="n"/>
      <c r="Y163" s="185" t="inlineStr">
        <is>
          <t>DAVID WILDNER</t>
        </is>
      </c>
      <c r="Z163" s="230" t="n"/>
      <c r="AA163" s="231" t="n"/>
      <c r="AB163" s="232">
        <f>IFERROR(VLOOKUP(F163,'DATA BASE'!A:I,3,FALSE),"")</f>
        <v/>
      </c>
      <c r="AC163" s="230" t="n"/>
      <c r="AD163" s="231" t="n"/>
      <c r="AE163" s="233">
        <f>IFERROR(VLOOKUP(F163,'DATA BASE'!A:I,9,FALSE),"")</f>
        <v/>
      </c>
      <c r="AF163" s="231" t="n"/>
      <c r="AG163" s="232">
        <f>IFERROR(VLOOKUP(F163,'DATA BASE'!A:I,6,FALSE),"")</f>
        <v/>
      </c>
      <c r="AH163" s="230" t="n"/>
      <c r="AI163" s="231" t="n"/>
      <c r="AJ163" s="234">
        <f>IFERROR(VLOOKUP(F163,'DATA BASE'!A:I,8,FALSE),"")</f>
        <v/>
      </c>
      <c r="AK163" s="235" t="n"/>
    </row>
    <row r="164" ht="15.5" customHeight="1" s="7">
      <c r="A164" s="242" t="n"/>
      <c r="B164" s="242" t="n"/>
      <c r="C164" s="242" t="n"/>
      <c r="D164" s="242" t="n"/>
      <c r="E164" s="242" t="n"/>
      <c r="F164" s="148" t="n"/>
      <c r="G164" s="228" t="n"/>
      <c r="H164" s="236" t="n"/>
      <c r="I164" s="122" t="n"/>
      <c r="J164" s="240" t="n"/>
      <c r="K164" s="240" t="n"/>
      <c r="L164" s="241" t="n"/>
      <c r="M164" s="122" t="n"/>
      <c r="N164" s="241" t="n"/>
      <c r="O164" s="122" t="n"/>
      <c r="P164" s="240" t="n"/>
      <c r="Q164" s="240" t="n"/>
      <c r="R164" s="240" t="n"/>
      <c r="S164" s="240" t="n"/>
      <c r="T164" s="241" t="n"/>
      <c r="U164" s="243" t="n"/>
      <c r="V164" s="229" t="n"/>
      <c r="W164" s="242" t="n"/>
      <c r="X164" s="242" t="n"/>
      <c r="Y164" s="185">
        <f>VLOOKUP(F163,'DATA BASE'!A:I,2,FALSE)</f>
        <v/>
      </c>
      <c r="Z164" s="230" t="n"/>
      <c r="AA164" s="231" t="n"/>
      <c r="AB164" s="232">
        <f>IFERROR(VLOOKUP(F163,'DATA BASE'!A:I,4,FALSE),"")</f>
        <v/>
      </c>
      <c r="AC164" s="230" t="n"/>
      <c r="AD164" s="231" t="n"/>
      <c r="AE164" s="232">
        <f>IFERROR(VLOOKUP(F163,'DATA BASE'!A:I,5,FALSE),"")</f>
        <v/>
      </c>
      <c r="AF164" s="231" t="n"/>
      <c r="AG164" s="232">
        <f>IFERROR(VLOOKUP(F163,'DATA BASE'!A:I,7,FALSE),"")</f>
        <v/>
      </c>
      <c r="AH164" s="230" t="n"/>
      <c r="AI164" s="231" t="n"/>
      <c r="AJ164" s="238" t="n"/>
      <c r="AK164" s="239" t="n"/>
    </row>
    <row r="165" ht="15.5" customHeight="1" s="7">
      <c r="A165" s="157" t="n">
        <v>79</v>
      </c>
      <c r="B165" s="158" t="n"/>
      <c r="C165" s="159" t="n"/>
      <c r="D165" s="159" t="n"/>
      <c r="E165" s="159" t="n"/>
      <c r="F165" s="148" t="n"/>
      <c r="G165" s="228" t="n"/>
      <c r="H165" s="236" t="n"/>
      <c r="I165" s="122" t="n"/>
      <c r="J165" s="240" t="n"/>
      <c r="K165" s="240" t="n"/>
      <c r="L165" s="241" t="n"/>
      <c r="M165" s="138" t="n"/>
      <c r="N165" s="241" t="n"/>
      <c r="O165" s="122" t="n"/>
      <c r="P165" s="240" t="n"/>
      <c r="Q165" s="240" t="n"/>
      <c r="R165" s="240" t="n"/>
      <c r="S165" s="240" t="n"/>
      <c r="T165" s="241" t="n"/>
      <c r="U165" s="146" t="n"/>
      <c r="V165" s="227" t="n"/>
      <c r="W165" s="159" t="n"/>
      <c r="X165" s="159" t="n"/>
      <c r="Y165" s="185" t="inlineStr">
        <is>
          <t>DAVID WILDNER</t>
        </is>
      </c>
      <c r="Z165" s="230" t="n"/>
      <c r="AA165" s="231" t="n"/>
      <c r="AB165" s="232">
        <f>IFERROR(VLOOKUP(F165,'DATA BASE'!A:I,3,FALSE),"")</f>
        <v/>
      </c>
      <c r="AC165" s="230" t="n"/>
      <c r="AD165" s="231" t="n"/>
      <c r="AE165" s="233">
        <f>IFERROR(VLOOKUP(F165,'DATA BASE'!A:I,9,FALSE),"")</f>
        <v/>
      </c>
      <c r="AF165" s="231" t="n"/>
      <c r="AG165" s="232">
        <f>IFERROR(VLOOKUP(F165,'DATA BASE'!A:I,6,FALSE),"")</f>
        <v/>
      </c>
      <c r="AH165" s="230" t="n"/>
      <c r="AI165" s="231" t="n"/>
      <c r="AJ165" s="234">
        <f>IFERROR(VLOOKUP(F165,'DATA BASE'!A:I,8,FALSE),"")</f>
        <v/>
      </c>
      <c r="AK165" s="235" t="n"/>
    </row>
    <row r="166" ht="15.5" customHeight="1" s="7">
      <c r="A166" s="242" t="n"/>
      <c r="B166" s="242" t="n"/>
      <c r="C166" s="242" t="n"/>
      <c r="D166" s="242" t="n"/>
      <c r="E166" s="242" t="n"/>
      <c r="F166" s="148" t="n"/>
      <c r="G166" s="228" t="n"/>
      <c r="H166" s="236" t="n"/>
      <c r="I166" s="122" t="n"/>
      <c r="J166" s="240" t="n"/>
      <c r="K166" s="240" t="n"/>
      <c r="L166" s="241" t="n"/>
      <c r="M166" s="122" t="n"/>
      <c r="N166" s="241" t="n"/>
      <c r="O166" s="122" t="n"/>
      <c r="P166" s="240" t="n"/>
      <c r="Q166" s="240" t="n"/>
      <c r="R166" s="240" t="n"/>
      <c r="S166" s="240" t="n"/>
      <c r="T166" s="241" t="n"/>
      <c r="U166" s="243" t="n"/>
      <c r="V166" s="229" t="n"/>
      <c r="W166" s="242" t="n"/>
      <c r="X166" s="242" t="n"/>
      <c r="Y166" s="185">
        <f>VLOOKUP(F165,'DATA BASE'!A:I,2,FALSE)</f>
        <v/>
      </c>
      <c r="Z166" s="230" t="n"/>
      <c r="AA166" s="231" t="n"/>
      <c r="AB166" s="232">
        <f>IFERROR(VLOOKUP(F165,'DATA BASE'!A:I,4,FALSE),"")</f>
        <v/>
      </c>
      <c r="AC166" s="230" t="n"/>
      <c r="AD166" s="231" t="n"/>
      <c r="AE166" s="232">
        <f>IFERROR(VLOOKUP(F165,'DATA BASE'!A:I,5,FALSE),"")</f>
        <v/>
      </c>
      <c r="AF166" s="231" t="n"/>
      <c r="AG166" s="232">
        <f>IFERROR(VLOOKUP(F165,'DATA BASE'!A:I,7,FALSE),"")</f>
        <v/>
      </c>
      <c r="AH166" s="230" t="n"/>
      <c r="AI166" s="231" t="n"/>
      <c r="AJ166" s="238" t="n"/>
      <c r="AK166" s="239" t="n"/>
    </row>
    <row r="167" ht="15.5" customHeight="1" s="7">
      <c r="A167" s="157" t="n">
        <v>80</v>
      </c>
      <c r="B167" s="158" t="n"/>
      <c r="C167" s="159" t="n"/>
      <c r="D167" s="159" t="n"/>
      <c r="E167" s="159" t="n"/>
      <c r="F167" s="148" t="n"/>
      <c r="G167" s="228" t="n"/>
      <c r="H167" s="236" t="n"/>
      <c r="I167" s="122" t="n"/>
      <c r="J167" s="240" t="n"/>
      <c r="K167" s="240" t="n"/>
      <c r="L167" s="241" t="n"/>
      <c r="M167" s="138" t="n"/>
      <c r="N167" s="241" t="n"/>
      <c r="O167" s="122" t="n"/>
      <c r="P167" s="240" t="n"/>
      <c r="Q167" s="240" t="n"/>
      <c r="R167" s="240" t="n"/>
      <c r="S167" s="240" t="n"/>
      <c r="T167" s="241" t="n"/>
      <c r="U167" s="146" t="n"/>
      <c r="V167" s="227" t="n"/>
      <c r="W167" s="159" t="n"/>
      <c r="X167" s="159" t="n"/>
      <c r="Y167" s="185" t="inlineStr">
        <is>
          <t>DAVID WILDNER</t>
        </is>
      </c>
      <c r="Z167" s="230" t="n"/>
      <c r="AA167" s="231" t="n"/>
      <c r="AB167" s="232">
        <f>IFERROR(VLOOKUP(F167,'DATA BASE'!A:I,3,FALSE),"")</f>
        <v/>
      </c>
      <c r="AC167" s="230" t="n"/>
      <c r="AD167" s="231" t="n"/>
      <c r="AE167" s="233">
        <f>IFERROR(VLOOKUP(F167,'DATA BASE'!A:I,9,FALSE),"")</f>
        <v/>
      </c>
      <c r="AF167" s="231" t="n"/>
      <c r="AG167" s="232">
        <f>IFERROR(VLOOKUP(F167,'DATA BASE'!A:I,6,FALSE),"")</f>
        <v/>
      </c>
      <c r="AH167" s="230" t="n"/>
      <c r="AI167" s="231" t="n"/>
      <c r="AJ167" s="234">
        <f>IFERROR(VLOOKUP(F167,'DATA BASE'!A:I,8,FALSE),"")</f>
        <v/>
      </c>
      <c r="AK167" s="235" t="n"/>
    </row>
    <row r="168" ht="15.5" customHeight="1" s="7">
      <c r="A168" s="242" t="n"/>
      <c r="B168" s="242" t="n"/>
      <c r="C168" s="242" t="n"/>
      <c r="D168" s="242" t="n"/>
      <c r="E168" s="242" t="n"/>
      <c r="F168" s="148" t="n"/>
      <c r="G168" s="228" t="n"/>
      <c r="H168" s="236" t="n"/>
      <c r="I168" s="122" t="n"/>
      <c r="J168" s="240" t="n"/>
      <c r="K168" s="240" t="n"/>
      <c r="L168" s="241" t="n"/>
      <c r="M168" s="122" t="n"/>
      <c r="N168" s="241" t="n"/>
      <c r="O168" s="122" t="n"/>
      <c r="P168" s="240" t="n"/>
      <c r="Q168" s="240" t="n"/>
      <c r="R168" s="240" t="n"/>
      <c r="S168" s="240" t="n"/>
      <c r="T168" s="241" t="n"/>
      <c r="U168" s="243" t="n"/>
      <c r="V168" s="229" t="n"/>
      <c r="W168" s="242" t="n"/>
      <c r="X168" s="242" t="n"/>
      <c r="Y168" s="185">
        <f>VLOOKUP(F167,'DATA BASE'!A:I,2,FALSE)</f>
        <v/>
      </c>
      <c r="Z168" s="230" t="n"/>
      <c r="AA168" s="231" t="n"/>
      <c r="AB168" s="232">
        <f>IFERROR(VLOOKUP(F167,'DATA BASE'!A:I,4,FALSE),"")</f>
        <v/>
      </c>
      <c r="AC168" s="230" t="n"/>
      <c r="AD168" s="231" t="n"/>
      <c r="AE168" s="232">
        <f>IFERROR(VLOOKUP(F167,'DATA BASE'!A:I,5,FALSE),"")</f>
        <v/>
      </c>
      <c r="AF168" s="231" t="n"/>
      <c r="AG168" s="232">
        <f>IFERROR(VLOOKUP(F167,'DATA BASE'!A:I,7,FALSE),"")</f>
        <v/>
      </c>
      <c r="AH168" s="230" t="n"/>
      <c r="AI168" s="231" t="n"/>
      <c r="AJ168" s="238" t="n"/>
      <c r="AK168" s="239" t="n"/>
    </row>
    <row r="169" ht="15.5" customHeight="1" s="7">
      <c r="A169" s="157" t="n">
        <v>81</v>
      </c>
      <c r="B169" s="158" t="n"/>
      <c r="C169" s="159" t="n"/>
      <c r="D169" s="159" t="n"/>
      <c r="E169" s="159" t="n"/>
      <c r="F169" s="148" t="n"/>
      <c r="G169" s="228" t="n"/>
      <c r="H169" s="236" t="n"/>
      <c r="I169" s="122" t="n"/>
      <c r="J169" s="240" t="n"/>
      <c r="K169" s="240" t="n"/>
      <c r="L169" s="241" t="n"/>
      <c r="M169" s="138" t="n"/>
      <c r="N169" s="241" t="n"/>
      <c r="O169" s="122" t="n"/>
      <c r="P169" s="240" t="n"/>
      <c r="Q169" s="240" t="n"/>
      <c r="R169" s="240" t="n"/>
      <c r="S169" s="240" t="n"/>
      <c r="T169" s="241" t="n"/>
      <c r="U169" s="146" t="n"/>
      <c r="V169" s="227" t="n"/>
      <c r="W169" s="159" t="n"/>
      <c r="X169" s="159" t="n"/>
      <c r="Y169" s="185" t="inlineStr">
        <is>
          <t>DAVID WILDNER</t>
        </is>
      </c>
      <c r="Z169" s="230" t="n"/>
      <c r="AA169" s="231" t="n"/>
      <c r="AB169" s="232">
        <f>IFERROR(VLOOKUP(F169,'DATA BASE'!A:I,3,FALSE),"")</f>
        <v/>
      </c>
      <c r="AC169" s="230" t="n"/>
      <c r="AD169" s="231" t="n"/>
      <c r="AE169" s="233">
        <f>IFERROR(VLOOKUP(F169,'DATA BASE'!A:I,9,FALSE),"")</f>
        <v/>
      </c>
      <c r="AF169" s="231" t="n"/>
      <c r="AG169" s="232">
        <f>IFERROR(VLOOKUP(F169,'DATA BASE'!A:I,6,FALSE),"")</f>
        <v/>
      </c>
      <c r="AH169" s="230" t="n"/>
      <c r="AI169" s="231" t="n"/>
      <c r="AJ169" s="234">
        <f>IFERROR(VLOOKUP(F169,'DATA BASE'!A:I,8,FALSE),"")</f>
        <v/>
      </c>
      <c r="AK169" s="235" t="n"/>
    </row>
    <row r="170" ht="15.5" customHeight="1" s="7">
      <c r="A170" s="242" t="n"/>
      <c r="B170" s="242" t="n"/>
      <c r="C170" s="242" t="n"/>
      <c r="D170" s="242" t="n"/>
      <c r="E170" s="242" t="n"/>
      <c r="F170" s="148" t="n"/>
      <c r="G170" s="228" t="n"/>
      <c r="H170" s="236" t="n"/>
      <c r="I170" s="122" t="n"/>
      <c r="J170" s="240" t="n"/>
      <c r="K170" s="240" t="n"/>
      <c r="L170" s="241" t="n"/>
      <c r="M170" s="122" t="n"/>
      <c r="N170" s="241" t="n"/>
      <c r="O170" s="122" t="n"/>
      <c r="P170" s="240" t="n"/>
      <c r="Q170" s="240" t="n"/>
      <c r="R170" s="240" t="n"/>
      <c r="S170" s="240" t="n"/>
      <c r="T170" s="241" t="n"/>
      <c r="U170" s="243" t="n"/>
      <c r="V170" s="229" t="n"/>
      <c r="W170" s="242" t="n"/>
      <c r="X170" s="242" t="n"/>
      <c r="Y170" s="185">
        <f>VLOOKUP(F169,'DATA BASE'!A:I,2,FALSE)</f>
        <v/>
      </c>
      <c r="Z170" s="230" t="n"/>
      <c r="AA170" s="231" t="n"/>
      <c r="AB170" s="232">
        <f>IFERROR(VLOOKUP(F169,'DATA BASE'!A:I,4,FALSE),"")</f>
        <v/>
      </c>
      <c r="AC170" s="230" t="n"/>
      <c r="AD170" s="231" t="n"/>
      <c r="AE170" s="232">
        <f>IFERROR(VLOOKUP(F169,'DATA BASE'!A:I,5,FALSE),"")</f>
        <v/>
      </c>
      <c r="AF170" s="231" t="n"/>
      <c r="AG170" s="232">
        <f>IFERROR(VLOOKUP(F169,'DATA BASE'!A:I,7,FALSE),"")</f>
        <v/>
      </c>
      <c r="AH170" s="230" t="n"/>
      <c r="AI170" s="231" t="n"/>
      <c r="AJ170" s="238" t="n"/>
      <c r="AK170" s="239" t="n"/>
    </row>
    <row r="171" ht="15.5" customHeight="1" s="7">
      <c r="A171" s="157" t="n">
        <v>82</v>
      </c>
      <c r="B171" s="158" t="n"/>
      <c r="C171" s="159" t="n"/>
      <c r="D171" s="159" t="n"/>
      <c r="E171" s="159" t="n"/>
      <c r="F171" s="148" t="n"/>
      <c r="G171" s="228" t="n"/>
      <c r="H171" s="236" t="n"/>
      <c r="I171" s="122" t="n"/>
      <c r="J171" s="240" t="n"/>
      <c r="K171" s="240" t="n"/>
      <c r="L171" s="241" t="n"/>
      <c r="M171" s="138" t="n"/>
      <c r="N171" s="241" t="n"/>
      <c r="O171" s="122" t="n"/>
      <c r="P171" s="240" t="n"/>
      <c r="Q171" s="240" t="n"/>
      <c r="R171" s="240" t="n"/>
      <c r="S171" s="240" t="n"/>
      <c r="T171" s="241" t="n"/>
      <c r="U171" s="146" t="n"/>
      <c r="V171" s="227" t="n"/>
      <c r="W171" s="159" t="n"/>
      <c r="X171" s="159" t="n"/>
      <c r="Y171" s="185" t="inlineStr">
        <is>
          <t>DAVID WILDNER</t>
        </is>
      </c>
      <c r="Z171" s="230" t="n"/>
      <c r="AA171" s="231" t="n"/>
      <c r="AB171" s="232">
        <f>IFERROR(VLOOKUP(F171,'DATA BASE'!A:I,3,FALSE),"")</f>
        <v/>
      </c>
      <c r="AC171" s="230" t="n"/>
      <c r="AD171" s="231" t="n"/>
      <c r="AE171" s="233">
        <f>IFERROR(VLOOKUP(F171,'DATA BASE'!A:I,9,FALSE),"")</f>
        <v/>
      </c>
      <c r="AF171" s="231" t="n"/>
      <c r="AG171" s="232">
        <f>IFERROR(VLOOKUP(F171,'DATA BASE'!A:I,6,FALSE),"")</f>
        <v/>
      </c>
      <c r="AH171" s="230" t="n"/>
      <c r="AI171" s="231" t="n"/>
      <c r="AJ171" s="234">
        <f>IFERROR(VLOOKUP(F171,'DATA BASE'!A:I,8,FALSE),"")</f>
        <v/>
      </c>
      <c r="AK171" s="235" t="n"/>
    </row>
    <row r="172" ht="15.5" customHeight="1" s="7">
      <c r="A172" s="242" t="n"/>
      <c r="B172" s="242" t="n"/>
      <c r="C172" s="242" t="n"/>
      <c r="D172" s="242" t="n"/>
      <c r="E172" s="242" t="n"/>
      <c r="F172" s="148" t="n"/>
      <c r="G172" s="228" t="n"/>
      <c r="H172" s="236" t="n"/>
      <c r="I172" s="122" t="n"/>
      <c r="J172" s="240" t="n"/>
      <c r="K172" s="240" t="n"/>
      <c r="L172" s="241" t="n"/>
      <c r="M172" s="122" t="n"/>
      <c r="N172" s="241" t="n"/>
      <c r="O172" s="122" t="n"/>
      <c r="P172" s="240" t="n"/>
      <c r="Q172" s="240" t="n"/>
      <c r="R172" s="240" t="n"/>
      <c r="S172" s="240" t="n"/>
      <c r="T172" s="241" t="n"/>
      <c r="U172" s="243" t="n"/>
      <c r="V172" s="229" t="n"/>
      <c r="W172" s="242" t="n"/>
      <c r="X172" s="242" t="n"/>
      <c r="Y172" s="185">
        <f>VLOOKUP(F171,'DATA BASE'!A:I,2,FALSE)</f>
        <v/>
      </c>
      <c r="Z172" s="230" t="n"/>
      <c r="AA172" s="231" t="n"/>
      <c r="AB172" s="232">
        <f>IFERROR(VLOOKUP(F171,'DATA BASE'!A:I,4,FALSE),"")</f>
        <v/>
      </c>
      <c r="AC172" s="230" t="n"/>
      <c r="AD172" s="231" t="n"/>
      <c r="AE172" s="232">
        <f>IFERROR(VLOOKUP(F171,'DATA BASE'!A:I,5,FALSE),"")</f>
        <v/>
      </c>
      <c r="AF172" s="231" t="n"/>
      <c r="AG172" s="232">
        <f>IFERROR(VLOOKUP(F171,'DATA BASE'!A:I,7,FALSE),"")</f>
        <v/>
      </c>
      <c r="AH172" s="230" t="n"/>
      <c r="AI172" s="231" t="n"/>
      <c r="AJ172" s="238" t="n"/>
      <c r="AK172" s="239" t="n"/>
    </row>
    <row r="173" ht="15.5" customHeight="1" s="7">
      <c r="A173" s="157" t="n">
        <v>83</v>
      </c>
      <c r="B173" s="158" t="n"/>
      <c r="C173" s="159" t="n"/>
      <c r="D173" s="159" t="n"/>
      <c r="E173" s="159" t="n"/>
      <c r="F173" s="148" t="n"/>
      <c r="G173" s="228" t="n"/>
      <c r="H173" s="236" t="n"/>
      <c r="I173" s="122" t="n"/>
      <c r="J173" s="240" t="n"/>
      <c r="K173" s="240" t="n"/>
      <c r="L173" s="241" t="n"/>
      <c r="M173" s="138" t="n"/>
      <c r="N173" s="241" t="n"/>
      <c r="O173" s="122" t="n"/>
      <c r="P173" s="240" t="n"/>
      <c r="Q173" s="240" t="n"/>
      <c r="R173" s="240" t="n"/>
      <c r="S173" s="240" t="n"/>
      <c r="T173" s="241" t="n"/>
      <c r="U173" s="146" t="n"/>
      <c r="V173" s="227" t="n"/>
      <c r="W173" s="159" t="n"/>
      <c r="X173" s="159" t="n"/>
      <c r="Y173" s="185" t="inlineStr">
        <is>
          <t>DAVID WILDNER</t>
        </is>
      </c>
      <c r="Z173" s="230" t="n"/>
      <c r="AA173" s="231" t="n"/>
      <c r="AB173" s="232">
        <f>IFERROR(VLOOKUP(F173,'DATA BASE'!A:I,3,FALSE),"")</f>
        <v/>
      </c>
      <c r="AC173" s="230" t="n"/>
      <c r="AD173" s="231" t="n"/>
      <c r="AE173" s="233">
        <f>IFERROR(VLOOKUP(F173,'DATA BASE'!A:I,9,FALSE),"")</f>
        <v/>
      </c>
      <c r="AF173" s="231" t="n"/>
      <c r="AG173" s="232">
        <f>IFERROR(VLOOKUP(F173,'DATA BASE'!A:I,6,FALSE),"")</f>
        <v/>
      </c>
      <c r="AH173" s="230" t="n"/>
      <c r="AI173" s="231" t="n"/>
      <c r="AJ173" s="234">
        <f>IFERROR(VLOOKUP(F173,'DATA BASE'!A:I,8,FALSE),"")</f>
        <v/>
      </c>
      <c r="AK173" s="235" t="n"/>
    </row>
    <row r="174" ht="15.5" customHeight="1" s="7">
      <c r="A174" s="242" t="n"/>
      <c r="B174" s="242" t="n"/>
      <c r="C174" s="242" t="n"/>
      <c r="D174" s="242" t="n"/>
      <c r="E174" s="242" t="n"/>
      <c r="F174" s="148" t="n"/>
      <c r="G174" s="228" t="n"/>
      <c r="H174" s="236" t="n"/>
      <c r="I174" s="122" t="n"/>
      <c r="J174" s="240" t="n"/>
      <c r="K174" s="240" t="n"/>
      <c r="L174" s="241" t="n"/>
      <c r="M174" s="122" t="n"/>
      <c r="N174" s="241" t="n"/>
      <c r="O174" s="122" t="n"/>
      <c r="P174" s="240" t="n"/>
      <c r="Q174" s="240" t="n"/>
      <c r="R174" s="240" t="n"/>
      <c r="S174" s="240" t="n"/>
      <c r="T174" s="241" t="n"/>
      <c r="U174" s="243" t="n"/>
      <c r="V174" s="229" t="n"/>
      <c r="W174" s="242" t="n"/>
      <c r="X174" s="242" t="n"/>
      <c r="Y174" s="185">
        <f>VLOOKUP(F173,'DATA BASE'!A:I,2,FALSE)</f>
        <v/>
      </c>
      <c r="Z174" s="230" t="n"/>
      <c r="AA174" s="231" t="n"/>
      <c r="AB174" s="232">
        <f>IFERROR(VLOOKUP(F173,'DATA BASE'!A:I,4,FALSE),"")</f>
        <v/>
      </c>
      <c r="AC174" s="230" t="n"/>
      <c r="AD174" s="231" t="n"/>
      <c r="AE174" s="232">
        <f>IFERROR(VLOOKUP(F173,'DATA BASE'!A:I,5,FALSE),"")</f>
        <v/>
      </c>
      <c r="AF174" s="231" t="n"/>
      <c r="AG174" s="232">
        <f>IFERROR(VLOOKUP(F173,'DATA BASE'!A:I,7,FALSE),"")</f>
        <v/>
      </c>
      <c r="AH174" s="230" t="n"/>
      <c r="AI174" s="231" t="n"/>
      <c r="AJ174" s="238" t="n"/>
      <c r="AK174" s="239" t="n"/>
    </row>
    <row r="175" ht="15.5" customHeight="1" s="7">
      <c r="A175" s="157" t="n">
        <v>84</v>
      </c>
      <c r="B175" s="158" t="n"/>
      <c r="C175" s="159" t="n"/>
      <c r="D175" s="159" t="n"/>
      <c r="E175" s="159" t="n"/>
      <c r="F175" s="148" t="n"/>
      <c r="G175" s="228" t="n"/>
      <c r="H175" s="236" t="n"/>
      <c r="I175" s="122" t="n"/>
      <c r="J175" s="240" t="n"/>
      <c r="K175" s="240" t="n"/>
      <c r="L175" s="241" t="n"/>
      <c r="M175" s="138" t="n"/>
      <c r="N175" s="241" t="n"/>
      <c r="O175" s="122" t="n"/>
      <c r="P175" s="240" t="n"/>
      <c r="Q175" s="240" t="n"/>
      <c r="R175" s="240" t="n"/>
      <c r="S175" s="240" t="n"/>
      <c r="T175" s="241" t="n"/>
      <c r="U175" s="146" t="n"/>
      <c r="V175" s="227" t="n"/>
      <c r="W175" s="159" t="n"/>
      <c r="X175" s="159" t="n"/>
      <c r="Y175" s="185" t="inlineStr">
        <is>
          <t>DAVID WILDNER</t>
        </is>
      </c>
      <c r="Z175" s="230" t="n"/>
      <c r="AA175" s="231" t="n"/>
      <c r="AB175" s="232">
        <f>IFERROR(VLOOKUP(F175,'DATA BASE'!A:I,3,FALSE),"")</f>
        <v/>
      </c>
      <c r="AC175" s="230" t="n"/>
      <c r="AD175" s="231" t="n"/>
      <c r="AE175" s="233">
        <f>IFERROR(VLOOKUP(F175,'DATA BASE'!A:I,9,FALSE),"")</f>
        <v/>
      </c>
      <c r="AF175" s="231" t="n"/>
      <c r="AG175" s="232">
        <f>IFERROR(VLOOKUP(F175,'DATA BASE'!A:I,6,FALSE),"")</f>
        <v/>
      </c>
      <c r="AH175" s="230" t="n"/>
      <c r="AI175" s="231" t="n"/>
      <c r="AJ175" s="234">
        <f>IFERROR(VLOOKUP(F175,'DATA BASE'!A:I,8,FALSE),"")</f>
        <v/>
      </c>
      <c r="AK175" s="235" t="n"/>
    </row>
    <row r="176" ht="15.5" customHeight="1" s="7">
      <c r="A176" s="242" t="n"/>
      <c r="B176" s="242" t="n"/>
      <c r="C176" s="242" t="n"/>
      <c r="D176" s="242" t="n"/>
      <c r="E176" s="242" t="n"/>
      <c r="F176" s="148" t="n"/>
      <c r="G176" s="228" t="n"/>
      <c r="H176" s="236" t="n"/>
      <c r="I176" s="122" t="n"/>
      <c r="J176" s="240" t="n"/>
      <c r="K176" s="240" t="n"/>
      <c r="L176" s="241" t="n"/>
      <c r="M176" s="122" t="n"/>
      <c r="N176" s="241" t="n"/>
      <c r="O176" s="122" t="n"/>
      <c r="P176" s="240" t="n"/>
      <c r="Q176" s="240" t="n"/>
      <c r="R176" s="240" t="n"/>
      <c r="S176" s="240" t="n"/>
      <c r="T176" s="241" t="n"/>
      <c r="U176" s="243" t="n"/>
      <c r="V176" s="229" t="n"/>
      <c r="W176" s="242" t="n"/>
      <c r="X176" s="242" t="n"/>
      <c r="Y176" s="185">
        <f>VLOOKUP(F175,'DATA BASE'!A:I,2,FALSE)</f>
        <v/>
      </c>
      <c r="Z176" s="230" t="n"/>
      <c r="AA176" s="231" t="n"/>
      <c r="AB176" s="232">
        <f>IFERROR(VLOOKUP(F175,'DATA BASE'!A:I,4,FALSE),"")</f>
        <v/>
      </c>
      <c r="AC176" s="230" t="n"/>
      <c r="AD176" s="231" t="n"/>
      <c r="AE176" s="232">
        <f>IFERROR(VLOOKUP(F175,'DATA BASE'!A:I,5,FALSE),"")</f>
        <v/>
      </c>
      <c r="AF176" s="231" t="n"/>
      <c r="AG176" s="232">
        <f>IFERROR(VLOOKUP(F175,'DATA BASE'!A:I,7,FALSE),"")</f>
        <v/>
      </c>
      <c r="AH176" s="230" t="n"/>
      <c r="AI176" s="231" t="n"/>
      <c r="AJ176" s="238" t="n"/>
      <c r="AK176" s="239" t="n"/>
    </row>
    <row r="177" ht="15.5" customHeight="1" s="7">
      <c r="A177" s="157" t="n">
        <v>85</v>
      </c>
      <c r="B177" s="158" t="n"/>
      <c r="C177" s="159" t="n"/>
      <c r="D177" s="159" t="n"/>
      <c r="E177" s="159" t="n"/>
      <c r="F177" s="148" t="n"/>
      <c r="G177" s="228" t="n"/>
      <c r="H177" s="236" t="n"/>
      <c r="I177" s="122" t="n"/>
      <c r="J177" s="240" t="n"/>
      <c r="K177" s="240" t="n"/>
      <c r="L177" s="241" t="n"/>
      <c r="M177" s="138" t="n"/>
      <c r="N177" s="241" t="n"/>
      <c r="O177" s="122" t="n"/>
      <c r="P177" s="240" t="n"/>
      <c r="Q177" s="240" t="n"/>
      <c r="R177" s="240" t="n"/>
      <c r="S177" s="240" t="n"/>
      <c r="T177" s="241" t="n"/>
      <c r="U177" s="146" t="n"/>
      <c r="V177" s="227" t="n"/>
      <c r="W177" s="159" t="n"/>
      <c r="X177" s="159" t="n"/>
      <c r="Y177" s="185" t="inlineStr">
        <is>
          <t>DAVID WILDNER</t>
        </is>
      </c>
      <c r="Z177" s="230" t="n"/>
      <c r="AA177" s="231" t="n"/>
      <c r="AB177" s="232">
        <f>IFERROR(VLOOKUP(F177,'DATA BASE'!A:I,3,FALSE),"")</f>
        <v/>
      </c>
      <c r="AC177" s="230" t="n"/>
      <c r="AD177" s="231" t="n"/>
      <c r="AE177" s="233">
        <f>IFERROR(VLOOKUP(F177,'DATA BASE'!A:I,9,FALSE),"")</f>
        <v/>
      </c>
      <c r="AF177" s="231" t="n"/>
      <c r="AG177" s="232">
        <f>IFERROR(VLOOKUP(F177,'DATA BASE'!A:I,6,FALSE),"")</f>
        <v/>
      </c>
      <c r="AH177" s="230" t="n"/>
      <c r="AI177" s="231" t="n"/>
      <c r="AJ177" s="234">
        <f>IFERROR(VLOOKUP(F177,'DATA BASE'!A:I,8,FALSE),"")</f>
        <v/>
      </c>
      <c r="AK177" s="235" t="n"/>
    </row>
    <row r="178" ht="15.5" customHeight="1" s="7">
      <c r="A178" s="242" t="n"/>
      <c r="B178" s="242" t="n"/>
      <c r="C178" s="242" t="n"/>
      <c r="D178" s="242" t="n"/>
      <c r="E178" s="242" t="n"/>
      <c r="F178" s="148" t="n"/>
      <c r="G178" s="228" t="n"/>
      <c r="H178" s="236" t="n"/>
      <c r="I178" s="122" t="n"/>
      <c r="J178" s="240" t="n"/>
      <c r="K178" s="240" t="n"/>
      <c r="L178" s="241" t="n"/>
      <c r="M178" s="122" t="n"/>
      <c r="N178" s="241" t="n"/>
      <c r="O178" s="122" t="n"/>
      <c r="P178" s="240" t="n"/>
      <c r="Q178" s="240" t="n"/>
      <c r="R178" s="240" t="n"/>
      <c r="S178" s="240" t="n"/>
      <c r="T178" s="241" t="n"/>
      <c r="U178" s="243" t="n"/>
      <c r="V178" s="229" t="n"/>
      <c r="W178" s="242" t="n"/>
      <c r="X178" s="242" t="n"/>
      <c r="Y178" s="185">
        <f>VLOOKUP(F177,'DATA BASE'!A:I,2,FALSE)</f>
        <v/>
      </c>
      <c r="Z178" s="230" t="n"/>
      <c r="AA178" s="231" t="n"/>
      <c r="AB178" s="232">
        <f>IFERROR(VLOOKUP(F177,'DATA BASE'!A:I,4,FALSE),"")</f>
        <v/>
      </c>
      <c r="AC178" s="230" t="n"/>
      <c r="AD178" s="231" t="n"/>
      <c r="AE178" s="232">
        <f>IFERROR(VLOOKUP(F177,'DATA BASE'!A:I,5,FALSE),"")</f>
        <v/>
      </c>
      <c r="AF178" s="231" t="n"/>
      <c r="AG178" s="232">
        <f>IFERROR(VLOOKUP(F177,'DATA BASE'!A:I,7,FALSE),"")</f>
        <v/>
      </c>
      <c r="AH178" s="230" t="n"/>
      <c r="AI178" s="231" t="n"/>
      <c r="AJ178" s="238" t="n"/>
      <c r="AK178" s="239" t="n"/>
    </row>
    <row r="179" ht="15.5" customHeight="1" s="7">
      <c r="A179" s="157" t="n">
        <v>86</v>
      </c>
      <c r="B179" s="158" t="n"/>
      <c r="C179" s="159" t="n"/>
      <c r="D179" s="159" t="n"/>
      <c r="E179" s="159" t="n"/>
      <c r="F179" s="148" t="n"/>
      <c r="G179" s="228" t="n"/>
      <c r="H179" s="236" t="n"/>
      <c r="I179" s="122" t="n"/>
      <c r="J179" s="240" t="n"/>
      <c r="K179" s="240" t="n"/>
      <c r="L179" s="241" t="n"/>
      <c r="M179" s="138" t="n"/>
      <c r="N179" s="241" t="n"/>
      <c r="O179" s="122" t="n"/>
      <c r="P179" s="240" t="n"/>
      <c r="Q179" s="240" t="n"/>
      <c r="R179" s="240" t="n"/>
      <c r="S179" s="240" t="n"/>
      <c r="T179" s="241" t="n"/>
      <c r="U179" s="146" t="n"/>
      <c r="V179" s="227" t="n"/>
      <c r="W179" s="159" t="n"/>
      <c r="X179" s="159" t="n"/>
      <c r="Y179" s="185" t="inlineStr">
        <is>
          <t>DAVID WILDNER</t>
        </is>
      </c>
      <c r="Z179" s="230" t="n"/>
      <c r="AA179" s="231" t="n"/>
      <c r="AB179" s="232">
        <f>IFERROR(VLOOKUP(F179,'DATA BASE'!A:I,3,FALSE),"")</f>
        <v/>
      </c>
      <c r="AC179" s="230" t="n"/>
      <c r="AD179" s="231" t="n"/>
      <c r="AE179" s="233">
        <f>IFERROR(VLOOKUP(F179,'DATA BASE'!A:I,9,FALSE),"")</f>
        <v/>
      </c>
      <c r="AF179" s="231" t="n"/>
      <c r="AG179" s="232">
        <f>IFERROR(VLOOKUP(F179,'DATA BASE'!A:I,6,FALSE),"")</f>
        <v/>
      </c>
      <c r="AH179" s="230" t="n"/>
      <c r="AI179" s="231" t="n"/>
      <c r="AJ179" s="234">
        <f>IFERROR(VLOOKUP(F179,'DATA BASE'!A:I,8,FALSE),"")</f>
        <v/>
      </c>
      <c r="AK179" s="235" t="n"/>
    </row>
    <row r="180" ht="15.5" customHeight="1" s="7">
      <c r="A180" s="242" t="n"/>
      <c r="B180" s="242" t="n"/>
      <c r="C180" s="242" t="n"/>
      <c r="D180" s="242" t="n"/>
      <c r="E180" s="242" t="n"/>
      <c r="F180" s="148" t="n"/>
      <c r="G180" s="228" t="n"/>
      <c r="H180" s="236" t="n"/>
      <c r="I180" s="122" t="n"/>
      <c r="J180" s="240" t="n"/>
      <c r="K180" s="240" t="n"/>
      <c r="L180" s="241" t="n"/>
      <c r="M180" s="122" t="n"/>
      <c r="N180" s="241" t="n"/>
      <c r="O180" s="122" t="n"/>
      <c r="P180" s="240" t="n"/>
      <c r="Q180" s="240" t="n"/>
      <c r="R180" s="240" t="n"/>
      <c r="S180" s="240" t="n"/>
      <c r="T180" s="241" t="n"/>
      <c r="U180" s="243" t="n"/>
      <c r="V180" s="229" t="n"/>
      <c r="W180" s="242" t="n"/>
      <c r="X180" s="242" t="n"/>
      <c r="Y180" s="185">
        <f>VLOOKUP(F179,'DATA BASE'!A:I,2,FALSE)</f>
        <v/>
      </c>
      <c r="Z180" s="230" t="n"/>
      <c r="AA180" s="231" t="n"/>
      <c r="AB180" s="232">
        <f>IFERROR(VLOOKUP(F179,'DATA BASE'!A:I,4,FALSE),"")</f>
        <v/>
      </c>
      <c r="AC180" s="230" t="n"/>
      <c r="AD180" s="231" t="n"/>
      <c r="AE180" s="232">
        <f>IFERROR(VLOOKUP(F179,'DATA BASE'!A:I,5,FALSE),"")</f>
        <v/>
      </c>
      <c r="AF180" s="231" t="n"/>
      <c r="AG180" s="232">
        <f>IFERROR(VLOOKUP(F179,'DATA BASE'!A:I,7,FALSE),"")</f>
        <v/>
      </c>
      <c r="AH180" s="230" t="n"/>
      <c r="AI180" s="231" t="n"/>
      <c r="AJ180" s="238" t="n"/>
      <c r="AK180" s="239" t="n"/>
    </row>
    <row r="181" ht="15.5" customHeight="1" s="7">
      <c r="A181" s="157" t="n">
        <v>87</v>
      </c>
      <c r="B181" s="158" t="n"/>
      <c r="C181" s="159" t="n"/>
      <c r="D181" s="159" t="n"/>
      <c r="E181" s="159" t="n"/>
      <c r="F181" s="148" t="n"/>
      <c r="G181" s="228" t="n"/>
      <c r="H181" s="236" t="n"/>
      <c r="I181" s="122" t="n"/>
      <c r="J181" s="240" t="n"/>
      <c r="K181" s="240" t="n"/>
      <c r="L181" s="241" t="n"/>
      <c r="M181" s="138" t="n"/>
      <c r="N181" s="241" t="n"/>
      <c r="O181" s="122" t="n"/>
      <c r="P181" s="240" t="n"/>
      <c r="Q181" s="240" t="n"/>
      <c r="R181" s="240" t="n"/>
      <c r="S181" s="240" t="n"/>
      <c r="T181" s="241" t="n"/>
      <c r="U181" s="146" t="n"/>
      <c r="V181" s="227" t="n"/>
      <c r="W181" s="159" t="n"/>
      <c r="X181" s="159" t="n"/>
      <c r="Y181" s="185" t="inlineStr">
        <is>
          <t>DAVID WILDNER</t>
        </is>
      </c>
      <c r="Z181" s="230" t="n"/>
      <c r="AA181" s="231" t="n"/>
      <c r="AB181" s="232">
        <f>IFERROR(VLOOKUP(F181,'DATA BASE'!A:I,3,FALSE),"")</f>
        <v/>
      </c>
      <c r="AC181" s="230" t="n"/>
      <c r="AD181" s="231" t="n"/>
      <c r="AE181" s="233">
        <f>IFERROR(VLOOKUP(F181,'DATA BASE'!A:I,9,FALSE),"")</f>
        <v/>
      </c>
      <c r="AF181" s="231" t="n"/>
      <c r="AG181" s="232">
        <f>IFERROR(VLOOKUP(F181,'DATA BASE'!A:I,6,FALSE),"")</f>
        <v/>
      </c>
      <c r="AH181" s="230" t="n"/>
      <c r="AI181" s="231" t="n"/>
      <c r="AJ181" s="234">
        <f>IFERROR(VLOOKUP(F181,'DATA BASE'!A:I,8,FALSE),"")</f>
        <v/>
      </c>
      <c r="AK181" s="235" t="n"/>
    </row>
    <row r="182" ht="15.5" customHeight="1" s="7">
      <c r="A182" s="242" t="n"/>
      <c r="B182" s="242" t="n"/>
      <c r="C182" s="242" t="n"/>
      <c r="D182" s="242" t="n"/>
      <c r="E182" s="242" t="n"/>
      <c r="F182" s="148" t="n"/>
      <c r="G182" s="228" t="n"/>
      <c r="H182" s="236" t="n"/>
      <c r="I182" s="122" t="n"/>
      <c r="J182" s="240" t="n"/>
      <c r="K182" s="240" t="n"/>
      <c r="L182" s="241" t="n"/>
      <c r="M182" s="122" t="n"/>
      <c r="N182" s="241" t="n"/>
      <c r="O182" s="122" t="n"/>
      <c r="P182" s="240" t="n"/>
      <c r="Q182" s="240" t="n"/>
      <c r="R182" s="240" t="n"/>
      <c r="S182" s="240" t="n"/>
      <c r="T182" s="241" t="n"/>
      <c r="U182" s="243" t="n"/>
      <c r="V182" s="229" t="n"/>
      <c r="W182" s="242" t="n"/>
      <c r="X182" s="242" t="n"/>
      <c r="Y182" s="185">
        <f>VLOOKUP(F181,'DATA BASE'!A:I,2,FALSE)</f>
        <v/>
      </c>
      <c r="Z182" s="230" t="n"/>
      <c r="AA182" s="231" t="n"/>
      <c r="AB182" s="232">
        <f>IFERROR(VLOOKUP(F181,'DATA BASE'!A:I,4,FALSE),"")</f>
        <v/>
      </c>
      <c r="AC182" s="230" t="n"/>
      <c r="AD182" s="231" t="n"/>
      <c r="AE182" s="232">
        <f>IFERROR(VLOOKUP(F181,'DATA BASE'!A:I,5,FALSE),"")</f>
        <v/>
      </c>
      <c r="AF182" s="231" t="n"/>
      <c r="AG182" s="232">
        <f>IFERROR(VLOOKUP(F181,'DATA BASE'!A:I,7,FALSE),"")</f>
        <v/>
      </c>
      <c r="AH182" s="230" t="n"/>
      <c r="AI182" s="231" t="n"/>
      <c r="AJ182" s="238" t="n"/>
      <c r="AK182" s="239" t="n"/>
    </row>
    <row r="183" ht="15.5" customHeight="1" s="7">
      <c r="A183" s="157" t="n">
        <v>88</v>
      </c>
      <c r="B183" s="158" t="n"/>
      <c r="C183" s="159" t="n"/>
      <c r="D183" s="159" t="n"/>
      <c r="E183" s="159" t="n"/>
      <c r="F183" s="148" t="n"/>
      <c r="G183" s="228" t="n"/>
      <c r="H183" s="236" t="n"/>
      <c r="I183" s="122" t="n"/>
      <c r="J183" s="240" t="n"/>
      <c r="K183" s="240" t="n"/>
      <c r="L183" s="241" t="n"/>
      <c r="M183" s="138" t="n"/>
      <c r="N183" s="241" t="n"/>
      <c r="O183" s="122" t="n"/>
      <c r="P183" s="240" t="n"/>
      <c r="Q183" s="240" t="n"/>
      <c r="R183" s="240" t="n"/>
      <c r="S183" s="240" t="n"/>
      <c r="T183" s="241" t="n"/>
      <c r="U183" s="146" t="n"/>
      <c r="V183" s="227" t="n"/>
      <c r="W183" s="159" t="n"/>
      <c r="X183" s="159" t="n"/>
      <c r="Y183" s="185" t="inlineStr">
        <is>
          <t>DAVID WILDNER</t>
        </is>
      </c>
      <c r="Z183" s="230" t="n"/>
      <c r="AA183" s="231" t="n"/>
      <c r="AB183" s="232">
        <f>IFERROR(VLOOKUP(F183,'DATA BASE'!A:I,3,FALSE),"")</f>
        <v/>
      </c>
      <c r="AC183" s="230" t="n"/>
      <c r="AD183" s="231" t="n"/>
      <c r="AE183" s="233">
        <f>IFERROR(VLOOKUP(F183,'DATA BASE'!A:I,9,FALSE),"")</f>
        <v/>
      </c>
      <c r="AF183" s="231" t="n"/>
      <c r="AG183" s="232">
        <f>IFERROR(VLOOKUP(F183,'DATA BASE'!A:I,6,FALSE),"")</f>
        <v/>
      </c>
      <c r="AH183" s="230" t="n"/>
      <c r="AI183" s="231" t="n"/>
      <c r="AJ183" s="234">
        <f>IFERROR(VLOOKUP(F183,'DATA BASE'!A:I,8,FALSE),"")</f>
        <v/>
      </c>
      <c r="AK183" s="235" t="n"/>
    </row>
    <row r="184" ht="15.5" customHeight="1" s="7">
      <c r="A184" s="242" t="n"/>
      <c r="B184" s="242" t="n"/>
      <c r="C184" s="242" t="n"/>
      <c r="D184" s="242" t="n"/>
      <c r="E184" s="242" t="n"/>
      <c r="F184" s="148" t="n"/>
      <c r="G184" s="228" t="n"/>
      <c r="H184" s="236" t="n"/>
      <c r="I184" s="122" t="n"/>
      <c r="J184" s="240" t="n"/>
      <c r="K184" s="240" t="n"/>
      <c r="L184" s="241" t="n"/>
      <c r="M184" s="122" t="n"/>
      <c r="N184" s="241" t="n"/>
      <c r="O184" s="122" t="n"/>
      <c r="P184" s="240" t="n"/>
      <c r="Q184" s="240" t="n"/>
      <c r="R184" s="240" t="n"/>
      <c r="S184" s="240" t="n"/>
      <c r="T184" s="241" t="n"/>
      <c r="U184" s="243" t="n"/>
      <c r="V184" s="229" t="n"/>
      <c r="W184" s="242" t="n"/>
      <c r="X184" s="242" t="n"/>
      <c r="Y184" s="185">
        <f>VLOOKUP(F183,'DATA BASE'!A:I,2,FALSE)</f>
        <v/>
      </c>
      <c r="Z184" s="230" t="n"/>
      <c r="AA184" s="231" t="n"/>
      <c r="AB184" s="232">
        <f>IFERROR(VLOOKUP(F183,'DATA BASE'!A:I,4,FALSE),"")</f>
        <v/>
      </c>
      <c r="AC184" s="230" t="n"/>
      <c r="AD184" s="231" t="n"/>
      <c r="AE184" s="232">
        <f>IFERROR(VLOOKUP(F183,'DATA BASE'!A:I,5,FALSE),"")</f>
        <v/>
      </c>
      <c r="AF184" s="231" t="n"/>
      <c r="AG184" s="232">
        <f>IFERROR(VLOOKUP(F183,'DATA BASE'!A:I,7,FALSE),"")</f>
        <v/>
      </c>
      <c r="AH184" s="230" t="n"/>
      <c r="AI184" s="231" t="n"/>
      <c r="AJ184" s="238" t="n"/>
      <c r="AK184" s="239" t="n"/>
    </row>
    <row r="185" ht="15.5" customHeight="1" s="7">
      <c r="A185" s="157" t="n">
        <v>89</v>
      </c>
      <c r="B185" s="158" t="n"/>
      <c r="C185" s="159" t="n"/>
      <c r="D185" s="159" t="n"/>
      <c r="E185" s="159" t="n"/>
      <c r="F185" s="148" t="n"/>
      <c r="G185" s="228" t="n"/>
      <c r="H185" s="236" t="n"/>
      <c r="I185" s="122" t="n"/>
      <c r="J185" s="240" t="n"/>
      <c r="K185" s="240" t="n"/>
      <c r="L185" s="241" t="n"/>
      <c r="M185" s="138" t="n"/>
      <c r="N185" s="241" t="n"/>
      <c r="O185" s="122" t="n"/>
      <c r="P185" s="240" t="n"/>
      <c r="Q185" s="240" t="n"/>
      <c r="R185" s="240" t="n"/>
      <c r="S185" s="240" t="n"/>
      <c r="T185" s="241" t="n"/>
      <c r="U185" s="146" t="n"/>
      <c r="V185" s="227" t="n"/>
      <c r="W185" s="159" t="n"/>
      <c r="X185" s="159" t="n"/>
      <c r="Y185" s="185" t="inlineStr">
        <is>
          <t>DAVID WILDNER</t>
        </is>
      </c>
      <c r="Z185" s="230" t="n"/>
      <c r="AA185" s="231" t="n"/>
      <c r="AB185" s="232">
        <f>IFERROR(VLOOKUP(F185,'DATA BASE'!A:I,3,FALSE),"")</f>
        <v/>
      </c>
      <c r="AC185" s="230" t="n"/>
      <c r="AD185" s="231" t="n"/>
      <c r="AE185" s="233">
        <f>IFERROR(VLOOKUP(F185,'DATA BASE'!A:I,9,FALSE),"")</f>
        <v/>
      </c>
      <c r="AF185" s="231" t="n"/>
      <c r="AG185" s="232">
        <f>IFERROR(VLOOKUP(F185,'DATA BASE'!A:I,6,FALSE),"")</f>
        <v/>
      </c>
      <c r="AH185" s="230" t="n"/>
      <c r="AI185" s="231" t="n"/>
      <c r="AJ185" s="234">
        <f>IFERROR(VLOOKUP(F185,'DATA BASE'!A:I,8,FALSE),"")</f>
        <v/>
      </c>
      <c r="AK185" s="235" t="n"/>
    </row>
    <row r="186" ht="15.5" customHeight="1" s="7">
      <c r="A186" s="242" t="n"/>
      <c r="B186" s="242" t="n"/>
      <c r="C186" s="242" t="n"/>
      <c r="D186" s="242" t="n"/>
      <c r="E186" s="242" t="n"/>
      <c r="F186" s="148" t="n"/>
      <c r="G186" s="228" t="n"/>
      <c r="H186" s="236" t="n"/>
      <c r="I186" s="122" t="n"/>
      <c r="J186" s="240" t="n"/>
      <c r="K186" s="240" t="n"/>
      <c r="L186" s="241" t="n"/>
      <c r="M186" s="122" t="n"/>
      <c r="N186" s="241" t="n"/>
      <c r="O186" s="122" t="n"/>
      <c r="P186" s="240" t="n"/>
      <c r="Q186" s="240" t="n"/>
      <c r="R186" s="240" t="n"/>
      <c r="S186" s="240" t="n"/>
      <c r="T186" s="241" t="n"/>
      <c r="U186" s="243" t="n"/>
      <c r="V186" s="229" t="n"/>
      <c r="W186" s="242" t="n"/>
      <c r="X186" s="242" t="n"/>
      <c r="Y186" s="185">
        <f>VLOOKUP(F185,'DATA BASE'!A:I,2,FALSE)</f>
        <v/>
      </c>
      <c r="Z186" s="230" t="n"/>
      <c r="AA186" s="231" t="n"/>
      <c r="AB186" s="232">
        <f>IFERROR(VLOOKUP(F185,'DATA BASE'!A:I,4,FALSE),"")</f>
        <v/>
      </c>
      <c r="AC186" s="230" t="n"/>
      <c r="AD186" s="231" t="n"/>
      <c r="AE186" s="232">
        <f>IFERROR(VLOOKUP(F185,'DATA BASE'!A:I,5,FALSE),"")</f>
        <v/>
      </c>
      <c r="AF186" s="231" t="n"/>
      <c r="AG186" s="232">
        <f>IFERROR(VLOOKUP(F185,'DATA BASE'!A:I,7,FALSE),"")</f>
        <v/>
      </c>
      <c r="AH186" s="230" t="n"/>
      <c r="AI186" s="231" t="n"/>
      <c r="AJ186" s="238" t="n"/>
      <c r="AK186" s="239" t="n"/>
    </row>
    <row r="187" ht="15.5" customHeight="1" s="7">
      <c r="A187" s="157" t="n">
        <v>90</v>
      </c>
      <c r="B187" s="158" t="n"/>
      <c r="C187" s="159" t="n"/>
      <c r="D187" s="159" t="n"/>
      <c r="E187" s="159" t="n"/>
      <c r="F187" s="148" t="n"/>
      <c r="G187" s="228" t="n"/>
      <c r="H187" s="236" t="n"/>
      <c r="I187" s="122" t="n"/>
      <c r="J187" s="240" t="n"/>
      <c r="K187" s="240" t="n"/>
      <c r="L187" s="241" t="n"/>
      <c r="M187" s="138" t="n"/>
      <c r="N187" s="241" t="n"/>
      <c r="O187" s="122" t="n"/>
      <c r="P187" s="240" t="n"/>
      <c r="Q187" s="240" t="n"/>
      <c r="R187" s="240" t="n"/>
      <c r="S187" s="240" t="n"/>
      <c r="T187" s="241" t="n"/>
      <c r="U187" s="146" t="n"/>
      <c r="V187" s="227" t="n"/>
      <c r="W187" s="159" t="n"/>
      <c r="X187" s="159" t="n"/>
      <c r="Y187" s="185" t="inlineStr">
        <is>
          <t>DAVID WILDNER</t>
        </is>
      </c>
      <c r="Z187" s="230" t="n"/>
      <c r="AA187" s="231" t="n"/>
      <c r="AB187" s="232">
        <f>IFERROR(VLOOKUP(F187,'DATA BASE'!A:I,3,FALSE),"")</f>
        <v/>
      </c>
      <c r="AC187" s="230" t="n"/>
      <c r="AD187" s="231" t="n"/>
      <c r="AE187" s="233">
        <f>IFERROR(VLOOKUP(F187,'DATA BASE'!A:I,9,FALSE),"")</f>
        <v/>
      </c>
      <c r="AF187" s="231" t="n"/>
      <c r="AG187" s="232">
        <f>IFERROR(VLOOKUP(F187,'DATA BASE'!A:I,6,FALSE),"")</f>
        <v/>
      </c>
      <c r="AH187" s="230" t="n"/>
      <c r="AI187" s="231" t="n"/>
      <c r="AJ187" s="234">
        <f>IFERROR(VLOOKUP(F187,'DATA BASE'!A:I,8,FALSE),"")</f>
        <v/>
      </c>
      <c r="AK187" s="235" t="n"/>
    </row>
    <row r="188" ht="15.5" customHeight="1" s="7">
      <c r="A188" s="242" t="n"/>
      <c r="B188" s="242" t="n"/>
      <c r="C188" s="242" t="n"/>
      <c r="D188" s="242" t="n"/>
      <c r="E188" s="242" t="n"/>
      <c r="F188" s="148" t="n"/>
      <c r="G188" s="228" t="n"/>
      <c r="H188" s="236" t="n"/>
      <c r="I188" s="122" t="n"/>
      <c r="J188" s="240" t="n"/>
      <c r="K188" s="240" t="n"/>
      <c r="L188" s="241" t="n"/>
      <c r="M188" s="122" t="n"/>
      <c r="N188" s="241" t="n"/>
      <c r="O188" s="122" t="n"/>
      <c r="P188" s="240" t="n"/>
      <c r="Q188" s="240" t="n"/>
      <c r="R188" s="240" t="n"/>
      <c r="S188" s="240" t="n"/>
      <c r="T188" s="241" t="n"/>
      <c r="U188" s="243" t="n"/>
      <c r="V188" s="229" t="n"/>
      <c r="W188" s="242" t="n"/>
      <c r="X188" s="242" t="n"/>
      <c r="Y188" s="185">
        <f>VLOOKUP(F187,'DATA BASE'!A:I,2,FALSE)</f>
        <v/>
      </c>
      <c r="Z188" s="230" t="n"/>
      <c r="AA188" s="231" t="n"/>
      <c r="AB188" s="232">
        <f>IFERROR(VLOOKUP(F187,'DATA BASE'!A:I,4,FALSE),"")</f>
        <v/>
      </c>
      <c r="AC188" s="230" t="n"/>
      <c r="AD188" s="231" t="n"/>
      <c r="AE188" s="232">
        <f>IFERROR(VLOOKUP(F187,'DATA BASE'!A:I,5,FALSE),"")</f>
        <v/>
      </c>
      <c r="AF188" s="231" t="n"/>
      <c r="AG188" s="232">
        <f>IFERROR(VLOOKUP(F187,'DATA BASE'!A:I,7,FALSE),"")</f>
        <v/>
      </c>
      <c r="AH188" s="230" t="n"/>
      <c r="AI188" s="231" t="n"/>
      <c r="AJ188" s="238" t="n"/>
      <c r="AK188" s="239" t="n"/>
    </row>
    <row r="189" ht="15.5" customHeight="1" s="7">
      <c r="A189" s="157" t="n">
        <v>91</v>
      </c>
      <c r="B189" s="158" t="n"/>
      <c r="C189" s="159" t="n"/>
      <c r="D189" s="159" t="n"/>
      <c r="E189" s="159" t="n"/>
      <c r="F189" s="148" t="n"/>
      <c r="G189" s="228" t="n"/>
      <c r="H189" s="236" t="n"/>
      <c r="I189" s="122" t="n"/>
      <c r="J189" s="240" t="n"/>
      <c r="K189" s="240" t="n"/>
      <c r="L189" s="241" t="n"/>
      <c r="M189" s="138" t="n"/>
      <c r="N189" s="241" t="n"/>
      <c r="O189" s="122" t="n"/>
      <c r="P189" s="240" t="n"/>
      <c r="Q189" s="240" t="n"/>
      <c r="R189" s="240" t="n"/>
      <c r="S189" s="240" t="n"/>
      <c r="T189" s="241" t="n"/>
      <c r="U189" s="146" t="n"/>
      <c r="V189" s="227" t="n"/>
      <c r="W189" s="159" t="n"/>
      <c r="X189" s="159" t="n"/>
      <c r="Y189" s="185" t="inlineStr">
        <is>
          <t>DAVID WILDNER</t>
        </is>
      </c>
      <c r="Z189" s="230" t="n"/>
      <c r="AA189" s="231" t="n"/>
      <c r="AB189" s="232">
        <f>IFERROR(VLOOKUP(F189,'DATA BASE'!A:I,3,FALSE),"")</f>
        <v/>
      </c>
      <c r="AC189" s="230" t="n"/>
      <c r="AD189" s="231" t="n"/>
      <c r="AE189" s="233">
        <f>IFERROR(VLOOKUP(F189,'DATA BASE'!A:I,9,FALSE),"")</f>
        <v/>
      </c>
      <c r="AF189" s="231" t="n"/>
      <c r="AG189" s="232">
        <f>IFERROR(VLOOKUP(F189,'DATA BASE'!A:I,6,FALSE),"")</f>
        <v/>
      </c>
      <c r="AH189" s="230" t="n"/>
      <c r="AI189" s="231" t="n"/>
      <c r="AJ189" s="234">
        <f>IFERROR(VLOOKUP(F189,'DATA BASE'!A:I,8,FALSE),"")</f>
        <v/>
      </c>
      <c r="AK189" s="235" t="n"/>
    </row>
    <row r="190" ht="15.5" customHeight="1" s="7">
      <c r="A190" s="242" t="n"/>
      <c r="B190" s="242" t="n"/>
      <c r="C190" s="242" t="n"/>
      <c r="D190" s="242" t="n"/>
      <c r="E190" s="242" t="n"/>
      <c r="F190" s="148" t="n"/>
      <c r="G190" s="228" t="n"/>
      <c r="H190" s="236" t="n"/>
      <c r="I190" s="122" t="n"/>
      <c r="J190" s="240" t="n"/>
      <c r="K190" s="240" t="n"/>
      <c r="L190" s="241" t="n"/>
      <c r="M190" s="122" t="n"/>
      <c r="N190" s="241" t="n"/>
      <c r="O190" s="122" t="n"/>
      <c r="P190" s="240" t="n"/>
      <c r="Q190" s="240" t="n"/>
      <c r="R190" s="240" t="n"/>
      <c r="S190" s="240" t="n"/>
      <c r="T190" s="241" t="n"/>
      <c r="U190" s="243" t="n"/>
      <c r="V190" s="229" t="n"/>
      <c r="W190" s="242" t="n"/>
      <c r="X190" s="242" t="n"/>
      <c r="Y190" s="185">
        <f>VLOOKUP(F189,'DATA BASE'!A:I,2,FALSE)</f>
        <v/>
      </c>
      <c r="Z190" s="230" t="n"/>
      <c r="AA190" s="231" t="n"/>
      <c r="AB190" s="232">
        <f>IFERROR(VLOOKUP(F189,'DATA BASE'!A:I,4,FALSE),"")</f>
        <v/>
      </c>
      <c r="AC190" s="230" t="n"/>
      <c r="AD190" s="231" t="n"/>
      <c r="AE190" s="232">
        <f>IFERROR(VLOOKUP(F189,'DATA BASE'!A:I,5,FALSE),"")</f>
        <v/>
      </c>
      <c r="AF190" s="231" t="n"/>
      <c r="AG190" s="232">
        <f>IFERROR(VLOOKUP(F189,'DATA BASE'!A:I,7,FALSE),"")</f>
        <v/>
      </c>
      <c r="AH190" s="230" t="n"/>
      <c r="AI190" s="231" t="n"/>
      <c r="AJ190" s="238" t="n"/>
      <c r="AK190" s="239" t="n"/>
    </row>
    <row r="191" ht="15.5" customHeight="1" s="7">
      <c r="A191" s="157" t="n">
        <v>92</v>
      </c>
      <c r="B191" s="158" t="n"/>
      <c r="C191" s="159" t="n"/>
      <c r="D191" s="159" t="n"/>
      <c r="E191" s="159" t="n"/>
      <c r="F191" s="148" t="n"/>
      <c r="G191" s="228" t="n"/>
      <c r="H191" s="236" t="n"/>
      <c r="I191" s="122" t="n"/>
      <c r="J191" s="240" t="n"/>
      <c r="K191" s="240" t="n"/>
      <c r="L191" s="241" t="n"/>
      <c r="M191" s="138" t="n"/>
      <c r="N191" s="241" t="n"/>
      <c r="O191" s="122" t="n"/>
      <c r="P191" s="240" t="n"/>
      <c r="Q191" s="240" t="n"/>
      <c r="R191" s="240" t="n"/>
      <c r="S191" s="240" t="n"/>
      <c r="T191" s="241" t="n"/>
      <c r="U191" s="146" t="n"/>
      <c r="V191" s="227" t="n"/>
      <c r="W191" s="159" t="n"/>
      <c r="X191" s="159" t="n"/>
      <c r="Y191" s="185" t="inlineStr">
        <is>
          <t>DAVID WILDNER</t>
        </is>
      </c>
      <c r="Z191" s="230" t="n"/>
      <c r="AA191" s="231" t="n"/>
      <c r="AB191" s="232">
        <f>IFERROR(VLOOKUP(F191,'DATA BASE'!A:I,3,FALSE),"")</f>
        <v/>
      </c>
      <c r="AC191" s="230" t="n"/>
      <c r="AD191" s="231" t="n"/>
      <c r="AE191" s="233">
        <f>IFERROR(VLOOKUP(F191,'DATA BASE'!A:I,9,FALSE),"")</f>
        <v/>
      </c>
      <c r="AF191" s="231" t="n"/>
      <c r="AG191" s="232">
        <f>IFERROR(VLOOKUP(F191,'DATA BASE'!A:I,6,FALSE),"")</f>
        <v/>
      </c>
      <c r="AH191" s="230" t="n"/>
      <c r="AI191" s="231" t="n"/>
      <c r="AJ191" s="234">
        <f>IFERROR(VLOOKUP(F191,'DATA BASE'!A:I,8,FALSE),"")</f>
        <v/>
      </c>
      <c r="AK191" s="235" t="n"/>
    </row>
    <row r="192" ht="15.5" customHeight="1" s="7">
      <c r="A192" s="242" t="n"/>
      <c r="B192" s="242" t="n"/>
      <c r="C192" s="242" t="n"/>
      <c r="D192" s="242" t="n"/>
      <c r="E192" s="242" t="n"/>
      <c r="F192" s="148" t="n"/>
      <c r="G192" s="228" t="n"/>
      <c r="H192" s="236" t="n"/>
      <c r="I192" s="122" t="n"/>
      <c r="J192" s="240" t="n"/>
      <c r="K192" s="240" t="n"/>
      <c r="L192" s="241" t="n"/>
      <c r="M192" s="122" t="n"/>
      <c r="N192" s="241" t="n"/>
      <c r="O192" s="122" t="n"/>
      <c r="P192" s="240" t="n"/>
      <c r="Q192" s="240" t="n"/>
      <c r="R192" s="240" t="n"/>
      <c r="S192" s="240" t="n"/>
      <c r="T192" s="241" t="n"/>
      <c r="U192" s="243" t="n"/>
      <c r="V192" s="229" t="n"/>
      <c r="W192" s="242" t="n"/>
      <c r="X192" s="242" t="n"/>
      <c r="Y192" s="185">
        <f>VLOOKUP(F191,'DATA BASE'!A:I,2,FALSE)</f>
        <v/>
      </c>
      <c r="Z192" s="230" t="n"/>
      <c r="AA192" s="231" t="n"/>
      <c r="AB192" s="232">
        <f>IFERROR(VLOOKUP(F191,'DATA BASE'!A:I,4,FALSE),"")</f>
        <v/>
      </c>
      <c r="AC192" s="230" t="n"/>
      <c r="AD192" s="231" t="n"/>
      <c r="AE192" s="232">
        <f>IFERROR(VLOOKUP(F191,'DATA BASE'!A:I,5,FALSE),"")</f>
        <v/>
      </c>
      <c r="AF192" s="231" t="n"/>
      <c r="AG192" s="232">
        <f>IFERROR(VLOOKUP(F191,'DATA BASE'!A:I,7,FALSE),"")</f>
        <v/>
      </c>
      <c r="AH192" s="230" t="n"/>
      <c r="AI192" s="231" t="n"/>
      <c r="AJ192" s="238" t="n"/>
      <c r="AK192" s="239" t="n"/>
    </row>
    <row r="193" ht="15.5" customHeight="1" s="7">
      <c r="A193" s="157" t="n">
        <v>93</v>
      </c>
      <c r="B193" s="158" t="n"/>
      <c r="C193" s="159" t="n"/>
      <c r="D193" s="159" t="n"/>
      <c r="E193" s="159" t="n"/>
      <c r="F193" s="148" t="n"/>
      <c r="G193" s="228" t="n"/>
      <c r="H193" s="236" t="n"/>
      <c r="I193" s="122" t="n"/>
      <c r="J193" s="240" t="n"/>
      <c r="K193" s="240" t="n"/>
      <c r="L193" s="241" t="n"/>
      <c r="M193" s="138" t="n"/>
      <c r="N193" s="241" t="n"/>
      <c r="O193" s="122" t="n"/>
      <c r="P193" s="240" t="n"/>
      <c r="Q193" s="240" t="n"/>
      <c r="R193" s="240" t="n"/>
      <c r="S193" s="240" t="n"/>
      <c r="T193" s="241" t="n"/>
      <c r="U193" s="146" t="n"/>
      <c r="V193" s="227" t="n"/>
      <c r="W193" s="159" t="n"/>
      <c r="X193" s="159" t="n"/>
      <c r="Y193" s="185" t="inlineStr">
        <is>
          <t>DAVID WILDNER</t>
        </is>
      </c>
      <c r="Z193" s="230" t="n"/>
      <c r="AA193" s="231" t="n"/>
      <c r="AB193" s="232">
        <f>IFERROR(VLOOKUP(F193,'DATA BASE'!A:I,3,FALSE),"")</f>
        <v/>
      </c>
      <c r="AC193" s="230" t="n"/>
      <c r="AD193" s="231" t="n"/>
      <c r="AE193" s="233">
        <f>IFERROR(VLOOKUP(F193,'DATA BASE'!A:I,9,FALSE),"")</f>
        <v/>
      </c>
      <c r="AF193" s="231" t="n"/>
      <c r="AG193" s="232">
        <f>IFERROR(VLOOKUP(F193,'DATA BASE'!A:I,6,FALSE),"")</f>
        <v/>
      </c>
      <c r="AH193" s="230" t="n"/>
      <c r="AI193" s="231" t="n"/>
      <c r="AJ193" s="234">
        <f>IFERROR(VLOOKUP(F193,'DATA BASE'!A:I,8,FALSE),"")</f>
        <v/>
      </c>
      <c r="AK193" s="235" t="n"/>
    </row>
    <row r="194" ht="15.5" customHeight="1" s="7">
      <c r="A194" s="242" t="n"/>
      <c r="B194" s="242" t="n"/>
      <c r="C194" s="242" t="n"/>
      <c r="D194" s="242" t="n"/>
      <c r="E194" s="242" t="n"/>
      <c r="F194" s="148" t="n"/>
      <c r="G194" s="228" t="n"/>
      <c r="H194" s="236" t="n"/>
      <c r="I194" s="122" t="n"/>
      <c r="J194" s="240" t="n"/>
      <c r="K194" s="240" t="n"/>
      <c r="L194" s="241" t="n"/>
      <c r="M194" s="122" t="n"/>
      <c r="N194" s="241" t="n"/>
      <c r="O194" s="122" t="n"/>
      <c r="P194" s="240" t="n"/>
      <c r="Q194" s="240" t="n"/>
      <c r="R194" s="240" t="n"/>
      <c r="S194" s="240" t="n"/>
      <c r="T194" s="241" t="n"/>
      <c r="U194" s="243" t="n"/>
      <c r="V194" s="229" t="n"/>
      <c r="W194" s="242" t="n"/>
      <c r="X194" s="242" t="n"/>
      <c r="Y194" s="185">
        <f>VLOOKUP(F193,'DATA BASE'!A:I,2,FALSE)</f>
        <v/>
      </c>
      <c r="Z194" s="230" t="n"/>
      <c r="AA194" s="231" t="n"/>
      <c r="AB194" s="232">
        <f>IFERROR(VLOOKUP(F193,'DATA BASE'!A:I,4,FALSE),"")</f>
        <v/>
      </c>
      <c r="AC194" s="230" t="n"/>
      <c r="AD194" s="231" t="n"/>
      <c r="AE194" s="232">
        <f>IFERROR(VLOOKUP(F193,'DATA BASE'!A:I,5,FALSE),"")</f>
        <v/>
      </c>
      <c r="AF194" s="231" t="n"/>
      <c r="AG194" s="232">
        <f>IFERROR(VLOOKUP(F193,'DATA BASE'!A:I,7,FALSE),"")</f>
        <v/>
      </c>
      <c r="AH194" s="230" t="n"/>
      <c r="AI194" s="231" t="n"/>
      <c r="AJ194" s="238" t="n"/>
      <c r="AK194" s="239" t="n"/>
    </row>
    <row r="195" ht="15.5" customHeight="1" s="7">
      <c r="A195" s="157" t="n">
        <v>94</v>
      </c>
      <c r="B195" s="158" t="n"/>
      <c r="C195" s="159" t="n"/>
      <c r="D195" s="159" t="n"/>
      <c r="E195" s="159" t="n"/>
      <c r="F195" s="148" t="n"/>
      <c r="G195" s="228" t="n"/>
      <c r="H195" s="236" t="n"/>
      <c r="I195" s="122" t="n"/>
      <c r="J195" s="240" t="n"/>
      <c r="K195" s="240" t="n"/>
      <c r="L195" s="241" t="n"/>
      <c r="M195" s="138" t="n"/>
      <c r="N195" s="241" t="n"/>
      <c r="O195" s="122" t="n"/>
      <c r="P195" s="240" t="n"/>
      <c r="Q195" s="240" t="n"/>
      <c r="R195" s="240" t="n"/>
      <c r="S195" s="240" t="n"/>
      <c r="T195" s="241" t="n"/>
      <c r="U195" s="146" t="n"/>
      <c r="V195" s="227" t="n"/>
      <c r="W195" s="159" t="n"/>
      <c r="X195" s="159" t="n"/>
      <c r="Y195" s="185" t="inlineStr">
        <is>
          <t>DAVID WILDNER</t>
        </is>
      </c>
      <c r="Z195" s="230" t="n"/>
      <c r="AA195" s="231" t="n"/>
      <c r="AB195" s="232">
        <f>IFERROR(VLOOKUP(F195,'DATA BASE'!A:I,3,FALSE),"")</f>
        <v/>
      </c>
      <c r="AC195" s="230" t="n"/>
      <c r="AD195" s="231" t="n"/>
      <c r="AE195" s="233">
        <f>IFERROR(VLOOKUP(F195,'DATA BASE'!A:I,9,FALSE),"")</f>
        <v/>
      </c>
      <c r="AF195" s="231" t="n"/>
      <c r="AG195" s="232">
        <f>IFERROR(VLOOKUP(F195,'DATA BASE'!A:I,6,FALSE),"")</f>
        <v/>
      </c>
      <c r="AH195" s="230" t="n"/>
      <c r="AI195" s="231" t="n"/>
      <c r="AJ195" s="234">
        <f>IFERROR(VLOOKUP(F195,'DATA BASE'!A:I,8,FALSE),"")</f>
        <v/>
      </c>
      <c r="AK195" s="235" t="n"/>
    </row>
    <row r="196" ht="15.5" customHeight="1" s="7">
      <c r="A196" s="242" t="n"/>
      <c r="B196" s="242" t="n"/>
      <c r="C196" s="242" t="n"/>
      <c r="D196" s="242" t="n"/>
      <c r="E196" s="242" t="n"/>
      <c r="F196" s="148" t="n"/>
      <c r="G196" s="228" t="n"/>
      <c r="H196" s="236" t="n"/>
      <c r="I196" s="122" t="n"/>
      <c r="J196" s="240" t="n"/>
      <c r="K196" s="240" t="n"/>
      <c r="L196" s="241" t="n"/>
      <c r="M196" s="122" t="n"/>
      <c r="N196" s="241" t="n"/>
      <c r="O196" s="122" t="n"/>
      <c r="P196" s="240" t="n"/>
      <c r="Q196" s="240" t="n"/>
      <c r="R196" s="240" t="n"/>
      <c r="S196" s="240" t="n"/>
      <c r="T196" s="241" t="n"/>
      <c r="U196" s="243" t="n"/>
      <c r="V196" s="229" t="n"/>
      <c r="W196" s="242" t="n"/>
      <c r="X196" s="242" t="n"/>
      <c r="Y196" s="185">
        <f>VLOOKUP(F195,'DATA BASE'!A:I,2,FALSE)</f>
        <v/>
      </c>
      <c r="Z196" s="230" t="n"/>
      <c r="AA196" s="231" t="n"/>
      <c r="AB196" s="232">
        <f>IFERROR(VLOOKUP(F195,'DATA BASE'!A:I,4,FALSE),"")</f>
        <v/>
      </c>
      <c r="AC196" s="230" t="n"/>
      <c r="AD196" s="231" t="n"/>
      <c r="AE196" s="232">
        <f>IFERROR(VLOOKUP(F195,'DATA BASE'!A:I,5,FALSE),"")</f>
        <v/>
      </c>
      <c r="AF196" s="231" t="n"/>
      <c r="AG196" s="232">
        <f>IFERROR(VLOOKUP(F195,'DATA BASE'!A:I,7,FALSE),"")</f>
        <v/>
      </c>
      <c r="AH196" s="230" t="n"/>
      <c r="AI196" s="231" t="n"/>
      <c r="AJ196" s="238" t="n"/>
      <c r="AK196" s="239" t="n"/>
    </row>
    <row r="197" ht="15.5" customHeight="1" s="7">
      <c r="A197" s="157" t="n">
        <v>95</v>
      </c>
      <c r="B197" s="158" t="n"/>
      <c r="C197" s="159" t="n"/>
      <c r="D197" s="159" t="n"/>
      <c r="E197" s="159" t="n"/>
      <c r="F197" s="148" t="n"/>
      <c r="G197" s="228" t="n"/>
      <c r="H197" s="236" t="n"/>
      <c r="I197" s="122" t="n"/>
      <c r="J197" s="240" t="n"/>
      <c r="K197" s="240" t="n"/>
      <c r="L197" s="241" t="n"/>
      <c r="M197" s="138" t="n"/>
      <c r="N197" s="241" t="n"/>
      <c r="O197" s="122" t="n"/>
      <c r="P197" s="240" t="n"/>
      <c r="Q197" s="240" t="n"/>
      <c r="R197" s="240" t="n"/>
      <c r="S197" s="240" t="n"/>
      <c r="T197" s="241" t="n"/>
      <c r="U197" s="146" t="n"/>
      <c r="V197" s="227" t="n"/>
      <c r="W197" s="159" t="n"/>
      <c r="X197" s="159" t="n"/>
      <c r="Y197" s="185" t="inlineStr">
        <is>
          <t>DAVID WILDNER</t>
        </is>
      </c>
      <c r="Z197" s="230" t="n"/>
      <c r="AA197" s="231" t="n"/>
      <c r="AB197" s="232">
        <f>IFERROR(VLOOKUP(F197,'DATA BASE'!A:I,3,FALSE),"")</f>
        <v/>
      </c>
      <c r="AC197" s="230" t="n"/>
      <c r="AD197" s="231" t="n"/>
      <c r="AE197" s="233">
        <f>IFERROR(VLOOKUP(F197,'DATA BASE'!A:I,9,FALSE),"")</f>
        <v/>
      </c>
      <c r="AF197" s="231" t="n"/>
      <c r="AG197" s="232">
        <f>IFERROR(VLOOKUP(F197,'DATA BASE'!A:I,6,FALSE),"")</f>
        <v/>
      </c>
      <c r="AH197" s="230" t="n"/>
      <c r="AI197" s="231" t="n"/>
      <c r="AJ197" s="234">
        <f>IFERROR(VLOOKUP(F197,'DATA BASE'!A:I,8,FALSE),"")</f>
        <v/>
      </c>
      <c r="AK197" s="235" t="n"/>
    </row>
    <row r="198" ht="15.5" customHeight="1" s="7">
      <c r="A198" s="242" t="n"/>
      <c r="B198" s="242" t="n"/>
      <c r="C198" s="242" t="n"/>
      <c r="D198" s="242" t="n"/>
      <c r="E198" s="242" t="n"/>
      <c r="F198" s="148" t="n"/>
      <c r="G198" s="228" t="n"/>
      <c r="H198" s="236" t="n"/>
      <c r="I198" s="122" t="n"/>
      <c r="J198" s="240" t="n"/>
      <c r="K198" s="240" t="n"/>
      <c r="L198" s="241" t="n"/>
      <c r="M198" s="122" t="n"/>
      <c r="N198" s="241" t="n"/>
      <c r="O198" s="122" t="n"/>
      <c r="P198" s="240" t="n"/>
      <c r="Q198" s="240" t="n"/>
      <c r="R198" s="240" t="n"/>
      <c r="S198" s="240" t="n"/>
      <c r="T198" s="241" t="n"/>
      <c r="U198" s="243" t="n"/>
      <c r="V198" s="229" t="n"/>
      <c r="W198" s="242" t="n"/>
      <c r="X198" s="242" t="n"/>
      <c r="Y198" s="185">
        <f>VLOOKUP(F197,'DATA BASE'!A:I,2,FALSE)</f>
        <v/>
      </c>
      <c r="Z198" s="230" t="n"/>
      <c r="AA198" s="231" t="n"/>
      <c r="AB198" s="232">
        <f>IFERROR(VLOOKUP(F197,'DATA BASE'!A:I,4,FALSE),"")</f>
        <v/>
      </c>
      <c r="AC198" s="230" t="n"/>
      <c r="AD198" s="231" t="n"/>
      <c r="AE198" s="232">
        <f>IFERROR(VLOOKUP(F197,'DATA BASE'!A:I,5,FALSE),"")</f>
        <v/>
      </c>
      <c r="AF198" s="231" t="n"/>
      <c r="AG198" s="232">
        <f>IFERROR(VLOOKUP(F197,'DATA BASE'!A:I,7,FALSE),"")</f>
        <v/>
      </c>
      <c r="AH198" s="230" t="n"/>
      <c r="AI198" s="231" t="n"/>
      <c r="AJ198" s="238" t="n"/>
      <c r="AK198" s="239" t="n"/>
    </row>
    <row r="199" ht="15.5" customHeight="1" s="7">
      <c r="A199" s="157" t="n">
        <v>96</v>
      </c>
      <c r="B199" s="158" t="n"/>
      <c r="C199" s="159" t="n"/>
      <c r="D199" s="159" t="n"/>
      <c r="E199" s="159" t="n"/>
      <c r="F199" s="148" t="n"/>
      <c r="G199" s="228" t="n"/>
      <c r="H199" s="236" t="n"/>
      <c r="I199" s="122" t="n"/>
      <c r="J199" s="240" t="n"/>
      <c r="K199" s="240" t="n"/>
      <c r="L199" s="241" t="n"/>
      <c r="M199" s="138" t="n"/>
      <c r="N199" s="241" t="n"/>
      <c r="O199" s="122" t="n"/>
      <c r="P199" s="240" t="n"/>
      <c r="Q199" s="240" t="n"/>
      <c r="R199" s="240" t="n"/>
      <c r="S199" s="240" t="n"/>
      <c r="T199" s="241" t="n"/>
      <c r="U199" s="146" t="n"/>
      <c r="V199" s="227" t="n"/>
      <c r="W199" s="159" t="n"/>
      <c r="X199" s="159" t="n"/>
      <c r="Y199" s="185" t="inlineStr">
        <is>
          <t>DAVID WILDNER</t>
        </is>
      </c>
      <c r="Z199" s="230" t="n"/>
      <c r="AA199" s="231" t="n"/>
      <c r="AB199" s="232">
        <f>IFERROR(VLOOKUP(F199,'DATA BASE'!A:I,3,FALSE),"")</f>
        <v/>
      </c>
      <c r="AC199" s="230" t="n"/>
      <c r="AD199" s="231" t="n"/>
      <c r="AE199" s="233">
        <f>IFERROR(VLOOKUP(F199,'DATA BASE'!A:I,9,FALSE),"")</f>
        <v/>
      </c>
      <c r="AF199" s="231" t="n"/>
      <c r="AG199" s="232">
        <f>IFERROR(VLOOKUP(F199,'DATA BASE'!A:I,6,FALSE),"")</f>
        <v/>
      </c>
      <c r="AH199" s="230" t="n"/>
      <c r="AI199" s="231" t="n"/>
      <c r="AJ199" s="234">
        <f>IFERROR(VLOOKUP(F199,'DATA BASE'!A:I,8,FALSE),"")</f>
        <v/>
      </c>
      <c r="AK199" s="235" t="n"/>
    </row>
    <row r="200" ht="15.5" customHeight="1" s="7">
      <c r="A200" s="242" t="n"/>
      <c r="B200" s="242" t="n"/>
      <c r="C200" s="242" t="n"/>
      <c r="D200" s="242" t="n"/>
      <c r="E200" s="242" t="n"/>
      <c r="F200" s="148" t="n"/>
      <c r="G200" s="228" t="n"/>
      <c r="H200" s="236" t="n"/>
      <c r="I200" s="122" t="n"/>
      <c r="J200" s="240" t="n"/>
      <c r="K200" s="240" t="n"/>
      <c r="L200" s="241" t="n"/>
      <c r="M200" s="122" t="n"/>
      <c r="N200" s="241" t="n"/>
      <c r="O200" s="122" t="n"/>
      <c r="P200" s="240" t="n"/>
      <c r="Q200" s="240" t="n"/>
      <c r="R200" s="240" t="n"/>
      <c r="S200" s="240" t="n"/>
      <c r="T200" s="241" t="n"/>
      <c r="U200" s="243" t="n"/>
      <c r="V200" s="229" t="n"/>
      <c r="W200" s="242" t="n"/>
      <c r="X200" s="242" t="n"/>
      <c r="Y200" s="185">
        <f>VLOOKUP(F199,'DATA BASE'!A:I,2,FALSE)</f>
        <v/>
      </c>
      <c r="Z200" s="230" t="n"/>
      <c r="AA200" s="231" t="n"/>
      <c r="AB200" s="232">
        <f>IFERROR(VLOOKUP(F199,'DATA BASE'!A:I,4,FALSE),"")</f>
        <v/>
      </c>
      <c r="AC200" s="230" t="n"/>
      <c r="AD200" s="231" t="n"/>
      <c r="AE200" s="232">
        <f>IFERROR(VLOOKUP(F199,'DATA BASE'!A:I,5,FALSE),"")</f>
        <v/>
      </c>
      <c r="AF200" s="231" t="n"/>
      <c r="AG200" s="232">
        <f>IFERROR(VLOOKUP(F199,'DATA BASE'!A:I,7,FALSE),"")</f>
        <v/>
      </c>
      <c r="AH200" s="230" t="n"/>
      <c r="AI200" s="231" t="n"/>
      <c r="AJ200" s="238" t="n"/>
      <c r="AK200" s="239" t="n"/>
    </row>
    <row r="201" ht="15.5" customHeight="1" s="7">
      <c r="A201" s="157" t="n">
        <v>97</v>
      </c>
      <c r="B201" s="158" t="n"/>
      <c r="C201" s="159" t="n"/>
      <c r="D201" s="159" t="n"/>
      <c r="E201" s="159" t="n"/>
      <c r="F201" s="148" t="n"/>
      <c r="G201" s="228" t="n"/>
      <c r="H201" s="236" t="n"/>
      <c r="I201" s="122" t="n"/>
      <c r="J201" s="240" t="n"/>
      <c r="K201" s="240" t="n"/>
      <c r="L201" s="241" t="n"/>
      <c r="M201" s="138" t="n"/>
      <c r="N201" s="241" t="n"/>
      <c r="O201" s="122" t="n"/>
      <c r="P201" s="240" t="n"/>
      <c r="Q201" s="240" t="n"/>
      <c r="R201" s="240" t="n"/>
      <c r="S201" s="240" t="n"/>
      <c r="T201" s="241" t="n"/>
      <c r="U201" s="146" t="n"/>
      <c r="V201" s="227" t="n"/>
      <c r="W201" s="159" t="n"/>
      <c r="X201" s="159" t="n"/>
      <c r="Y201" s="185" t="inlineStr">
        <is>
          <t>DAVID WILDNER</t>
        </is>
      </c>
      <c r="Z201" s="230" t="n"/>
      <c r="AA201" s="231" t="n"/>
      <c r="AB201" s="232">
        <f>IFERROR(VLOOKUP(F201,'DATA BASE'!A:I,3,FALSE),"")</f>
        <v/>
      </c>
      <c r="AC201" s="230" t="n"/>
      <c r="AD201" s="231" t="n"/>
      <c r="AE201" s="233">
        <f>IFERROR(VLOOKUP(F201,'DATA BASE'!A:I,9,FALSE),"")</f>
        <v/>
      </c>
      <c r="AF201" s="231" t="n"/>
      <c r="AG201" s="232">
        <f>IFERROR(VLOOKUP(F201,'DATA BASE'!A:I,6,FALSE),"")</f>
        <v/>
      </c>
      <c r="AH201" s="230" t="n"/>
      <c r="AI201" s="231" t="n"/>
      <c r="AJ201" s="234">
        <f>IFERROR(VLOOKUP(F201,'DATA BASE'!A:I,8,FALSE),"")</f>
        <v/>
      </c>
      <c r="AK201" s="235" t="n"/>
    </row>
    <row r="202" ht="15.5" customHeight="1" s="7">
      <c r="A202" s="242" t="n"/>
      <c r="B202" s="242" t="n"/>
      <c r="C202" s="242" t="n"/>
      <c r="D202" s="242" t="n"/>
      <c r="E202" s="242" t="n"/>
      <c r="F202" s="148" t="n"/>
      <c r="G202" s="228" t="n"/>
      <c r="H202" s="236" t="n"/>
      <c r="I202" s="122" t="n"/>
      <c r="J202" s="240" t="n"/>
      <c r="K202" s="240" t="n"/>
      <c r="L202" s="241" t="n"/>
      <c r="M202" s="122" t="n"/>
      <c r="N202" s="241" t="n"/>
      <c r="O202" s="122" t="n"/>
      <c r="P202" s="240" t="n"/>
      <c r="Q202" s="240" t="n"/>
      <c r="R202" s="240" t="n"/>
      <c r="S202" s="240" t="n"/>
      <c r="T202" s="241" t="n"/>
      <c r="U202" s="243" t="n"/>
      <c r="V202" s="229" t="n"/>
      <c r="W202" s="242" t="n"/>
      <c r="X202" s="242" t="n"/>
      <c r="Y202" s="185">
        <f>VLOOKUP(F201,'DATA BASE'!A:I,2,FALSE)</f>
        <v/>
      </c>
      <c r="Z202" s="230" t="n"/>
      <c r="AA202" s="231" t="n"/>
      <c r="AB202" s="232">
        <f>IFERROR(VLOOKUP(F201,'DATA BASE'!A:I,4,FALSE),"")</f>
        <v/>
      </c>
      <c r="AC202" s="230" t="n"/>
      <c r="AD202" s="231" t="n"/>
      <c r="AE202" s="232">
        <f>IFERROR(VLOOKUP(F201,'DATA BASE'!A:I,5,FALSE),"")</f>
        <v/>
      </c>
      <c r="AF202" s="231" t="n"/>
      <c r="AG202" s="232">
        <f>IFERROR(VLOOKUP(F201,'DATA BASE'!A:I,7,FALSE),"")</f>
        <v/>
      </c>
      <c r="AH202" s="230" t="n"/>
      <c r="AI202" s="231" t="n"/>
      <c r="AJ202" s="238" t="n"/>
      <c r="AK202" s="239" t="n"/>
    </row>
    <row r="203" ht="15.65" customHeight="1" s="7">
      <c r="A203" s="157" t="n">
        <v>98</v>
      </c>
      <c r="B203" s="158" t="n"/>
      <c r="C203" s="159" t="n"/>
      <c r="D203" s="159" t="n"/>
      <c r="E203" s="159" t="n"/>
      <c r="F203" s="148" t="n"/>
      <c r="G203" s="228" t="n"/>
      <c r="H203" s="236" t="n"/>
      <c r="I203" s="122" t="n"/>
      <c r="J203" s="240" t="n"/>
      <c r="K203" s="240" t="n"/>
      <c r="L203" s="241" t="n"/>
      <c r="M203" s="138" t="n"/>
      <c r="N203" s="241" t="n"/>
      <c r="O203" s="122" t="n"/>
      <c r="P203" s="240" t="n"/>
      <c r="Q203" s="240" t="n"/>
      <c r="R203" s="240" t="n"/>
      <c r="S203" s="240" t="n"/>
      <c r="T203" s="241" t="n"/>
      <c r="U203" s="146" t="n"/>
      <c r="V203" s="227" t="n"/>
      <c r="W203" s="159" t="n"/>
      <c r="X203" s="159" t="n"/>
      <c r="Y203" s="185" t="inlineStr">
        <is>
          <t>DAVID WILDNER</t>
        </is>
      </c>
      <c r="Z203" s="230" t="n"/>
      <c r="AA203" s="231" t="n"/>
      <c r="AB203" s="232">
        <f>IFERROR(VLOOKUP(F203,'DATA BASE'!A:I,3,FALSE),"")</f>
        <v/>
      </c>
      <c r="AC203" s="230" t="n"/>
      <c r="AD203" s="231" t="n"/>
      <c r="AE203" s="233">
        <f>IFERROR(VLOOKUP(F203,'DATA BASE'!A:I,9,FALSE),"")</f>
        <v/>
      </c>
      <c r="AF203" s="231" t="n"/>
      <c r="AG203" s="232">
        <f>IFERROR(VLOOKUP(F203,'DATA BASE'!A:I,6,FALSE),"")</f>
        <v/>
      </c>
      <c r="AH203" s="230" t="n"/>
      <c r="AI203" s="231" t="n"/>
      <c r="AJ203" s="234">
        <f>IFERROR(VLOOKUP(F203,'DATA BASE'!A:I,8,FALSE),"")</f>
        <v/>
      </c>
      <c r="AK203" s="235" t="n"/>
    </row>
    <row r="204" ht="15.65" customHeight="1" s="7">
      <c r="A204" s="242" t="n"/>
      <c r="B204" s="242" t="n"/>
      <c r="C204" s="242" t="n"/>
      <c r="D204" s="242" t="n"/>
      <c r="E204" s="242" t="n"/>
      <c r="F204" s="148" t="n"/>
      <c r="G204" s="228" t="n"/>
      <c r="H204" s="236" t="n"/>
      <c r="I204" s="122" t="n"/>
      <c r="J204" s="240" t="n"/>
      <c r="K204" s="240" t="n"/>
      <c r="L204" s="241" t="n"/>
      <c r="M204" s="122" t="n"/>
      <c r="N204" s="241" t="n"/>
      <c r="O204" s="122" t="n"/>
      <c r="P204" s="240" t="n"/>
      <c r="Q204" s="240" t="n"/>
      <c r="R204" s="240" t="n"/>
      <c r="S204" s="240" t="n"/>
      <c r="T204" s="241" t="n"/>
      <c r="U204" s="243" t="n"/>
      <c r="V204" s="229" t="n"/>
      <c r="W204" s="242" t="n"/>
      <c r="X204" s="242" t="n"/>
      <c r="Y204" s="185">
        <f>VLOOKUP(F203,'DATA BASE'!A:I,2,FALSE)</f>
        <v/>
      </c>
      <c r="Z204" s="230" t="n"/>
      <c r="AA204" s="231" t="n"/>
      <c r="AB204" s="232">
        <f>IFERROR(VLOOKUP(F203,'DATA BASE'!A:I,4,FALSE),"")</f>
        <v/>
      </c>
      <c r="AC204" s="230" t="n"/>
      <c r="AD204" s="231" t="n"/>
      <c r="AE204" s="232">
        <f>IFERROR(VLOOKUP(F203,'DATA BASE'!A:I,5,FALSE),"")</f>
        <v/>
      </c>
      <c r="AF204" s="231" t="n"/>
      <c r="AG204" s="232">
        <f>IFERROR(VLOOKUP(F203,'DATA BASE'!A:I,7,FALSE),"")</f>
        <v/>
      </c>
      <c r="AH204" s="230" t="n"/>
      <c r="AI204" s="231" t="n"/>
      <c r="AJ204" s="238" t="n"/>
      <c r="AK204" s="239" t="n"/>
    </row>
    <row r="205" ht="15.5" customHeight="1" s="7">
      <c r="A205" s="157" t="n">
        <v>99</v>
      </c>
      <c r="B205" s="158" t="n"/>
      <c r="C205" s="159" t="n"/>
      <c r="D205" s="159" t="n"/>
      <c r="E205" s="159" t="n"/>
      <c r="F205" s="148" t="n"/>
      <c r="G205" s="228" t="n"/>
      <c r="H205" s="236" t="n"/>
      <c r="I205" s="122" t="n"/>
      <c r="J205" s="240" t="n"/>
      <c r="K205" s="240" t="n"/>
      <c r="L205" s="241" t="n"/>
      <c r="M205" s="138" t="n"/>
      <c r="N205" s="241" t="n"/>
      <c r="O205" s="122" t="n"/>
      <c r="P205" s="240" t="n"/>
      <c r="Q205" s="240" t="n"/>
      <c r="R205" s="240" t="n"/>
      <c r="S205" s="240" t="n"/>
      <c r="T205" s="241" t="n"/>
      <c r="U205" s="146" t="n"/>
      <c r="V205" s="227" t="n"/>
      <c r="W205" s="159" t="n"/>
      <c r="X205" s="159" t="n"/>
      <c r="Y205" s="185" t="inlineStr">
        <is>
          <t>DAVID WILDNER</t>
        </is>
      </c>
      <c r="Z205" s="230" t="n"/>
      <c r="AA205" s="231" t="n"/>
      <c r="AB205" s="232">
        <f>IFERROR(VLOOKUP(F205,'DATA BASE'!A:I,3,FALSE),"")</f>
        <v/>
      </c>
      <c r="AC205" s="230" t="n"/>
      <c r="AD205" s="231" t="n"/>
      <c r="AE205" s="233">
        <f>IFERROR(VLOOKUP(F205,'DATA BASE'!A:I,9,FALSE),"")</f>
        <v/>
      </c>
      <c r="AF205" s="231" t="n"/>
      <c r="AG205" s="232">
        <f>IFERROR(VLOOKUP(F205,'DATA BASE'!A:I,6,FALSE),"")</f>
        <v/>
      </c>
      <c r="AH205" s="230" t="n"/>
      <c r="AI205" s="231" t="n"/>
      <c r="AJ205" s="234">
        <f>IFERROR(VLOOKUP(F205,'DATA BASE'!A:I,8,FALSE),"")</f>
        <v/>
      </c>
      <c r="AK205" s="235" t="n"/>
    </row>
    <row r="206" ht="15.5" customHeight="1" s="7">
      <c r="A206" s="242" t="n"/>
      <c r="B206" s="242" t="n"/>
      <c r="C206" s="242" t="n"/>
      <c r="D206" s="242" t="n"/>
      <c r="E206" s="242" t="n"/>
      <c r="F206" s="148" t="n"/>
      <c r="G206" s="228" t="n"/>
      <c r="H206" s="236" t="n"/>
      <c r="I206" s="122" t="n"/>
      <c r="J206" s="240" t="n"/>
      <c r="K206" s="240" t="n"/>
      <c r="L206" s="241" t="n"/>
      <c r="M206" s="122" t="n"/>
      <c r="N206" s="241" t="n"/>
      <c r="O206" s="122" t="n"/>
      <c r="P206" s="240" t="n"/>
      <c r="Q206" s="240" t="n"/>
      <c r="R206" s="240" t="n"/>
      <c r="S206" s="240" t="n"/>
      <c r="T206" s="241" t="n"/>
      <c r="U206" s="243" t="n"/>
      <c r="V206" s="229" t="n"/>
      <c r="W206" s="242" t="n"/>
      <c r="X206" s="242" t="n"/>
      <c r="Y206" s="185">
        <f>VLOOKUP(F205,'DATA BASE'!A:I,2,FALSE)</f>
        <v/>
      </c>
      <c r="Z206" s="230" t="n"/>
      <c r="AA206" s="231" t="n"/>
      <c r="AB206" s="232">
        <f>IFERROR(VLOOKUP(F205,'DATA BASE'!A:I,4,FALSE),"")</f>
        <v/>
      </c>
      <c r="AC206" s="230" t="n"/>
      <c r="AD206" s="231" t="n"/>
      <c r="AE206" s="232">
        <f>IFERROR(VLOOKUP(F205,'DATA BASE'!A:I,5,FALSE),"")</f>
        <v/>
      </c>
      <c r="AF206" s="231" t="n"/>
      <c r="AG206" s="232">
        <f>IFERROR(VLOOKUP(F205,'DATA BASE'!A:I,7,FALSE),"")</f>
        <v/>
      </c>
      <c r="AH206" s="230" t="n"/>
      <c r="AI206" s="231" t="n"/>
      <c r="AJ206" s="238" t="n"/>
      <c r="AK206" s="239" t="n"/>
    </row>
    <row r="207" ht="15.5" customHeight="1" s="7">
      <c r="A207" s="157" t="n">
        <v>100</v>
      </c>
      <c r="B207" s="158" t="n"/>
      <c r="C207" s="159" t="n"/>
      <c r="D207" s="159" t="n"/>
      <c r="E207" s="159" t="n"/>
      <c r="F207" s="148" t="n"/>
      <c r="G207" s="228" t="n"/>
      <c r="H207" s="236" t="n"/>
      <c r="I207" s="122" t="n"/>
      <c r="J207" s="240" t="n"/>
      <c r="K207" s="240" t="n"/>
      <c r="L207" s="241" t="n"/>
      <c r="M207" s="138" t="n"/>
      <c r="N207" s="241" t="n"/>
      <c r="O207" s="122" t="n"/>
      <c r="P207" s="240" t="n"/>
      <c r="Q207" s="240" t="n"/>
      <c r="R207" s="240" t="n"/>
      <c r="S207" s="240" t="n"/>
      <c r="T207" s="241" t="n"/>
      <c r="U207" s="146" t="n"/>
      <c r="V207" s="227" t="n"/>
      <c r="W207" s="159" t="n"/>
      <c r="X207" s="159" t="n"/>
      <c r="Y207" s="185" t="inlineStr">
        <is>
          <t>DAVID WILDNER</t>
        </is>
      </c>
      <c r="Z207" s="230" t="n"/>
      <c r="AA207" s="231" t="n"/>
      <c r="AB207" s="232">
        <f>IFERROR(VLOOKUP(F207,'DATA BASE'!A:I,3,FALSE),"")</f>
        <v/>
      </c>
      <c r="AC207" s="230" t="n"/>
      <c r="AD207" s="231" t="n"/>
      <c r="AE207" s="233">
        <f>IFERROR(VLOOKUP(F207,'DATA BASE'!A:I,9,FALSE),"")</f>
        <v/>
      </c>
      <c r="AF207" s="231" t="n"/>
      <c r="AG207" s="232">
        <f>IFERROR(VLOOKUP(F207,'DATA BASE'!A:I,6,FALSE),"")</f>
        <v/>
      </c>
      <c r="AH207" s="230" t="n"/>
      <c r="AI207" s="231" t="n"/>
      <c r="AJ207" s="234">
        <f>IFERROR(VLOOKUP(F207,'DATA BASE'!A:I,8,FALSE),"")</f>
        <v/>
      </c>
      <c r="AK207" s="235" t="n"/>
    </row>
    <row r="208" ht="15.5" customHeight="1" s="7">
      <c r="A208" s="242" t="n"/>
      <c r="B208" s="242" t="n"/>
      <c r="C208" s="242" t="n"/>
      <c r="D208" s="242" t="n"/>
      <c r="E208" s="242" t="n"/>
      <c r="F208" s="148" t="n"/>
      <c r="G208" s="228" t="n"/>
      <c r="H208" s="236" t="n"/>
      <c r="I208" s="122" t="n"/>
      <c r="J208" s="240" t="n"/>
      <c r="K208" s="240" t="n"/>
      <c r="L208" s="241" t="n"/>
      <c r="M208" s="122" t="n"/>
      <c r="N208" s="241" t="n"/>
      <c r="O208" s="122" t="n"/>
      <c r="P208" s="240" t="n"/>
      <c r="Q208" s="240" t="n"/>
      <c r="R208" s="240" t="n"/>
      <c r="S208" s="240" t="n"/>
      <c r="T208" s="241" t="n"/>
      <c r="U208" s="243" t="n"/>
      <c r="V208" s="229" t="n"/>
      <c r="W208" s="242" t="n"/>
      <c r="X208" s="242" t="n"/>
      <c r="Y208" s="185">
        <f>VLOOKUP(F207,'DATA BASE'!A:I,2,FALSE)</f>
        <v/>
      </c>
      <c r="Z208" s="230" t="n"/>
      <c r="AA208" s="231" t="n"/>
      <c r="AB208" s="232">
        <f>IFERROR(VLOOKUP(F207,'DATA BASE'!A:I,4,FALSE),"")</f>
        <v/>
      </c>
      <c r="AC208" s="230" t="n"/>
      <c r="AD208" s="231" t="n"/>
      <c r="AE208" s="232">
        <f>IFERROR(VLOOKUP(F207,'DATA BASE'!A:I,5,FALSE),"")</f>
        <v/>
      </c>
      <c r="AF208" s="231" t="n"/>
      <c r="AG208" s="232">
        <f>IFERROR(VLOOKUP(F207,'DATA BASE'!A:I,7,FALSE),"")</f>
        <v/>
      </c>
      <c r="AH208" s="230" t="n"/>
      <c r="AI208" s="231" t="n"/>
      <c r="AJ208" s="238" t="n"/>
      <c r="AK208" s="239" t="n"/>
    </row>
    <row r="209" ht="15.5" customHeight="1" s="7">
      <c r="A209" s="157" t="n">
        <v>101</v>
      </c>
      <c r="B209" s="158" t="n"/>
      <c r="C209" s="159" t="n"/>
      <c r="D209" s="159" t="n"/>
      <c r="E209" s="159" t="n"/>
      <c r="F209" s="148" t="n"/>
      <c r="G209" s="228" t="n"/>
      <c r="H209" s="236" t="n"/>
      <c r="I209" s="122" t="n"/>
      <c r="J209" s="240" t="n"/>
      <c r="K209" s="240" t="n"/>
      <c r="L209" s="241" t="n"/>
      <c r="M209" s="138" t="n"/>
      <c r="N209" s="241" t="n"/>
      <c r="O209" s="122" t="n"/>
      <c r="P209" s="240" t="n"/>
      <c r="Q209" s="240" t="n"/>
      <c r="R209" s="240" t="n"/>
      <c r="S209" s="240" t="n"/>
      <c r="T209" s="241" t="n"/>
      <c r="U209" s="146" t="n"/>
      <c r="V209" s="227" t="n"/>
      <c r="W209" s="159" t="n"/>
      <c r="X209" s="159" t="n"/>
      <c r="Y209" s="185" t="inlineStr">
        <is>
          <t>DAVID WILDNER</t>
        </is>
      </c>
      <c r="Z209" s="230" t="n"/>
      <c r="AA209" s="231" t="n"/>
      <c r="AB209" s="232">
        <f>IFERROR(VLOOKUP(F209,'DATA BASE'!A:I,3,FALSE),"")</f>
        <v/>
      </c>
      <c r="AC209" s="230" t="n"/>
      <c r="AD209" s="231" t="n"/>
      <c r="AE209" s="233">
        <f>IFERROR(VLOOKUP(F209,'DATA BASE'!A:I,9,FALSE),"")</f>
        <v/>
      </c>
      <c r="AF209" s="231" t="n"/>
      <c r="AG209" s="232">
        <f>IFERROR(VLOOKUP(F209,'DATA BASE'!A:I,6,FALSE),"")</f>
        <v/>
      </c>
      <c r="AH209" s="230" t="n"/>
      <c r="AI209" s="231" t="n"/>
      <c r="AJ209" s="234">
        <f>IFERROR(VLOOKUP(F209,'DATA BASE'!A:I,8,FALSE),"")</f>
        <v/>
      </c>
      <c r="AK209" s="235" t="n"/>
    </row>
    <row r="210" ht="15.5" customHeight="1" s="7">
      <c r="A210" s="242" t="n"/>
      <c r="B210" s="242" t="n"/>
      <c r="C210" s="242" t="n"/>
      <c r="D210" s="242" t="n"/>
      <c r="E210" s="242" t="n"/>
      <c r="F210" s="148" t="n"/>
      <c r="G210" s="228" t="n"/>
      <c r="H210" s="236" t="n"/>
      <c r="I210" s="122" t="n"/>
      <c r="J210" s="240" t="n"/>
      <c r="K210" s="240" t="n"/>
      <c r="L210" s="241" t="n"/>
      <c r="M210" s="122" t="n"/>
      <c r="N210" s="241" t="n"/>
      <c r="O210" s="122" t="n"/>
      <c r="P210" s="240" t="n"/>
      <c r="Q210" s="240" t="n"/>
      <c r="R210" s="240" t="n"/>
      <c r="S210" s="240" t="n"/>
      <c r="T210" s="241" t="n"/>
      <c r="U210" s="243" t="n"/>
      <c r="V210" s="229" t="n"/>
      <c r="W210" s="242" t="n"/>
      <c r="X210" s="242" t="n"/>
      <c r="Y210" s="185">
        <f>VLOOKUP(F209,'DATA BASE'!A:I,2,FALSE)</f>
        <v/>
      </c>
      <c r="Z210" s="230" t="n"/>
      <c r="AA210" s="231" t="n"/>
      <c r="AB210" s="232">
        <f>IFERROR(VLOOKUP(F209,'DATA BASE'!A:I,4,FALSE),"")</f>
        <v/>
      </c>
      <c r="AC210" s="230" t="n"/>
      <c r="AD210" s="231" t="n"/>
      <c r="AE210" s="232">
        <f>IFERROR(VLOOKUP(F209,'DATA BASE'!A:I,5,FALSE),"")</f>
        <v/>
      </c>
      <c r="AF210" s="231" t="n"/>
      <c r="AG210" s="232">
        <f>IFERROR(VLOOKUP(F209,'DATA BASE'!A:I,7,FALSE),"")</f>
        <v/>
      </c>
      <c r="AH210" s="230" t="n"/>
      <c r="AI210" s="231" t="n"/>
      <c r="AJ210" s="238" t="n"/>
      <c r="AK210" s="239" t="n"/>
    </row>
    <row r="211" ht="15.5" customHeight="1" s="7">
      <c r="A211" s="157" t="n">
        <v>102</v>
      </c>
      <c r="B211" s="158" t="n"/>
      <c r="C211" s="159" t="n"/>
      <c r="D211" s="159" t="n"/>
      <c r="E211" s="159" t="n"/>
      <c r="F211" s="148" t="n"/>
      <c r="G211" s="228" t="n"/>
      <c r="H211" s="236" t="n"/>
      <c r="I211" s="122" t="n"/>
      <c r="J211" s="240" t="n"/>
      <c r="K211" s="240" t="n"/>
      <c r="L211" s="241" t="n"/>
      <c r="M211" s="138" t="n"/>
      <c r="N211" s="241" t="n"/>
      <c r="O211" s="122" t="n"/>
      <c r="P211" s="240" t="n"/>
      <c r="Q211" s="240" t="n"/>
      <c r="R211" s="240" t="n"/>
      <c r="S211" s="240" t="n"/>
      <c r="T211" s="241" t="n"/>
      <c r="U211" s="146" t="n"/>
      <c r="V211" s="227" t="n"/>
      <c r="W211" s="159" t="n"/>
      <c r="X211" s="159" t="n"/>
      <c r="Y211" s="185" t="inlineStr">
        <is>
          <t>DAVID WILDNER</t>
        </is>
      </c>
      <c r="Z211" s="230" t="n"/>
      <c r="AA211" s="231" t="n"/>
      <c r="AB211" s="232">
        <f>IFERROR(VLOOKUP(F211,'DATA BASE'!A:I,3,FALSE),"")</f>
        <v/>
      </c>
      <c r="AC211" s="230" t="n"/>
      <c r="AD211" s="231" t="n"/>
      <c r="AE211" s="233">
        <f>IFERROR(VLOOKUP(F211,'DATA BASE'!A:I,9,FALSE),"")</f>
        <v/>
      </c>
      <c r="AF211" s="231" t="n"/>
      <c r="AG211" s="232">
        <f>IFERROR(VLOOKUP(F211,'DATA BASE'!A:I,6,FALSE),"")</f>
        <v/>
      </c>
      <c r="AH211" s="230" t="n"/>
      <c r="AI211" s="231" t="n"/>
      <c r="AJ211" s="234">
        <f>IFERROR(VLOOKUP(F211,'DATA BASE'!A:I,8,FALSE),"")</f>
        <v/>
      </c>
      <c r="AK211" s="235" t="n"/>
    </row>
    <row r="212" ht="15.5" customHeight="1" s="7">
      <c r="A212" s="242" t="n"/>
      <c r="B212" s="242" t="n"/>
      <c r="C212" s="242" t="n"/>
      <c r="D212" s="242" t="n"/>
      <c r="E212" s="242" t="n"/>
      <c r="F212" s="148" t="n"/>
      <c r="G212" s="228" t="n"/>
      <c r="H212" s="236" t="n"/>
      <c r="I212" s="122" t="n"/>
      <c r="J212" s="240" t="n"/>
      <c r="K212" s="240" t="n"/>
      <c r="L212" s="241" t="n"/>
      <c r="M212" s="122" t="n"/>
      <c r="N212" s="241" t="n"/>
      <c r="O212" s="122" t="n"/>
      <c r="P212" s="240" t="n"/>
      <c r="Q212" s="240" t="n"/>
      <c r="R212" s="240" t="n"/>
      <c r="S212" s="240" t="n"/>
      <c r="T212" s="241" t="n"/>
      <c r="U212" s="243" t="n"/>
      <c r="V212" s="229" t="n"/>
      <c r="W212" s="242" t="n"/>
      <c r="X212" s="242" t="n"/>
      <c r="Y212" s="185">
        <f>VLOOKUP(F211,'DATA BASE'!A:I,2,FALSE)</f>
        <v/>
      </c>
      <c r="Z212" s="230" t="n"/>
      <c r="AA212" s="231" t="n"/>
      <c r="AB212" s="232">
        <f>IFERROR(VLOOKUP(F211,'DATA BASE'!A:I,4,FALSE),"")</f>
        <v/>
      </c>
      <c r="AC212" s="230" t="n"/>
      <c r="AD212" s="231" t="n"/>
      <c r="AE212" s="232">
        <f>IFERROR(VLOOKUP(F211,'DATA BASE'!A:I,5,FALSE),"")</f>
        <v/>
      </c>
      <c r="AF212" s="231" t="n"/>
      <c r="AG212" s="232">
        <f>IFERROR(VLOOKUP(F211,'DATA BASE'!A:I,7,FALSE),"")</f>
        <v/>
      </c>
      <c r="AH212" s="230" t="n"/>
      <c r="AI212" s="231" t="n"/>
      <c r="AJ212" s="238" t="n"/>
      <c r="AK212" s="239" t="n"/>
    </row>
    <row r="213" ht="15.5" customHeight="1" s="7">
      <c r="A213" s="157" t="n">
        <v>103</v>
      </c>
      <c r="B213" s="158" t="n"/>
      <c r="C213" s="159" t="n"/>
      <c r="D213" s="159" t="n"/>
      <c r="E213" s="159" t="n"/>
      <c r="F213" s="148" t="n"/>
      <c r="G213" s="228" t="n"/>
      <c r="H213" s="236" t="n"/>
      <c r="I213" s="122" t="n"/>
      <c r="J213" s="240" t="n"/>
      <c r="K213" s="240" t="n"/>
      <c r="L213" s="241" t="n"/>
      <c r="M213" s="138" t="n"/>
      <c r="N213" s="241" t="n"/>
      <c r="O213" s="122" t="n"/>
      <c r="P213" s="240" t="n"/>
      <c r="Q213" s="240" t="n"/>
      <c r="R213" s="240" t="n"/>
      <c r="S213" s="240" t="n"/>
      <c r="T213" s="241" t="n"/>
      <c r="U213" s="146" t="n"/>
      <c r="V213" s="227" t="n"/>
      <c r="W213" s="159" t="n"/>
      <c r="X213" s="159" t="n"/>
      <c r="Y213" s="185" t="inlineStr">
        <is>
          <t>DAVID WILDNER</t>
        </is>
      </c>
      <c r="Z213" s="230" t="n"/>
      <c r="AA213" s="231" t="n"/>
      <c r="AB213" s="232">
        <f>IFERROR(VLOOKUP(F213,'DATA BASE'!A:I,3,FALSE),"")</f>
        <v/>
      </c>
      <c r="AC213" s="230" t="n"/>
      <c r="AD213" s="231" t="n"/>
      <c r="AE213" s="233">
        <f>IFERROR(VLOOKUP(F213,'DATA BASE'!A:I,9,FALSE),"")</f>
        <v/>
      </c>
      <c r="AF213" s="231" t="n"/>
      <c r="AG213" s="232">
        <f>IFERROR(VLOOKUP(F213,'DATA BASE'!A:I,6,FALSE),"")</f>
        <v/>
      </c>
      <c r="AH213" s="230" t="n"/>
      <c r="AI213" s="231" t="n"/>
      <c r="AJ213" s="234">
        <f>IFERROR(VLOOKUP(F213,'DATA BASE'!A:I,8,FALSE),"")</f>
        <v/>
      </c>
      <c r="AK213" s="235" t="n"/>
    </row>
    <row r="214" ht="15.5" customHeight="1" s="7">
      <c r="A214" s="242" t="n"/>
      <c r="B214" s="242" t="n"/>
      <c r="C214" s="242" t="n"/>
      <c r="D214" s="242" t="n"/>
      <c r="E214" s="242" t="n"/>
      <c r="F214" s="148" t="n"/>
      <c r="G214" s="228" t="n"/>
      <c r="H214" s="236" t="n"/>
      <c r="I214" s="122" t="n"/>
      <c r="J214" s="240" t="n"/>
      <c r="K214" s="240" t="n"/>
      <c r="L214" s="241" t="n"/>
      <c r="M214" s="122" t="n"/>
      <c r="N214" s="241" t="n"/>
      <c r="O214" s="122" t="n"/>
      <c r="P214" s="240" t="n"/>
      <c r="Q214" s="240" t="n"/>
      <c r="R214" s="240" t="n"/>
      <c r="S214" s="240" t="n"/>
      <c r="T214" s="241" t="n"/>
      <c r="U214" s="243" t="n"/>
      <c r="V214" s="229" t="n"/>
      <c r="W214" s="242" t="n"/>
      <c r="X214" s="242" t="n"/>
      <c r="Y214" s="185">
        <f>VLOOKUP(F213,'DATA BASE'!A:I,2,FALSE)</f>
        <v/>
      </c>
      <c r="Z214" s="230" t="n"/>
      <c r="AA214" s="231" t="n"/>
      <c r="AB214" s="232">
        <f>IFERROR(VLOOKUP(F213,'DATA BASE'!A:I,4,FALSE),"")</f>
        <v/>
      </c>
      <c r="AC214" s="230" t="n"/>
      <c r="AD214" s="231" t="n"/>
      <c r="AE214" s="232">
        <f>IFERROR(VLOOKUP(F213,'DATA BASE'!A:I,5,FALSE),"")</f>
        <v/>
      </c>
      <c r="AF214" s="231" t="n"/>
      <c r="AG214" s="232">
        <f>IFERROR(VLOOKUP(F213,'DATA BASE'!A:I,7,FALSE),"")</f>
        <v/>
      </c>
      <c r="AH214" s="230" t="n"/>
      <c r="AI214" s="231" t="n"/>
      <c r="AJ214" s="238" t="n"/>
      <c r="AK214" s="239" t="n"/>
    </row>
    <row r="215" ht="15.5" customHeight="1" s="7">
      <c r="A215" s="157" t="n">
        <v>104</v>
      </c>
      <c r="B215" s="158" t="n"/>
      <c r="C215" s="159" t="n"/>
      <c r="D215" s="159" t="n"/>
      <c r="E215" s="159" t="n"/>
      <c r="F215" s="148" t="n"/>
      <c r="G215" s="228" t="n"/>
      <c r="H215" s="236" t="n"/>
      <c r="I215" s="122" t="n"/>
      <c r="J215" s="240" t="n"/>
      <c r="K215" s="240" t="n"/>
      <c r="L215" s="241" t="n"/>
      <c r="M215" s="138" t="n"/>
      <c r="N215" s="241" t="n"/>
      <c r="O215" s="122" t="n"/>
      <c r="P215" s="240" t="n"/>
      <c r="Q215" s="240" t="n"/>
      <c r="R215" s="240" t="n"/>
      <c r="S215" s="240" t="n"/>
      <c r="T215" s="241" t="n"/>
      <c r="U215" s="146" t="n"/>
      <c r="V215" s="227" t="n"/>
      <c r="W215" s="159" t="n"/>
      <c r="X215" s="159" t="n"/>
      <c r="Y215" s="185" t="inlineStr">
        <is>
          <t>DAVID WILDNER</t>
        </is>
      </c>
      <c r="Z215" s="230" t="n"/>
      <c r="AA215" s="231" t="n"/>
      <c r="AB215" s="232">
        <f>IFERROR(VLOOKUP(F215,'DATA BASE'!A:I,3,FALSE),"")</f>
        <v/>
      </c>
      <c r="AC215" s="230" t="n"/>
      <c r="AD215" s="231" t="n"/>
      <c r="AE215" s="233">
        <f>IFERROR(VLOOKUP(F215,'DATA BASE'!A:I,9,FALSE),"")</f>
        <v/>
      </c>
      <c r="AF215" s="231" t="n"/>
      <c r="AG215" s="232">
        <f>IFERROR(VLOOKUP(F215,'DATA BASE'!A:I,6,FALSE),"")</f>
        <v/>
      </c>
      <c r="AH215" s="230" t="n"/>
      <c r="AI215" s="231" t="n"/>
      <c r="AJ215" s="234">
        <f>IFERROR(VLOOKUP(F215,'DATA BASE'!A:I,8,FALSE),"")</f>
        <v/>
      </c>
      <c r="AK215" s="235" t="n"/>
    </row>
    <row r="216" ht="15.5" customHeight="1" s="7">
      <c r="A216" s="242" t="n"/>
      <c r="B216" s="242" t="n"/>
      <c r="C216" s="242" t="n"/>
      <c r="D216" s="242" t="n"/>
      <c r="E216" s="242" t="n"/>
      <c r="F216" s="148" t="n"/>
      <c r="G216" s="228" t="n"/>
      <c r="H216" s="236" t="n"/>
      <c r="I216" s="122" t="n"/>
      <c r="J216" s="240" t="n"/>
      <c r="K216" s="240" t="n"/>
      <c r="L216" s="241" t="n"/>
      <c r="M216" s="122" t="n"/>
      <c r="N216" s="241" t="n"/>
      <c r="O216" s="122" t="n"/>
      <c r="P216" s="240" t="n"/>
      <c r="Q216" s="240" t="n"/>
      <c r="R216" s="240" t="n"/>
      <c r="S216" s="240" t="n"/>
      <c r="T216" s="241" t="n"/>
      <c r="U216" s="243" t="n"/>
      <c r="V216" s="229" t="n"/>
      <c r="W216" s="242" t="n"/>
      <c r="X216" s="242" t="n"/>
      <c r="Y216" s="185">
        <f>VLOOKUP(F215,'DATA BASE'!A:I,2,FALSE)</f>
        <v/>
      </c>
      <c r="Z216" s="230" t="n"/>
      <c r="AA216" s="231" t="n"/>
      <c r="AB216" s="232">
        <f>IFERROR(VLOOKUP(F215,'DATA BASE'!A:I,4,FALSE),"")</f>
        <v/>
      </c>
      <c r="AC216" s="230" t="n"/>
      <c r="AD216" s="231" t="n"/>
      <c r="AE216" s="232">
        <f>IFERROR(VLOOKUP(F215,'DATA BASE'!A:I,5,FALSE),"")</f>
        <v/>
      </c>
      <c r="AF216" s="231" t="n"/>
      <c r="AG216" s="232">
        <f>IFERROR(VLOOKUP(F215,'DATA BASE'!A:I,7,FALSE),"")</f>
        <v/>
      </c>
      <c r="AH216" s="230" t="n"/>
      <c r="AI216" s="231" t="n"/>
      <c r="AJ216" s="238" t="n"/>
      <c r="AK216" s="239" t="n"/>
    </row>
    <row r="217" ht="15.5" customHeight="1" s="7">
      <c r="A217" s="157" t="n">
        <v>105</v>
      </c>
      <c r="B217" s="158" t="n"/>
      <c r="C217" s="159" t="n"/>
      <c r="D217" s="159" t="n"/>
      <c r="E217" s="159" t="n"/>
      <c r="F217" s="148" t="n"/>
      <c r="G217" s="228" t="n"/>
      <c r="H217" s="236" t="n"/>
      <c r="I217" s="122" t="n"/>
      <c r="J217" s="240" t="n"/>
      <c r="K217" s="240" t="n"/>
      <c r="L217" s="241" t="n"/>
      <c r="M217" s="138" t="n"/>
      <c r="N217" s="241" t="n"/>
      <c r="O217" s="122" t="n"/>
      <c r="P217" s="240" t="n"/>
      <c r="Q217" s="240" t="n"/>
      <c r="R217" s="240" t="n"/>
      <c r="S217" s="240" t="n"/>
      <c r="T217" s="241" t="n"/>
      <c r="U217" s="146" t="n"/>
      <c r="V217" s="227" t="n"/>
      <c r="W217" s="159" t="n"/>
      <c r="X217" s="159" t="n"/>
      <c r="Y217" s="185" t="inlineStr">
        <is>
          <t>DAVID WILDNER</t>
        </is>
      </c>
      <c r="Z217" s="230" t="n"/>
      <c r="AA217" s="231" t="n"/>
      <c r="AB217" s="232">
        <f>IFERROR(VLOOKUP(F217,'DATA BASE'!A:I,3,FALSE),"")</f>
        <v/>
      </c>
      <c r="AC217" s="230" t="n"/>
      <c r="AD217" s="231" t="n"/>
      <c r="AE217" s="233">
        <f>IFERROR(VLOOKUP(F217,'DATA BASE'!A:I,9,FALSE),"")</f>
        <v/>
      </c>
      <c r="AF217" s="231" t="n"/>
      <c r="AG217" s="232">
        <f>IFERROR(VLOOKUP(F217,'DATA BASE'!A:I,6,FALSE),"")</f>
        <v/>
      </c>
      <c r="AH217" s="230" t="n"/>
      <c r="AI217" s="231" t="n"/>
      <c r="AJ217" s="234">
        <f>IFERROR(VLOOKUP(F217,'DATA BASE'!A:I,8,FALSE),"")</f>
        <v/>
      </c>
      <c r="AK217" s="235" t="n"/>
    </row>
    <row r="218" ht="15.5" customHeight="1" s="7">
      <c r="A218" s="242" t="n"/>
      <c r="B218" s="242" t="n"/>
      <c r="C218" s="242" t="n"/>
      <c r="D218" s="242" t="n"/>
      <c r="E218" s="242" t="n"/>
      <c r="F218" s="148" t="n"/>
      <c r="G218" s="228" t="n"/>
      <c r="H218" s="236" t="n"/>
      <c r="I218" s="122" t="n"/>
      <c r="J218" s="240" t="n"/>
      <c r="K218" s="240" t="n"/>
      <c r="L218" s="241" t="n"/>
      <c r="M218" s="122" t="n"/>
      <c r="N218" s="241" t="n"/>
      <c r="O218" s="122" t="n"/>
      <c r="P218" s="240" t="n"/>
      <c r="Q218" s="240" t="n"/>
      <c r="R218" s="240" t="n"/>
      <c r="S218" s="240" t="n"/>
      <c r="T218" s="241" t="n"/>
      <c r="U218" s="243" t="n"/>
      <c r="V218" s="229" t="n"/>
      <c r="W218" s="242" t="n"/>
      <c r="X218" s="242" t="n"/>
      <c r="Y218" s="185">
        <f>VLOOKUP(F217,'DATA BASE'!A:I,2,FALSE)</f>
        <v/>
      </c>
      <c r="Z218" s="230" t="n"/>
      <c r="AA218" s="231" t="n"/>
      <c r="AB218" s="232">
        <f>IFERROR(VLOOKUP(F217,'DATA BASE'!A:I,4,FALSE),"")</f>
        <v/>
      </c>
      <c r="AC218" s="230" t="n"/>
      <c r="AD218" s="231" t="n"/>
      <c r="AE218" s="232">
        <f>IFERROR(VLOOKUP(F217,'DATA BASE'!A:I,5,FALSE),"")</f>
        <v/>
      </c>
      <c r="AF218" s="231" t="n"/>
      <c r="AG218" s="232">
        <f>IFERROR(VLOOKUP(F217,'DATA BASE'!A:I,7,FALSE),"")</f>
        <v/>
      </c>
      <c r="AH218" s="230" t="n"/>
      <c r="AI218" s="231" t="n"/>
      <c r="AJ218" s="238" t="n"/>
      <c r="AK218" s="239" t="n"/>
    </row>
    <row r="219" ht="15.5" customHeight="1" s="7">
      <c r="A219" s="157" t="n">
        <v>106</v>
      </c>
      <c r="B219" s="158" t="n"/>
      <c r="C219" s="159" t="n"/>
      <c r="D219" s="159" t="n"/>
      <c r="E219" s="159" t="n"/>
      <c r="F219" s="148" t="n"/>
      <c r="G219" s="228" t="n"/>
      <c r="H219" s="236" t="n"/>
      <c r="I219" s="122" t="n"/>
      <c r="J219" s="240" t="n"/>
      <c r="K219" s="240" t="n"/>
      <c r="L219" s="241" t="n"/>
      <c r="M219" s="138" t="n"/>
      <c r="N219" s="241" t="n"/>
      <c r="O219" s="122" t="n"/>
      <c r="P219" s="240" t="n"/>
      <c r="Q219" s="240" t="n"/>
      <c r="R219" s="240" t="n"/>
      <c r="S219" s="240" t="n"/>
      <c r="T219" s="241" t="n"/>
      <c r="U219" s="146" t="n"/>
      <c r="V219" s="227" t="n"/>
      <c r="W219" s="159" t="n"/>
      <c r="X219" s="159" t="n"/>
      <c r="Y219" s="185" t="inlineStr">
        <is>
          <t>DAVID WILDNER</t>
        </is>
      </c>
      <c r="Z219" s="230" t="n"/>
      <c r="AA219" s="231" t="n"/>
      <c r="AB219" s="232">
        <f>IFERROR(VLOOKUP(F219,'DATA BASE'!A:I,3,FALSE),"")</f>
        <v/>
      </c>
      <c r="AC219" s="230" t="n"/>
      <c r="AD219" s="231" t="n"/>
      <c r="AE219" s="233">
        <f>IFERROR(VLOOKUP(F219,'DATA BASE'!A:I,9,FALSE),"")</f>
        <v/>
      </c>
      <c r="AF219" s="231" t="n"/>
      <c r="AG219" s="232">
        <f>IFERROR(VLOOKUP(F219,'DATA BASE'!A:I,6,FALSE),"")</f>
        <v/>
      </c>
      <c r="AH219" s="230" t="n"/>
      <c r="AI219" s="231" t="n"/>
      <c r="AJ219" s="234">
        <f>IFERROR(VLOOKUP(F219,'DATA BASE'!A:I,8,FALSE),"")</f>
        <v/>
      </c>
      <c r="AK219" s="235" t="n"/>
    </row>
    <row r="220" ht="15.5" customHeight="1" s="7">
      <c r="A220" s="242" t="n"/>
      <c r="B220" s="242" t="n"/>
      <c r="C220" s="242" t="n"/>
      <c r="D220" s="242" t="n"/>
      <c r="E220" s="242" t="n"/>
      <c r="F220" s="148" t="n"/>
      <c r="G220" s="228" t="n"/>
      <c r="H220" s="236" t="n"/>
      <c r="I220" s="122" t="n"/>
      <c r="J220" s="240" t="n"/>
      <c r="K220" s="240" t="n"/>
      <c r="L220" s="241" t="n"/>
      <c r="M220" s="122" t="n"/>
      <c r="N220" s="241" t="n"/>
      <c r="O220" s="122" t="n"/>
      <c r="P220" s="240" t="n"/>
      <c r="Q220" s="240" t="n"/>
      <c r="R220" s="240" t="n"/>
      <c r="S220" s="240" t="n"/>
      <c r="T220" s="241" t="n"/>
      <c r="U220" s="243" t="n"/>
      <c r="V220" s="229" t="n"/>
      <c r="W220" s="242" t="n"/>
      <c r="X220" s="242" t="n"/>
      <c r="Y220" s="185">
        <f>VLOOKUP(F219,'DATA BASE'!A:I,2,FALSE)</f>
        <v/>
      </c>
      <c r="Z220" s="230" t="n"/>
      <c r="AA220" s="231" t="n"/>
      <c r="AB220" s="232">
        <f>IFERROR(VLOOKUP(F219,'DATA BASE'!A:I,4,FALSE),"")</f>
        <v/>
      </c>
      <c r="AC220" s="230" t="n"/>
      <c r="AD220" s="231" t="n"/>
      <c r="AE220" s="232">
        <f>IFERROR(VLOOKUP(F219,'DATA BASE'!A:I,5,FALSE),"")</f>
        <v/>
      </c>
      <c r="AF220" s="231" t="n"/>
      <c r="AG220" s="232">
        <f>IFERROR(VLOOKUP(F219,'DATA BASE'!A:I,7,FALSE),"")</f>
        <v/>
      </c>
      <c r="AH220" s="230" t="n"/>
      <c r="AI220" s="231" t="n"/>
      <c r="AJ220" s="238" t="n"/>
      <c r="AK220" s="239" t="n"/>
    </row>
    <row r="221" ht="15.5" customHeight="1" s="7">
      <c r="A221" s="157" t="n">
        <v>107</v>
      </c>
      <c r="B221" s="158" t="n"/>
      <c r="C221" s="159" t="n"/>
      <c r="D221" s="159" t="n"/>
      <c r="E221" s="159" t="n"/>
      <c r="F221" s="148" t="n"/>
      <c r="G221" s="228" t="n"/>
      <c r="H221" s="236" t="n"/>
      <c r="I221" s="122" t="n"/>
      <c r="J221" s="240" t="n"/>
      <c r="K221" s="240" t="n"/>
      <c r="L221" s="241" t="n"/>
      <c r="M221" s="138" t="n"/>
      <c r="N221" s="241" t="n"/>
      <c r="O221" s="122" t="n"/>
      <c r="P221" s="240" t="n"/>
      <c r="Q221" s="240" t="n"/>
      <c r="R221" s="240" t="n"/>
      <c r="S221" s="240" t="n"/>
      <c r="T221" s="241" t="n"/>
      <c r="U221" s="146" t="n"/>
      <c r="V221" s="227" t="n"/>
      <c r="W221" s="159" t="n"/>
      <c r="X221" s="159" t="n"/>
      <c r="Y221" s="185" t="inlineStr">
        <is>
          <t>DAVID WILDNER</t>
        </is>
      </c>
      <c r="Z221" s="230" t="n"/>
      <c r="AA221" s="231" t="n"/>
      <c r="AB221" s="232">
        <f>IFERROR(VLOOKUP(F221,'DATA BASE'!A:I,3,FALSE),"")</f>
        <v/>
      </c>
      <c r="AC221" s="230" t="n"/>
      <c r="AD221" s="231" t="n"/>
      <c r="AE221" s="233">
        <f>IFERROR(VLOOKUP(F221,'DATA BASE'!A:I,9,FALSE),"")</f>
        <v/>
      </c>
      <c r="AF221" s="231" t="n"/>
      <c r="AG221" s="232">
        <f>IFERROR(VLOOKUP(F221,'DATA BASE'!A:I,6,FALSE),"")</f>
        <v/>
      </c>
      <c r="AH221" s="230" t="n"/>
      <c r="AI221" s="231" t="n"/>
      <c r="AJ221" s="234">
        <f>IFERROR(VLOOKUP(F221,'DATA BASE'!A:I,8,FALSE),"")</f>
        <v/>
      </c>
      <c r="AK221" s="235" t="n"/>
    </row>
    <row r="222" ht="15.5" customHeight="1" s="7">
      <c r="A222" s="242" t="n"/>
      <c r="B222" s="242" t="n"/>
      <c r="C222" s="242" t="n"/>
      <c r="D222" s="242" t="n"/>
      <c r="E222" s="242" t="n"/>
      <c r="F222" s="148" t="n"/>
      <c r="G222" s="228" t="n"/>
      <c r="H222" s="236" t="n"/>
      <c r="I222" s="122" t="n"/>
      <c r="J222" s="240" t="n"/>
      <c r="K222" s="240" t="n"/>
      <c r="L222" s="241" t="n"/>
      <c r="M222" s="122" t="n"/>
      <c r="N222" s="241" t="n"/>
      <c r="O222" s="122" t="n"/>
      <c r="P222" s="240" t="n"/>
      <c r="Q222" s="240" t="n"/>
      <c r="R222" s="240" t="n"/>
      <c r="S222" s="240" t="n"/>
      <c r="T222" s="241" t="n"/>
      <c r="U222" s="243" t="n"/>
      <c r="V222" s="229" t="n"/>
      <c r="W222" s="242" t="n"/>
      <c r="X222" s="242" t="n"/>
      <c r="Y222" s="185">
        <f>VLOOKUP(F221,'DATA BASE'!A:I,2,FALSE)</f>
        <v/>
      </c>
      <c r="Z222" s="230" t="n"/>
      <c r="AA222" s="231" t="n"/>
      <c r="AB222" s="232">
        <f>IFERROR(VLOOKUP(F221,'DATA BASE'!A:I,4,FALSE),"")</f>
        <v/>
      </c>
      <c r="AC222" s="230" t="n"/>
      <c r="AD222" s="231" t="n"/>
      <c r="AE222" s="232">
        <f>IFERROR(VLOOKUP(F221,'DATA BASE'!A:I,5,FALSE),"")</f>
        <v/>
      </c>
      <c r="AF222" s="231" t="n"/>
      <c r="AG222" s="232">
        <f>IFERROR(VLOOKUP(F221,'DATA BASE'!A:I,7,FALSE),"")</f>
        <v/>
      </c>
      <c r="AH222" s="230" t="n"/>
      <c r="AI222" s="231" t="n"/>
      <c r="AJ222" s="238" t="n"/>
      <c r="AK222" s="239" t="n"/>
    </row>
    <row r="223" ht="15.5" customHeight="1" s="7">
      <c r="A223" s="157" t="n">
        <v>108</v>
      </c>
      <c r="B223" s="158" t="n"/>
      <c r="C223" s="159" t="n"/>
      <c r="D223" s="159" t="n"/>
      <c r="E223" s="159" t="n"/>
      <c r="F223" s="148" t="n"/>
      <c r="G223" s="228" t="n"/>
      <c r="H223" s="236" t="n"/>
      <c r="I223" s="122" t="n"/>
      <c r="J223" s="240" t="n"/>
      <c r="K223" s="240" t="n"/>
      <c r="L223" s="241" t="n"/>
      <c r="M223" s="138" t="n"/>
      <c r="N223" s="241" t="n"/>
      <c r="O223" s="122" t="n"/>
      <c r="P223" s="240" t="n"/>
      <c r="Q223" s="240" t="n"/>
      <c r="R223" s="240" t="n"/>
      <c r="S223" s="240" t="n"/>
      <c r="T223" s="241" t="n"/>
      <c r="U223" s="146" t="n"/>
      <c r="V223" s="227" t="n"/>
      <c r="W223" s="159" t="n"/>
      <c r="X223" s="159" t="n"/>
      <c r="Y223" s="185" t="inlineStr">
        <is>
          <t>DAVID WILDNER</t>
        </is>
      </c>
      <c r="Z223" s="230" t="n"/>
      <c r="AA223" s="231" t="n"/>
      <c r="AB223" s="232">
        <f>IFERROR(VLOOKUP(F223,'DATA BASE'!A:I,3,FALSE),"")</f>
        <v/>
      </c>
      <c r="AC223" s="230" t="n"/>
      <c r="AD223" s="231" t="n"/>
      <c r="AE223" s="233">
        <f>IFERROR(VLOOKUP(F223,'DATA BASE'!A:I,9,FALSE),"")</f>
        <v/>
      </c>
      <c r="AF223" s="231" t="n"/>
      <c r="AG223" s="232">
        <f>IFERROR(VLOOKUP(F223,'DATA BASE'!A:I,6,FALSE),"")</f>
        <v/>
      </c>
      <c r="AH223" s="230" t="n"/>
      <c r="AI223" s="231" t="n"/>
      <c r="AJ223" s="234">
        <f>IFERROR(VLOOKUP(F223,'DATA BASE'!A:I,8,FALSE),"")</f>
        <v/>
      </c>
      <c r="AK223" s="235" t="n"/>
    </row>
    <row r="224" ht="15.5" customHeight="1" s="7">
      <c r="A224" s="242" t="n"/>
      <c r="B224" s="242" t="n"/>
      <c r="C224" s="242" t="n"/>
      <c r="D224" s="242" t="n"/>
      <c r="E224" s="242" t="n"/>
      <c r="F224" s="148" t="n"/>
      <c r="G224" s="228" t="n"/>
      <c r="H224" s="236" t="n"/>
      <c r="I224" s="122" t="n"/>
      <c r="J224" s="240" t="n"/>
      <c r="K224" s="240" t="n"/>
      <c r="L224" s="241" t="n"/>
      <c r="M224" s="122" t="n"/>
      <c r="N224" s="241" t="n"/>
      <c r="O224" s="122" t="n"/>
      <c r="P224" s="240" t="n"/>
      <c r="Q224" s="240" t="n"/>
      <c r="R224" s="240" t="n"/>
      <c r="S224" s="240" t="n"/>
      <c r="T224" s="241" t="n"/>
      <c r="U224" s="243" t="n"/>
      <c r="V224" s="229" t="n"/>
      <c r="W224" s="242" t="n"/>
      <c r="X224" s="242" t="n"/>
      <c r="Y224" s="185">
        <f>VLOOKUP(F223,'DATA BASE'!A:I,2,FALSE)</f>
        <v/>
      </c>
      <c r="Z224" s="230" t="n"/>
      <c r="AA224" s="231" t="n"/>
      <c r="AB224" s="232">
        <f>IFERROR(VLOOKUP(F223,'DATA BASE'!A:I,4,FALSE),"")</f>
        <v/>
      </c>
      <c r="AC224" s="230" t="n"/>
      <c r="AD224" s="231" t="n"/>
      <c r="AE224" s="232">
        <f>IFERROR(VLOOKUP(F223,'DATA BASE'!A:I,5,FALSE),"")</f>
        <v/>
      </c>
      <c r="AF224" s="231" t="n"/>
      <c r="AG224" s="232">
        <f>IFERROR(VLOOKUP(F223,'DATA BASE'!A:I,7,FALSE),"")</f>
        <v/>
      </c>
      <c r="AH224" s="230" t="n"/>
      <c r="AI224" s="231" t="n"/>
      <c r="AJ224" s="238" t="n"/>
      <c r="AK224" s="239" t="n"/>
    </row>
    <row r="225" ht="15.5" customHeight="1" s="7">
      <c r="A225" s="157" t="n">
        <v>109</v>
      </c>
      <c r="B225" s="158" t="n"/>
      <c r="C225" s="159" t="n"/>
      <c r="D225" s="159" t="n"/>
      <c r="E225" s="159" t="n"/>
      <c r="F225" s="148" t="n"/>
      <c r="G225" s="228" t="n"/>
      <c r="H225" s="236" t="n"/>
      <c r="I225" s="122" t="n"/>
      <c r="J225" s="240" t="n"/>
      <c r="K225" s="240" t="n"/>
      <c r="L225" s="241" t="n"/>
      <c r="M225" s="138" t="n"/>
      <c r="N225" s="241" t="n"/>
      <c r="O225" s="122" t="n"/>
      <c r="P225" s="240" t="n"/>
      <c r="Q225" s="240" t="n"/>
      <c r="R225" s="240" t="n"/>
      <c r="S225" s="240" t="n"/>
      <c r="T225" s="241" t="n"/>
      <c r="U225" s="146" t="n"/>
      <c r="V225" s="227" t="n"/>
      <c r="W225" s="159" t="n"/>
      <c r="X225" s="159" t="n"/>
      <c r="Y225" s="185" t="inlineStr">
        <is>
          <t>DAVID WILDNER</t>
        </is>
      </c>
      <c r="Z225" s="230" t="n"/>
      <c r="AA225" s="231" t="n"/>
      <c r="AB225" s="232">
        <f>IFERROR(VLOOKUP(F225,'DATA BASE'!A:I,3,FALSE),"")</f>
        <v/>
      </c>
      <c r="AC225" s="230" t="n"/>
      <c r="AD225" s="231" t="n"/>
      <c r="AE225" s="233">
        <f>IFERROR(VLOOKUP(F225,'DATA BASE'!A:I,9,FALSE),"")</f>
        <v/>
      </c>
      <c r="AF225" s="231" t="n"/>
      <c r="AG225" s="232">
        <f>IFERROR(VLOOKUP(F225,'DATA BASE'!A:I,6,FALSE),"")</f>
        <v/>
      </c>
      <c r="AH225" s="230" t="n"/>
      <c r="AI225" s="231" t="n"/>
      <c r="AJ225" s="234">
        <f>IFERROR(VLOOKUP(F225,'DATA BASE'!A:I,8,FALSE),"")</f>
        <v/>
      </c>
      <c r="AK225" s="235" t="n"/>
    </row>
    <row r="226" ht="15.5" customHeight="1" s="7">
      <c r="A226" s="242" t="n"/>
      <c r="B226" s="242" t="n"/>
      <c r="C226" s="242" t="n"/>
      <c r="D226" s="242" t="n"/>
      <c r="E226" s="242" t="n"/>
      <c r="F226" s="148" t="n"/>
      <c r="G226" s="228" t="n"/>
      <c r="H226" s="236" t="n"/>
      <c r="I226" s="122" t="n"/>
      <c r="J226" s="240" t="n"/>
      <c r="K226" s="240" t="n"/>
      <c r="L226" s="241" t="n"/>
      <c r="M226" s="122" t="n"/>
      <c r="N226" s="241" t="n"/>
      <c r="O226" s="122" t="n"/>
      <c r="P226" s="240" t="n"/>
      <c r="Q226" s="240" t="n"/>
      <c r="R226" s="240" t="n"/>
      <c r="S226" s="240" t="n"/>
      <c r="T226" s="241" t="n"/>
      <c r="U226" s="243" t="n"/>
      <c r="V226" s="229" t="n"/>
      <c r="W226" s="242" t="n"/>
      <c r="X226" s="242" t="n"/>
      <c r="Y226" s="185">
        <f>VLOOKUP(F225,'DATA BASE'!A:I,2,FALSE)</f>
        <v/>
      </c>
      <c r="Z226" s="230" t="n"/>
      <c r="AA226" s="231" t="n"/>
      <c r="AB226" s="232">
        <f>IFERROR(VLOOKUP(F225,'DATA BASE'!A:I,4,FALSE),"")</f>
        <v/>
      </c>
      <c r="AC226" s="230" t="n"/>
      <c r="AD226" s="231" t="n"/>
      <c r="AE226" s="232">
        <f>IFERROR(VLOOKUP(F225,'DATA BASE'!A:I,5,FALSE),"")</f>
        <v/>
      </c>
      <c r="AF226" s="231" t="n"/>
      <c r="AG226" s="232">
        <f>IFERROR(VLOOKUP(F225,'DATA BASE'!A:I,7,FALSE),"")</f>
        <v/>
      </c>
      <c r="AH226" s="230" t="n"/>
      <c r="AI226" s="231" t="n"/>
      <c r="AJ226" s="238" t="n"/>
      <c r="AK226" s="239" t="n"/>
    </row>
    <row r="227" ht="15.5" customHeight="1" s="7">
      <c r="A227" s="157" t="n">
        <v>110</v>
      </c>
      <c r="B227" s="158" t="n"/>
      <c r="C227" s="159" t="n"/>
      <c r="D227" s="159" t="n"/>
      <c r="E227" s="159" t="n"/>
      <c r="F227" s="148" t="n"/>
      <c r="G227" s="228" t="n"/>
      <c r="H227" s="236" t="n"/>
      <c r="I227" s="122" t="n"/>
      <c r="J227" s="240" t="n"/>
      <c r="K227" s="240" t="n"/>
      <c r="L227" s="241" t="n"/>
      <c r="M227" s="138" t="n"/>
      <c r="N227" s="241" t="n"/>
      <c r="O227" s="122" t="n"/>
      <c r="P227" s="240" t="n"/>
      <c r="Q227" s="240" t="n"/>
      <c r="R227" s="240" t="n"/>
      <c r="S227" s="240" t="n"/>
      <c r="T227" s="241" t="n"/>
      <c r="U227" s="146" t="n"/>
      <c r="V227" s="227" t="n"/>
      <c r="W227" s="159" t="n"/>
      <c r="X227" s="159" t="n"/>
      <c r="Y227" s="185" t="inlineStr">
        <is>
          <t>DAVID WILDNER</t>
        </is>
      </c>
      <c r="Z227" s="230" t="n"/>
      <c r="AA227" s="231" t="n"/>
      <c r="AB227" s="232">
        <f>IFERROR(VLOOKUP(F227,'DATA BASE'!A:I,3,FALSE),"")</f>
        <v/>
      </c>
      <c r="AC227" s="230" t="n"/>
      <c r="AD227" s="231" t="n"/>
      <c r="AE227" s="233">
        <f>IFERROR(VLOOKUP(F227,'DATA BASE'!A:I,9,FALSE),"")</f>
        <v/>
      </c>
      <c r="AF227" s="231" t="n"/>
      <c r="AG227" s="232">
        <f>IFERROR(VLOOKUP(F227,'DATA BASE'!A:I,6,FALSE),"")</f>
        <v/>
      </c>
      <c r="AH227" s="230" t="n"/>
      <c r="AI227" s="231" t="n"/>
      <c r="AJ227" s="234">
        <f>IFERROR(VLOOKUP(F227,'DATA BASE'!A:I,8,FALSE),"")</f>
        <v/>
      </c>
      <c r="AK227" s="235" t="n"/>
    </row>
    <row r="228" ht="15.5" customHeight="1" s="7">
      <c r="A228" s="242" t="n"/>
      <c r="B228" s="242" t="n"/>
      <c r="C228" s="242" t="n"/>
      <c r="D228" s="242" t="n"/>
      <c r="E228" s="242" t="n"/>
      <c r="F228" s="148" t="n"/>
      <c r="G228" s="228" t="n"/>
      <c r="H228" s="236" t="n"/>
      <c r="I228" s="122" t="n"/>
      <c r="J228" s="240" t="n"/>
      <c r="K228" s="240" t="n"/>
      <c r="L228" s="241" t="n"/>
      <c r="M228" s="122" t="n"/>
      <c r="N228" s="241" t="n"/>
      <c r="O228" s="122" t="n"/>
      <c r="P228" s="240" t="n"/>
      <c r="Q228" s="240" t="n"/>
      <c r="R228" s="240" t="n"/>
      <c r="S228" s="240" t="n"/>
      <c r="T228" s="241" t="n"/>
      <c r="U228" s="243" t="n"/>
      <c r="V228" s="229" t="n"/>
      <c r="W228" s="242" t="n"/>
      <c r="X228" s="242" t="n"/>
      <c r="Y228" s="185">
        <f>VLOOKUP(F227,'DATA BASE'!A:I,2,FALSE)</f>
        <v/>
      </c>
      <c r="Z228" s="230" t="n"/>
      <c r="AA228" s="231" t="n"/>
      <c r="AB228" s="232">
        <f>IFERROR(VLOOKUP(F227,'DATA BASE'!A:I,4,FALSE),"")</f>
        <v/>
      </c>
      <c r="AC228" s="230" t="n"/>
      <c r="AD228" s="231" t="n"/>
      <c r="AE228" s="232">
        <f>IFERROR(VLOOKUP(F227,'DATA BASE'!A:I,5,FALSE),"")</f>
        <v/>
      </c>
      <c r="AF228" s="231" t="n"/>
      <c r="AG228" s="232">
        <f>IFERROR(VLOOKUP(F227,'DATA BASE'!A:I,7,FALSE),"")</f>
        <v/>
      </c>
      <c r="AH228" s="230" t="n"/>
      <c r="AI228" s="231" t="n"/>
      <c r="AJ228" s="238" t="n"/>
      <c r="AK228" s="239" t="n"/>
    </row>
    <row r="229" ht="15.5" customHeight="1" s="7">
      <c r="A229" s="157" t="n">
        <v>111</v>
      </c>
      <c r="B229" s="158" t="n"/>
      <c r="C229" s="159" t="n"/>
      <c r="D229" s="159" t="n"/>
      <c r="E229" s="159" t="n"/>
      <c r="F229" s="148" t="n"/>
      <c r="G229" s="228" t="n"/>
      <c r="H229" s="236" t="n"/>
      <c r="I229" s="122" t="n"/>
      <c r="J229" s="240" t="n"/>
      <c r="K229" s="240" t="n"/>
      <c r="L229" s="241" t="n"/>
      <c r="M229" s="138" t="n"/>
      <c r="N229" s="241" t="n"/>
      <c r="O229" s="122" t="n"/>
      <c r="P229" s="240" t="n"/>
      <c r="Q229" s="240" t="n"/>
      <c r="R229" s="240" t="n"/>
      <c r="S229" s="240" t="n"/>
      <c r="T229" s="241" t="n"/>
      <c r="U229" s="146" t="n"/>
      <c r="V229" s="227" t="n"/>
      <c r="W229" s="159" t="n"/>
      <c r="X229" s="159" t="n"/>
      <c r="Y229" s="185" t="inlineStr">
        <is>
          <t>DAVID WILDNER</t>
        </is>
      </c>
      <c r="Z229" s="230" t="n"/>
      <c r="AA229" s="231" t="n"/>
      <c r="AB229" s="232">
        <f>IFERROR(VLOOKUP(F229,'DATA BASE'!A:I,3,FALSE),"")</f>
        <v/>
      </c>
      <c r="AC229" s="230" t="n"/>
      <c r="AD229" s="231" t="n"/>
      <c r="AE229" s="233">
        <f>IFERROR(VLOOKUP(F229,'DATA BASE'!A:I,9,FALSE),"")</f>
        <v/>
      </c>
      <c r="AF229" s="231" t="n"/>
      <c r="AG229" s="232">
        <f>IFERROR(VLOOKUP(F229,'DATA BASE'!A:I,6,FALSE),"")</f>
        <v/>
      </c>
      <c r="AH229" s="230" t="n"/>
      <c r="AI229" s="231" t="n"/>
      <c r="AJ229" s="234">
        <f>IFERROR(VLOOKUP(F229,'DATA BASE'!A:I,8,FALSE),"")</f>
        <v/>
      </c>
      <c r="AK229" s="235" t="n"/>
    </row>
    <row r="230" ht="15.5" customHeight="1" s="7">
      <c r="A230" s="242" t="n"/>
      <c r="B230" s="242" t="n"/>
      <c r="C230" s="242" t="n"/>
      <c r="D230" s="242" t="n"/>
      <c r="E230" s="242" t="n"/>
      <c r="F230" s="148" t="n"/>
      <c r="G230" s="228" t="n"/>
      <c r="H230" s="236" t="n"/>
      <c r="I230" s="122" t="n"/>
      <c r="J230" s="240" t="n"/>
      <c r="K230" s="240" t="n"/>
      <c r="L230" s="241" t="n"/>
      <c r="M230" s="122" t="n"/>
      <c r="N230" s="241" t="n"/>
      <c r="O230" s="122" t="n"/>
      <c r="P230" s="240" t="n"/>
      <c r="Q230" s="240" t="n"/>
      <c r="R230" s="240" t="n"/>
      <c r="S230" s="240" t="n"/>
      <c r="T230" s="241" t="n"/>
      <c r="U230" s="243" t="n"/>
      <c r="V230" s="229" t="n"/>
      <c r="W230" s="242" t="n"/>
      <c r="X230" s="242" t="n"/>
      <c r="Y230" s="185">
        <f>VLOOKUP(F229,'DATA BASE'!A:I,2,FALSE)</f>
        <v/>
      </c>
      <c r="Z230" s="230" t="n"/>
      <c r="AA230" s="231" t="n"/>
      <c r="AB230" s="232">
        <f>IFERROR(VLOOKUP(F229,'DATA BASE'!A:I,4,FALSE),"")</f>
        <v/>
      </c>
      <c r="AC230" s="230" t="n"/>
      <c r="AD230" s="231" t="n"/>
      <c r="AE230" s="232">
        <f>IFERROR(VLOOKUP(F229,'DATA BASE'!A:I,5,FALSE),"")</f>
        <v/>
      </c>
      <c r="AF230" s="231" t="n"/>
      <c r="AG230" s="232">
        <f>IFERROR(VLOOKUP(F229,'DATA BASE'!A:I,7,FALSE),"")</f>
        <v/>
      </c>
      <c r="AH230" s="230" t="n"/>
      <c r="AI230" s="231" t="n"/>
      <c r="AJ230" s="238" t="n"/>
      <c r="AK230" s="239" t="n"/>
    </row>
    <row r="231" ht="15.5" customHeight="1" s="7">
      <c r="A231" s="157" t="n">
        <v>112</v>
      </c>
      <c r="B231" s="158" t="n"/>
      <c r="C231" s="159" t="n"/>
      <c r="D231" s="159" t="n"/>
      <c r="E231" s="159" t="n"/>
      <c r="F231" s="148" t="n"/>
      <c r="G231" s="228" t="n"/>
      <c r="H231" s="236" t="n"/>
      <c r="I231" s="122" t="n"/>
      <c r="J231" s="240" t="n"/>
      <c r="K231" s="240" t="n"/>
      <c r="L231" s="241" t="n"/>
      <c r="M231" s="138" t="n"/>
      <c r="N231" s="241" t="n"/>
      <c r="O231" s="122" t="n"/>
      <c r="P231" s="240" t="n"/>
      <c r="Q231" s="240" t="n"/>
      <c r="R231" s="240" t="n"/>
      <c r="S231" s="240" t="n"/>
      <c r="T231" s="241" t="n"/>
      <c r="U231" s="146" t="n"/>
      <c r="V231" s="227" t="n"/>
      <c r="W231" s="159" t="n"/>
      <c r="X231" s="159" t="n"/>
      <c r="Y231" s="185" t="inlineStr">
        <is>
          <t>DAVID WILDNER</t>
        </is>
      </c>
      <c r="Z231" s="230" t="n"/>
      <c r="AA231" s="231" t="n"/>
      <c r="AB231" s="232">
        <f>IFERROR(VLOOKUP(F231,'DATA BASE'!A:I,3,FALSE),"")</f>
        <v/>
      </c>
      <c r="AC231" s="230" t="n"/>
      <c r="AD231" s="231" t="n"/>
      <c r="AE231" s="233">
        <f>IFERROR(VLOOKUP(F231,'DATA BASE'!A:I,9,FALSE),"")</f>
        <v/>
      </c>
      <c r="AF231" s="231" t="n"/>
      <c r="AG231" s="232">
        <f>IFERROR(VLOOKUP(F231,'DATA BASE'!A:I,6,FALSE),"")</f>
        <v/>
      </c>
      <c r="AH231" s="230" t="n"/>
      <c r="AI231" s="231" t="n"/>
      <c r="AJ231" s="234">
        <f>IFERROR(VLOOKUP(F231,'DATA BASE'!A:I,8,FALSE),"")</f>
        <v/>
      </c>
      <c r="AK231" s="235" t="n"/>
    </row>
    <row r="232" ht="15.5" customHeight="1" s="7">
      <c r="A232" s="242" t="n"/>
      <c r="B232" s="242" t="n"/>
      <c r="C232" s="242" t="n"/>
      <c r="D232" s="242" t="n"/>
      <c r="E232" s="242" t="n"/>
      <c r="F232" s="148" t="n"/>
      <c r="G232" s="228" t="n"/>
      <c r="H232" s="236" t="n"/>
      <c r="I232" s="122" t="n"/>
      <c r="J232" s="240" t="n"/>
      <c r="K232" s="240" t="n"/>
      <c r="L232" s="241" t="n"/>
      <c r="M232" s="122" t="n"/>
      <c r="N232" s="241" t="n"/>
      <c r="O232" s="122" t="n"/>
      <c r="P232" s="240" t="n"/>
      <c r="Q232" s="240" t="n"/>
      <c r="R232" s="240" t="n"/>
      <c r="S232" s="240" t="n"/>
      <c r="T232" s="241" t="n"/>
      <c r="U232" s="243" t="n"/>
      <c r="V232" s="229" t="n"/>
      <c r="W232" s="242" t="n"/>
      <c r="X232" s="242" t="n"/>
      <c r="Y232" s="185">
        <f>VLOOKUP(F231,'DATA BASE'!A:I,2,FALSE)</f>
        <v/>
      </c>
      <c r="Z232" s="230" t="n"/>
      <c r="AA232" s="231" t="n"/>
      <c r="AB232" s="232">
        <f>IFERROR(VLOOKUP(F231,'DATA BASE'!A:I,4,FALSE),"")</f>
        <v/>
      </c>
      <c r="AC232" s="230" t="n"/>
      <c r="AD232" s="231" t="n"/>
      <c r="AE232" s="232">
        <f>IFERROR(VLOOKUP(F231,'DATA BASE'!A:I,5,FALSE),"")</f>
        <v/>
      </c>
      <c r="AF232" s="231" t="n"/>
      <c r="AG232" s="232">
        <f>IFERROR(VLOOKUP(F231,'DATA BASE'!A:I,7,FALSE),"")</f>
        <v/>
      </c>
      <c r="AH232" s="230" t="n"/>
      <c r="AI232" s="231" t="n"/>
      <c r="AJ232" s="238" t="n"/>
      <c r="AK232" s="239" t="n"/>
    </row>
    <row r="233" ht="15.5" customHeight="1" s="7">
      <c r="A233" s="157" t="n">
        <v>113</v>
      </c>
      <c r="B233" s="158" t="n"/>
      <c r="C233" s="159" t="n"/>
      <c r="D233" s="159" t="n"/>
      <c r="E233" s="159" t="n"/>
      <c r="F233" s="148" t="n"/>
      <c r="G233" s="228" t="n"/>
      <c r="H233" s="236" t="n"/>
      <c r="I233" s="122" t="n"/>
      <c r="J233" s="240" t="n"/>
      <c r="K233" s="240" t="n"/>
      <c r="L233" s="241" t="n"/>
      <c r="M233" s="138" t="n"/>
      <c r="N233" s="241" t="n"/>
      <c r="O233" s="122" t="n"/>
      <c r="P233" s="240" t="n"/>
      <c r="Q233" s="240" t="n"/>
      <c r="R233" s="240" t="n"/>
      <c r="S233" s="240" t="n"/>
      <c r="T233" s="241" t="n"/>
      <c r="U233" s="146" t="n"/>
      <c r="V233" s="227" t="n"/>
      <c r="W233" s="159" t="n"/>
      <c r="X233" s="159" t="n"/>
      <c r="Y233" s="185" t="inlineStr">
        <is>
          <t>DAVID WILDNER</t>
        </is>
      </c>
      <c r="Z233" s="230" t="n"/>
      <c r="AA233" s="231" t="n"/>
      <c r="AB233" s="232">
        <f>IFERROR(VLOOKUP(F233,'DATA BASE'!A:I,3,FALSE),"")</f>
        <v/>
      </c>
      <c r="AC233" s="230" t="n"/>
      <c r="AD233" s="231" t="n"/>
      <c r="AE233" s="233">
        <f>IFERROR(VLOOKUP(F233,'DATA BASE'!A:I,9,FALSE),"")</f>
        <v/>
      </c>
      <c r="AF233" s="231" t="n"/>
      <c r="AG233" s="232">
        <f>IFERROR(VLOOKUP(F233,'DATA BASE'!A:I,6,FALSE),"")</f>
        <v/>
      </c>
      <c r="AH233" s="230" t="n"/>
      <c r="AI233" s="231" t="n"/>
      <c r="AJ233" s="234">
        <f>IFERROR(VLOOKUP(F233,'DATA BASE'!A:I,8,FALSE),"")</f>
        <v/>
      </c>
      <c r="AK233" s="235" t="n"/>
    </row>
    <row r="234" ht="15.5" customHeight="1" s="7">
      <c r="A234" s="242" t="n"/>
      <c r="B234" s="242" t="n"/>
      <c r="C234" s="242" t="n"/>
      <c r="D234" s="242" t="n"/>
      <c r="E234" s="242" t="n"/>
      <c r="F234" s="148" t="n"/>
      <c r="G234" s="228" t="n"/>
      <c r="H234" s="236" t="n"/>
      <c r="I234" s="122" t="n"/>
      <c r="J234" s="240" t="n"/>
      <c r="K234" s="240" t="n"/>
      <c r="L234" s="241" t="n"/>
      <c r="M234" s="122" t="n"/>
      <c r="N234" s="241" t="n"/>
      <c r="O234" s="122" t="n"/>
      <c r="P234" s="240" t="n"/>
      <c r="Q234" s="240" t="n"/>
      <c r="R234" s="240" t="n"/>
      <c r="S234" s="240" t="n"/>
      <c r="T234" s="241" t="n"/>
      <c r="U234" s="243" t="n"/>
      <c r="V234" s="229" t="n"/>
      <c r="W234" s="242" t="n"/>
      <c r="X234" s="242" t="n"/>
      <c r="Y234" s="185">
        <f>VLOOKUP(F233,'DATA BASE'!A:I,2,FALSE)</f>
        <v/>
      </c>
      <c r="Z234" s="230" t="n"/>
      <c r="AA234" s="231" t="n"/>
      <c r="AB234" s="232">
        <f>IFERROR(VLOOKUP(F233,'DATA BASE'!A:I,4,FALSE),"")</f>
        <v/>
      </c>
      <c r="AC234" s="230" t="n"/>
      <c r="AD234" s="231" t="n"/>
      <c r="AE234" s="232">
        <f>IFERROR(VLOOKUP(F233,'DATA BASE'!A:I,5,FALSE),"")</f>
        <v/>
      </c>
      <c r="AF234" s="231" t="n"/>
      <c r="AG234" s="232">
        <f>IFERROR(VLOOKUP(F233,'DATA BASE'!A:I,7,FALSE),"")</f>
        <v/>
      </c>
      <c r="AH234" s="230" t="n"/>
      <c r="AI234" s="231" t="n"/>
      <c r="AJ234" s="238" t="n"/>
      <c r="AK234" s="239" t="n"/>
    </row>
    <row r="235" ht="15.5" customHeight="1" s="7">
      <c r="A235" s="157" t="n">
        <v>114</v>
      </c>
      <c r="B235" s="158" t="n"/>
      <c r="C235" s="159" t="n"/>
      <c r="D235" s="159" t="n"/>
      <c r="E235" s="159" t="n"/>
      <c r="F235" s="148" t="n"/>
      <c r="G235" s="228" t="n"/>
      <c r="H235" s="236" t="n"/>
      <c r="I235" s="122" t="n"/>
      <c r="J235" s="240" t="n"/>
      <c r="K235" s="240" t="n"/>
      <c r="L235" s="241" t="n"/>
      <c r="M235" s="138" t="n"/>
      <c r="N235" s="241" t="n"/>
      <c r="O235" s="122" t="n"/>
      <c r="P235" s="240" t="n"/>
      <c r="Q235" s="240" t="n"/>
      <c r="R235" s="240" t="n"/>
      <c r="S235" s="240" t="n"/>
      <c r="T235" s="241" t="n"/>
      <c r="U235" s="146" t="n"/>
      <c r="V235" s="227" t="n"/>
      <c r="W235" s="159" t="n"/>
      <c r="X235" s="159" t="n"/>
      <c r="Y235" s="185" t="inlineStr">
        <is>
          <t>DAVID WILDNER</t>
        </is>
      </c>
      <c r="Z235" s="230" t="n"/>
      <c r="AA235" s="231" t="n"/>
      <c r="AB235" s="232">
        <f>IFERROR(VLOOKUP(F235,'DATA BASE'!A:I,3,FALSE),"")</f>
        <v/>
      </c>
      <c r="AC235" s="230" t="n"/>
      <c r="AD235" s="231" t="n"/>
      <c r="AE235" s="233">
        <f>IFERROR(VLOOKUP(F235,'DATA BASE'!A:I,9,FALSE),"")</f>
        <v/>
      </c>
      <c r="AF235" s="231" t="n"/>
      <c r="AG235" s="232">
        <f>IFERROR(VLOOKUP(F235,'DATA BASE'!A:I,6,FALSE),"")</f>
        <v/>
      </c>
      <c r="AH235" s="230" t="n"/>
      <c r="AI235" s="231" t="n"/>
      <c r="AJ235" s="234">
        <f>IFERROR(VLOOKUP(F235,'DATA BASE'!A:I,8,FALSE),"")</f>
        <v/>
      </c>
      <c r="AK235" s="235" t="n"/>
    </row>
    <row r="236" ht="15.5" customHeight="1" s="7">
      <c r="A236" s="242" t="n"/>
      <c r="B236" s="242" t="n"/>
      <c r="C236" s="242" t="n"/>
      <c r="D236" s="242" t="n"/>
      <c r="E236" s="242" t="n"/>
      <c r="F236" s="148" t="n"/>
      <c r="G236" s="228" t="n"/>
      <c r="H236" s="236" t="n"/>
      <c r="I236" s="122" t="n"/>
      <c r="J236" s="240" t="n"/>
      <c r="K236" s="240" t="n"/>
      <c r="L236" s="241" t="n"/>
      <c r="M236" s="122" t="n"/>
      <c r="N236" s="241" t="n"/>
      <c r="O236" s="122" t="n"/>
      <c r="P236" s="240" t="n"/>
      <c r="Q236" s="240" t="n"/>
      <c r="R236" s="240" t="n"/>
      <c r="S236" s="240" t="n"/>
      <c r="T236" s="241" t="n"/>
      <c r="U236" s="243" t="n"/>
      <c r="V236" s="229" t="n"/>
      <c r="W236" s="242" t="n"/>
      <c r="X236" s="242" t="n"/>
      <c r="Y236" s="185">
        <f>VLOOKUP(F235,'DATA BASE'!A:I,2,FALSE)</f>
        <v/>
      </c>
      <c r="Z236" s="230" t="n"/>
      <c r="AA236" s="231" t="n"/>
      <c r="AB236" s="232">
        <f>IFERROR(VLOOKUP(F235,'DATA BASE'!A:I,4,FALSE),"")</f>
        <v/>
      </c>
      <c r="AC236" s="230" t="n"/>
      <c r="AD236" s="231" t="n"/>
      <c r="AE236" s="232">
        <f>IFERROR(VLOOKUP(F235,'DATA BASE'!A:I,5,FALSE),"")</f>
        <v/>
      </c>
      <c r="AF236" s="231" t="n"/>
      <c r="AG236" s="232">
        <f>IFERROR(VLOOKUP(F235,'DATA BASE'!A:I,7,FALSE),"")</f>
        <v/>
      </c>
      <c r="AH236" s="230" t="n"/>
      <c r="AI236" s="231" t="n"/>
      <c r="AJ236" s="238" t="n"/>
      <c r="AK236" s="239" t="n"/>
    </row>
    <row r="237" ht="15.5" customHeight="1" s="7">
      <c r="A237" s="157" t="n">
        <v>115</v>
      </c>
      <c r="B237" s="158" t="n"/>
      <c r="C237" s="159" t="n"/>
      <c r="D237" s="159" t="n"/>
      <c r="E237" s="159" t="n"/>
      <c r="F237" s="148" t="n"/>
      <c r="G237" s="228" t="n"/>
      <c r="H237" s="236" t="n"/>
      <c r="I237" s="122" t="n"/>
      <c r="J237" s="240" t="n"/>
      <c r="K237" s="240" t="n"/>
      <c r="L237" s="241" t="n"/>
      <c r="M237" s="138" t="n"/>
      <c r="N237" s="241" t="n"/>
      <c r="O237" s="122" t="n"/>
      <c r="P237" s="240" t="n"/>
      <c r="Q237" s="240" t="n"/>
      <c r="R237" s="240" t="n"/>
      <c r="S237" s="240" t="n"/>
      <c r="T237" s="241" t="n"/>
      <c r="U237" s="146" t="n"/>
      <c r="V237" s="227" t="n"/>
      <c r="W237" s="159" t="n"/>
      <c r="X237" s="159" t="n"/>
      <c r="Y237" s="185" t="inlineStr">
        <is>
          <t>DAVID WILDNER</t>
        </is>
      </c>
      <c r="Z237" s="230" t="n"/>
      <c r="AA237" s="231" t="n"/>
      <c r="AB237" s="232">
        <f>IFERROR(VLOOKUP(F237,'DATA BASE'!A:I,3,FALSE),"")</f>
        <v/>
      </c>
      <c r="AC237" s="230" t="n"/>
      <c r="AD237" s="231" t="n"/>
      <c r="AE237" s="233">
        <f>IFERROR(VLOOKUP(F237,'DATA BASE'!A:I,9,FALSE),"")</f>
        <v/>
      </c>
      <c r="AF237" s="231" t="n"/>
      <c r="AG237" s="232">
        <f>IFERROR(VLOOKUP(F237,'DATA BASE'!A:I,6,FALSE),"")</f>
        <v/>
      </c>
      <c r="AH237" s="230" t="n"/>
      <c r="AI237" s="231" t="n"/>
      <c r="AJ237" s="234">
        <f>IFERROR(VLOOKUP(F237,'DATA BASE'!A:I,8,FALSE),"")</f>
        <v/>
      </c>
      <c r="AK237" s="235" t="n"/>
    </row>
    <row r="238" ht="15.5" customHeight="1" s="7">
      <c r="A238" s="242" t="n"/>
      <c r="B238" s="242" t="n"/>
      <c r="C238" s="242" t="n"/>
      <c r="D238" s="242" t="n"/>
      <c r="E238" s="242" t="n"/>
      <c r="F238" s="148" t="n"/>
      <c r="G238" s="228" t="n"/>
      <c r="H238" s="236" t="n"/>
      <c r="I238" s="122" t="n"/>
      <c r="J238" s="240" t="n"/>
      <c r="K238" s="240" t="n"/>
      <c r="L238" s="241" t="n"/>
      <c r="M238" s="122" t="n"/>
      <c r="N238" s="241" t="n"/>
      <c r="O238" s="122" t="n"/>
      <c r="P238" s="240" t="n"/>
      <c r="Q238" s="240" t="n"/>
      <c r="R238" s="240" t="n"/>
      <c r="S238" s="240" t="n"/>
      <c r="T238" s="241" t="n"/>
      <c r="U238" s="243" t="n"/>
      <c r="V238" s="229" t="n"/>
      <c r="W238" s="242" t="n"/>
      <c r="X238" s="242" t="n"/>
      <c r="Y238" s="185">
        <f>VLOOKUP(F237,'DATA BASE'!A:I,2,FALSE)</f>
        <v/>
      </c>
      <c r="Z238" s="230" t="n"/>
      <c r="AA238" s="231" t="n"/>
      <c r="AB238" s="232">
        <f>IFERROR(VLOOKUP(F237,'DATA BASE'!A:I,4,FALSE),"")</f>
        <v/>
      </c>
      <c r="AC238" s="230" t="n"/>
      <c r="AD238" s="231" t="n"/>
      <c r="AE238" s="232">
        <f>IFERROR(VLOOKUP(F237,'DATA BASE'!A:I,5,FALSE),"")</f>
        <v/>
      </c>
      <c r="AF238" s="231" t="n"/>
      <c r="AG238" s="232">
        <f>IFERROR(VLOOKUP(F237,'DATA BASE'!A:I,7,FALSE),"")</f>
        <v/>
      </c>
      <c r="AH238" s="230" t="n"/>
      <c r="AI238" s="231" t="n"/>
      <c r="AJ238" s="238" t="n"/>
      <c r="AK238" s="239" t="n"/>
    </row>
    <row r="239" ht="15.5" customHeight="1" s="7">
      <c r="A239" s="157" t="n">
        <v>116</v>
      </c>
      <c r="B239" s="158" t="n"/>
      <c r="C239" s="159" t="n"/>
      <c r="D239" s="159" t="n"/>
      <c r="E239" s="159" t="n"/>
      <c r="F239" s="148" t="n"/>
      <c r="G239" s="228" t="n"/>
      <c r="H239" s="236" t="n"/>
      <c r="I239" s="122" t="n"/>
      <c r="J239" s="240" t="n"/>
      <c r="K239" s="240" t="n"/>
      <c r="L239" s="241" t="n"/>
      <c r="M239" s="138" t="n"/>
      <c r="N239" s="241" t="n"/>
      <c r="O239" s="122" t="n"/>
      <c r="P239" s="240" t="n"/>
      <c r="Q239" s="240" t="n"/>
      <c r="R239" s="240" t="n"/>
      <c r="S239" s="240" t="n"/>
      <c r="T239" s="241" t="n"/>
      <c r="U239" s="146" t="n"/>
      <c r="V239" s="227" t="n"/>
      <c r="W239" s="159" t="n"/>
      <c r="X239" s="159" t="n"/>
      <c r="Y239" s="185" t="inlineStr">
        <is>
          <t>DAVID WILDNER</t>
        </is>
      </c>
      <c r="Z239" s="230" t="n"/>
      <c r="AA239" s="231" t="n"/>
      <c r="AB239" s="232">
        <f>IFERROR(VLOOKUP(F239,'DATA BASE'!A:I,3,FALSE),"")</f>
        <v/>
      </c>
      <c r="AC239" s="230" t="n"/>
      <c r="AD239" s="231" t="n"/>
      <c r="AE239" s="233">
        <f>IFERROR(VLOOKUP(F239,'DATA BASE'!A:I,9,FALSE),"")</f>
        <v/>
      </c>
      <c r="AF239" s="231" t="n"/>
      <c r="AG239" s="232">
        <f>IFERROR(VLOOKUP(F239,'DATA BASE'!A:I,6,FALSE),"")</f>
        <v/>
      </c>
      <c r="AH239" s="230" t="n"/>
      <c r="AI239" s="231" t="n"/>
      <c r="AJ239" s="234">
        <f>IFERROR(VLOOKUP(F239,'DATA BASE'!A:I,8,FALSE),"")</f>
        <v/>
      </c>
      <c r="AK239" s="235" t="n"/>
    </row>
    <row r="240" ht="15.5" customHeight="1" s="7">
      <c r="A240" s="242" t="n"/>
      <c r="B240" s="242" t="n"/>
      <c r="C240" s="242" t="n"/>
      <c r="D240" s="242" t="n"/>
      <c r="E240" s="242" t="n"/>
      <c r="F240" s="148" t="n"/>
      <c r="G240" s="228" t="n"/>
      <c r="H240" s="236" t="n"/>
      <c r="I240" s="122" t="n"/>
      <c r="J240" s="240" t="n"/>
      <c r="K240" s="240" t="n"/>
      <c r="L240" s="241" t="n"/>
      <c r="M240" s="122" t="n"/>
      <c r="N240" s="241" t="n"/>
      <c r="O240" s="122" t="n"/>
      <c r="P240" s="240" t="n"/>
      <c r="Q240" s="240" t="n"/>
      <c r="R240" s="240" t="n"/>
      <c r="S240" s="240" t="n"/>
      <c r="T240" s="241" t="n"/>
      <c r="U240" s="243" t="n"/>
      <c r="V240" s="229" t="n"/>
      <c r="W240" s="242" t="n"/>
      <c r="X240" s="242" t="n"/>
      <c r="Y240" s="185">
        <f>VLOOKUP(F239,'DATA BASE'!A:I,2,FALSE)</f>
        <v/>
      </c>
      <c r="Z240" s="230" t="n"/>
      <c r="AA240" s="231" t="n"/>
      <c r="AB240" s="232">
        <f>IFERROR(VLOOKUP(F239,'DATA BASE'!A:I,4,FALSE),"")</f>
        <v/>
      </c>
      <c r="AC240" s="230" t="n"/>
      <c r="AD240" s="231" t="n"/>
      <c r="AE240" s="232">
        <f>IFERROR(VLOOKUP(F239,'DATA BASE'!A:I,5,FALSE),"")</f>
        <v/>
      </c>
      <c r="AF240" s="231" t="n"/>
      <c r="AG240" s="232">
        <f>IFERROR(VLOOKUP(F239,'DATA BASE'!A:I,7,FALSE),"")</f>
        <v/>
      </c>
      <c r="AH240" s="230" t="n"/>
      <c r="AI240" s="231" t="n"/>
      <c r="AJ240" s="238" t="n"/>
      <c r="AK240" s="239" t="n"/>
    </row>
    <row r="241" ht="15.5" customHeight="1" s="7">
      <c r="A241" s="157" t="n">
        <v>117</v>
      </c>
      <c r="B241" s="158" t="n"/>
      <c r="C241" s="159" t="n"/>
      <c r="D241" s="159" t="n"/>
      <c r="E241" s="159" t="n"/>
      <c r="F241" s="148" t="n"/>
      <c r="G241" s="228" t="n"/>
      <c r="H241" s="236" t="n"/>
      <c r="I241" s="122" t="n"/>
      <c r="J241" s="240" t="n"/>
      <c r="K241" s="240" t="n"/>
      <c r="L241" s="241" t="n"/>
      <c r="M241" s="138" t="n"/>
      <c r="N241" s="241" t="n"/>
      <c r="O241" s="122" t="n"/>
      <c r="P241" s="240" t="n"/>
      <c r="Q241" s="240" t="n"/>
      <c r="R241" s="240" t="n"/>
      <c r="S241" s="240" t="n"/>
      <c r="T241" s="241" t="n"/>
      <c r="U241" s="146" t="n"/>
      <c r="V241" s="227" t="n"/>
      <c r="W241" s="159" t="n"/>
      <c r="X241" s="159" t="n"/>
      <c r="Y241" s="185" t="inlineStr">
        <is>
          <t>DAVID WILDNER</t>
        </is>
      </c>
      <c r="Z241" s="230" t="n"/>
      <c r="AA241" s="231" t="n"/>
      <c r="AB241" s="232">
        <f>IFERROR(VLOOKUP(F241,'DATA BASE'!A:I,3,FALSE),"")</f>
        <v/>
      </c>
      <c r="AC241" s="230" t="n"/>
      <c r="AD241" s="231" t="n"/>
      <c r="AE241" s="233">
        <f>IFERROR(VLOOKUP(F241,'DATA BASE'!A:I,9,FALSE),"")</f>
        <v/>
      </c>
      <c r="AF241" s="231" t="n"/>
      <c r="AG241" s="232">
        <f>IFERROR(VLOOKUP(F241,'DATA BASE'!A:I,6,FALSE),"")</f>
        <v/>
      </c>
      <c r="AH241" s="230" t="n"/>
      <c r="AI241" s="231" t="n"/>
      <c r="AJ241" s="234">
        <f>IFERROR(VLOOKUP(F241,'DATA BASE'!A:I,8,FALSE),"")</f>
        <v/>
      </c>
      <c r="AK241" s="235" t="n"/>
    </row>
    <row r="242" ht="15.5" customHeight="1" s="7">
      <c r="A242" s="242" t="n"/>
      <c r="B242" s="242" t="n"/>
      <c r="C242" s="242" t="n"/>
      <c r="D242" s="242" t="n"/>
      <c r="E242" s="242" t="n"/>
      <c r="F242" s="148" t="n"/>
      <c r="G242" s="228" t="n"/>
      <c r="H242" s="236" t="n"/>
      <c r="I242" s="122" t="n"/>
      <c r="J242" s="240" t="n"/>
      <c r="K242" s="240" t="n"/>
      <c r="L242" s="241" t="n"/>
      <c r="M242" s="122" t="n"/>
      <c r="N242" s="241" t="n"/>
      <c r="O242" s="122" t="n"/>
      <c r="P242" s="240" t="n"/>
      <c r="Q242" s="240" t="n"/>
      <c r="R242" s="240" t="n"/>
      <c r="S242" s="240" t="n"/>
      <c r="T242" s="241" t="n"/>
      <c r="U242" s="243" t="n"/>
      <c r="V242" s="229" t="n"/>
      <c r="W242" s="242" t="n"/>
      <c r="X242" s="242" t="n"/>
      <c r="Y242" s="185">
        <f>VLOOKUP(F241,'DATA BASE'!A:I,2,FALSE)</f>
        <v/>
      </c>
      <c r="Z242" s="230" t="n"/>
      <c r="AA242" s="231" t="n"/>
      <c r="AB242" s="232">
        <f>IFERROR(VLOOKUP(F241,'DATA BASE'!A:I,4,FALSE),"")</f>
        <v/>
      </c>
      <c r="AC242" s="230" t="n"/>
      <c r="AD242" s="231" t="n"/>
      <c r="AE242" s="232">
        <f>IFERROR(VLOOKUP(F241,'DATA BASE'!A:I,5,FALSE),"")</f>
        <v/>
      </c>
      <c r="AF242" s="231" t="n"/>
      <c r="AG242" s="232">
        <f>IFERROR(VLOOKUP(F241,'DATA BASE'!A:I,7,FALSE),"")</f>
        <v/>
      </c>
      <c r="AH242" s="230" t="n"/>
      <c r="AI242" s="231" t="n"/>
      <c r="AJ242" s="238" t="n"/>
      <c r="AK242" s="239" t="n"/>
    </row>
    <row r="243" ht="15.5" customHeight="1" s="7">
      <c r="A243" s="157" t="n">
        <v>118</v>
      </c>
      <c r="B243" s="158" t="n"/>
      <c r="C243" s="159" t="n"/>
      <c r="D243" s="159" t="n"/>
      <c r="E243" s="159" t="n"/>
      <c r="F243" s="148" t="n"/>
      <c r="G243" s="228" t="n"/>
      <c r="H243" s="236" t="n"/>
      <c r="I243" s="122" t="n"/>
      <c r="J243" s="240" t="n"/>
      <c r="K243" s="240" t="n"/>
      <c r="L243" s="241" t="n"/>
      <c r="M243" s="138" t="n"/>
      <c r="N243" s="241" t="n"/>
      <c r="O243" s="122" t="n"/>
      <c r="P243" s="240" t="n"/>
      <c r="Q243" s="240" t="n"/>
      <c r="R243" s="240" t="n"/>
      <c r="S243" s="240" t="n"/>
      <c r="T243" s="241" t="n"/>
      <c r="U243" s="146" t="n"/>
      <c r="V243" s="227" t="n"/>
      <c r="W243" s="159" t="n"/>
      <c r="X243" s="159" t="n"/>
      <c r="Y243" s="185" t="inlineStr">
        <is>
          <t>DAVID WILDNER</t>
        </is>
      </c>
      <c r="Z243" s="230" t="n"/>
      <c r="AA243" s="231" t="n"/>
      <c r="AB243" s="232">
        <f>IFERROR(VLOOKUP(F243,'DATA BASE'!A:I,3,FALSE),"")</f>
        <v/>
      </c>
      <c r="AC243" s="230" t="n"/>
      <c r="AD243" s="231" t="n"/>
      <c r="AE243" s="233">
        <f>IFERROR(VLOOKUP(F243,'DATA BASE'!A:I,9,FALSE),"")</f>
        <v/>
      </c>
      <c r="AF243" s="231" t="n"/>
      <c r="AG243" s="232">
        <f>IFERROR(VLOOKUP(F243,'DATA BASE'!A:I,6,FALSE),"")</f>
        <v/>
      </c>
      <c r="AH243" s="230" t="n"/>
      <c r="AI243" s="231" t="n"/>
      <c r="AJ243" s="234">
        <f>IFERROR(VLOOKUP(F243,'DATA BASE'!A:I,8,FALSE),"")</f>
        <v/>
      </c>
      <c r="AK243" s="235" t="n"/>
    </row>
    <row r="244" ht="15.5" customHeight="1" s="7">
      <c r="A244" s="242" t="n"/>
      <c r="B244" s="242" t="n"/>
      <c r="C244" s="242" t="n"/>
      <c r="D244" s="242" t="n"/>
      <c r="E244" s="242" t="n"/>
      <c r="F244" s="148" t="n"/>
      <c r="G244" s="228" t="n"/>
      <c r="H244" s="236" t="n"/>
      <c r="I244" s="122" t="n"/>
      <c r="J244" s="240" t="n"/>
      <c r="K244" s="240" t="n"/>
      <c r="L244" s="241" t="n"/>
      <c r="M244" s="122" t="n"/>
      <c r="N244" s="241" t="n"/>
      <c r="O244" s="122" t="n"/>
      <c r="P244" s="240" t="n"/>
      <c r="Q244" s="240" t="n"/>
      <c r="R244" s="240" t="n"/>
      <c r="S244" s="240" t="n"/>
      <c r="T244" s="241" t="n"/>
      <c r="U244" s="243" t="n"/>
      <c r="V244" s="229" t="n"/>
      <c r="W244" s="242" t="n"/>
      <c r="X244" s="242" t="n"/>
      <c r="Y244" s="185">
        <f>VLOOKUP(F243,'DATA BASE'!A:I,2,FALSE)</f>
        <v/>
      </c>
      <c r="Z244" s="230" t="n"/>
      <c r="AA244" s="231" t="n"/>
      <c r="AB244" s="232">
        <f>IFERROR(VLOOKUP(F243,'DATA BASE'!A:I,4,FALSE),"")</f>
        <v/>
      </c>
      <c r="AC244" s="230" t="n"/>
      <c r="AD244" s="231" t="n"/>
      <c r="AE244" s="232">
        <f>IFERROR(VLOOKUP(F243,'DATA BASE'!A:I,5,FALSE),"")</f>
        <v/>
      </c>
      <c r="AF244" s="231" t="n"/>
      <c r="AG244" s="232">
        <f>IFERROR(VLOOKUP(F243,'DATA BASE'!A:I,7,FALSE),"")</f>
        <v/>
      </c>
      <c r="AH244" s="230" t="n"/>
      <c r="AI244" s="231" t="n"/>
      <c r="AJ244" s="238" t="n"/>
      <c r="AK244" s="239" t="n"/>
    </row>
    <row r="245" ht="15.5" customHeight="1" s="7">
      <c r="A245" s="157" t="n">
        <v>119</v>
      </c>
      <c r="B245" s="158" t="n"/>
      <c r="C245" s="159" t="n"/>
      <c r="D245" s="159" t="n"/>
      <c r="E245" s="159" t="n"/>
      <c r="F245" s="148" t="n"/>
      <c r="G245" s="228" t="n"/>
      <c r="H245" s="236" t="n"/>
      <c r="I245" s="122" t="n"/>
      <c r="J245" s="240" t="n"/>
      <c r="K245" s="240" t="n"/>
      <c r="L245" s="241" t="n"/>
      <c r="M245" s="138" t="n"/>
      <c r="N245" s="241" t="n"/>
      <c r="O245" s="122" t="n"/>
      <c r="P245" s="240" t="n"/>
      <c r="Q245" s="240" t="n"/>
      <c r="R245" s="240" t="n"/>
      <c r="S245" s="240" t="n"/>
      <c r="T245" s="241" t="n"/>
      <c r="U245" s="146" t="n"/>
      <c r="V245" s="227" t="n"/>
      <c r="W245" s="159" t="n"/>
      <c r="X245" s="159" t="n"/>
      <c r="Y245" s="185" t="inlineStr">
        <is>
          <t>DAVID WILDNER</t>
        </is>
      </c>
      <c r="Z245" s="230" t="n"/>
      <c r="AA245" s="231" t="n"/>
      <c r="AB245" s="232">
        <f>IFERROR(VLOOKUP(F245,'DATA BASE'!A:I,3,FALSE),"")</f>
        <v/>
      </c>
      <c r="AC245" s="230" t="n"/>
      <c r="AD245" s="231" t="n"/>
      <c r="AE245" s="233">
        <f>IFERROR(VLOOKUP(F245,'DATA BASE'!A:I,9,FALSE),"")</f>
        <v/>
      </c>
      <c r="AF245" s="231" t="n"/>
      <c r="AG245" s="232">
        <f>IFERROR(VLOOKUP(F245,'DATA BASE'!A:I,6,FALSE),"")</f>
        <v/>
      </c>
      <c r="AH245" s="230" t="n"/>
      <c r="AI245" s="231" t="n"/>
      <c r="AJ245" s="234">
        <f>IFERROR(VLOOKUP(F245,'DATA BASE'!A:I,8,FALSE),"")</f>
        <v/>
      </c>
      <c r="AK245" s="235" t="n"/>
    </row>
    <row r="246" ht="15.5" customHeight="1" s="7">
      <c r="A246" s="242" t="n"/>
      <c r="B246" s="242" t="n"/>
      <c r="C246" s="242" t="n"/>
      <c r="D246" s="242" t="n"/>
      <c r="E246" s="242" t="n"/>
      <c r="F246" s="148" t="n"/>
      <c r="G246" s="228" t="n"/>
      <c r="H246" s="236" t="n"/>
      <c r="I246" s="122" t="n"/>
      <c r="J246" s="240" t="n"/>
      <c r="K246" s="240" t="n"/>
      <c r="L246" s="241" t="n"/>
      <c r="M246" s="122" t="n"/>
      <c r="N246" s="241" t="n"/>
      <c r="O246" s="122" t="n"/>
      <c r="P246" s="240" t="n"/>
      <c r="Q246" s="240" t="n"/>
      <c r="R246" s="240" t="n"/>
      <c r="S246" s="240" t="n"/>
      <c r="T246" s="241" t="n"/>
      <c r="U246" s="243" t="n"/>
      <c r="V246" s="229" t="n"/>
      <c r="W246" s="242" t="n"/>
      <c r="X246" s="242" t="n"/>
      <c r="Y246" s="185">
        <f>VLOOKUP(F245,'DATA BASE'!A:I,2,FALSE)</f>
        <v/>
      </c>
      <c r="Z246" s="230" t="n"/>
      <c r="AA246" s="231" t="n"/>
      <c r="AB246" s="232">
        <f>IFERROR(VLOOKUP(F245,'DATA BASE'!A:I,4,FALSE),"")</f>
        <v/>
      </c>
      <c r="AC246" s="230" t="n"/>
      <c r="AD246" s="231" t="n"/>
      <c r="AE246" s="232">
        <f>IFERROR(VLOOKUP(F245,'DATA BASE'!A:I,5,FALSE),"")</f>
        <v/>
      </c>
      <c r="AF246" s="231" t="n"/>
      <c r="AG246" s="232">
        <f>IFERROR(VLOOKUP(F245,'DATA BASE'!A:I,7,FALSE),"")</f>
        <v/>
      </c>
      <c r="AH246" s="230" t="n"/>
      <c r="AI246" s="231" t="n"/>
      <c r="AJ246" s="238" t="n"/>
      <c r="AK246" s="239" t="n"/>
    </row>
    <row r="247" ht="15.5" customHeight="1" s="7">
      <c r="A247" s="157" t="n">
        <v>120</v>
      </c>
      <c r="B247" s="158" t="n"/>
      <c r="C247" s="159" t="n"/>
      <c r="D247" s="159" t="n"/>
      <c r="E247" s="159" t="n"/>
      <c r="F247" s="148" t="n"/>
      <c r="G247" s="228" t="n"/>
      <c r="H247" s="236" t="n"/>
      <c r="I247" s="122" t="n"/>
      <c r="J247" s="240" t="n"/>
      <c r="K247" s="240" t="n"/>
      <c r="L247" s="241" t="n"/>
      <c r="M247" s="138" t="n"/>
      <c r="N247" s="241" t="n"/>
      <c r="O247" s="122" t="n"/>
      <c r="P247" s="240" t="n"/>
      <c r="Q247" s="240" t="n"/>
      <c r="R247" s="240" t="n"/>
      <c r="S247" s="240" t="n"/>
      <c r="T247" s="241" t="n"/>
      <c r="U247" s="146" t="n"/>
      <c r="V247" s="227" t="n"/>
      <c r="W247" s="159" t="n"/>
      <c r="X247" s="159" t="n"/>
      <c r="Y247" s="185" t="inlineStr">
        <is>
          <t>DAVID WILDNER</t>
        </is>
      </c>
      <c r="Z247" s="230" t="n"/>
      <c r="AA247" s="231" t="n"/>
      <c r="AB247" s="232">
        <f>IFERROR(VLOOKUP(F247,'DATA BASE'!A:I,3,FALSE),"")</f>
        <v/>
      </c>
      <c r="AC247" s="230" t="n"/>
      <c r="AD247" s="231" t="n"/>
      <c r="AE247" s="233">
        <f>IFERROR(VLOOKUP(F247,'DATA BASE'!A:I,9,FALSE),"")</f>
        <v/>
      </c>
      <c r="AF247" s="231" t="n"/>
      <c r="AG247" s="232">
        <f>IFERROR(VLOOKUP(F247,'DATA BASE'!A:I,6,FALSE),"")</f>
        <v/>
      </c>
      <c r="AH247" s="230" t="n"/>
      <c r="AI247" s="231" t="n"/>
      <c r="AJ247" s="234">
        <f>IFERROR(VLOOKUP(F247,'DATA BASE'!A:I,8,FALSE),"")</f>
        <v/>
      </c>
      <c r="AK247" s="235" t="n"/>
    </row>
    <row r="248" ht="15.5" customHeight="1" s="7">
      <c r="A248" s="242" t="n"/>
      <c r="B248" s="242" t="n"/>
      <c r="C248" s="242" t="n"/>
      <c r="D248" s="242" t="n"/>
      <c r="E248" s="242" t="n"/>
      <c r="F248" s="148" t="n"/>
      <c r="G248" s="228" t="n"/>
      <c r="H248" s="236" t="n"/>
      <c r="I248" s="122" t="n"/>
      <c r="J248" s="240" t="n"/>
      <c r="K248" s="240" t="n"/>
      <c r="L248" s="241" t="n"/>
      <c r="M248" s="122" t="n"/>
      <c r="N248" s="241" t="n"/>
      <c r="O248" s="122" t="n"/>
      <c r="P248" s="240" t="n"/>
      <c r="Q248" s="240" t="n"/>
      <c r="R248" s="240" t="n"/>
      <c r="S248" s="240" t="n"/>
      <c r="T248" s="241" t="n"/>
      <c r="U248" s="243" t="n"/>
      <c r="V248" s="229" t="n"/>
      <c r="W248" s="242" t="n"/>
      <c r="X248" s="242" t="n"/>
      <c r="Y248" s="185">
        <f>VLOOKUP(F247,'DATA BASE'!A:I,2,FALSE)</f>
        <v/>
      </c>
      <c r="Z248" s="230" t="n"/>
      <c r="AA248" s="231" t="n"/>
      <c r="AB248" s="232">
        <f>IFERROR(VLOOKUP(F247,'DATA BASE'!A:I,4,FALSE),"")</f>
        <v/>
      </c>
      <c r="AC248" s="230" t="n"/>
      <c r="AD248" s="231" t="n"/>
      <c r="AE248" s="232">
        <f>IFERROR(VLOOKUP(F247,'DATA BASE'!A:I,5,FALSE),"")</f>
        <v/>
      </c>
      <c r="AF248" s="231" t="n"/>
      <c r="AG248" s="232">
        <f>IFERROR(VLOOKUP(F247,'DATA BASE'!A:I,7,FALSE),"")</f>
        <v/>
      </c>
      <c r="AH248" s="230" t="n"/>
      <c r="AI248" s="231" t="n"/>
      <c r="AJ248" s="238" t="n"/>
      <c r="AK248" s="239" t="n"/>
    </row>
    <row r="249" ht="15.5" customHeight="1" s="7">
      <c r="A249" s="157" t="n">
        <v>125</v>
      </c>
      <c r="B249" s="158" t="n"/>
      <c r="C249" s="159" t="n"/>
      <c r="D249" s="159" t="n"/>
      <c r="E249" s="159" t="n"/>
      <c r="F249" s="148" t="n"/>
      <c r="G249" s="228" t="n"/>
      <c r="H249" s="236" t="n"/>
      <c r="I249" s="122" t="n"/>
      <c r="J249" s="240" t="n"/>
      <c r="K249" s="240" t="n"/>
      <c r="L249" s="241" t="n"/>
      <c r="M249" s="138" t="n"/>
      <c r="N249" s="241" t="n"/>
      <c r="O249" s="122" t="n"/>
      <c r="P249" s="240" t="n"/>
      <c r="Q249" s="240" t="n"/>
      <c r="R249" s="240" t="n"/>
      <c r="S249" s="240" t="n"/>
      <c r="T249" s="241" t="n"/>
      <c r="U249" s="146" t="n"/>
      <c r="V249" s="227" t="n"/>
      <c r="W249" s="159" t="n"/>
      <c r="X249" s="159" t="n"/>
      <c r="Y249" s="185" t="inlineStr">
        <is>
          <t>DAVID WILDNER</t>
        </is>
      </c>
      <c r="Z249" s="230" t="n"/>
      <c r="AA249" s="231" t="n"/>
      <c r="AB249" s="232">
        <f>IFERROR(VLOOKUP(F249,'DATA BASE'!A:I,3,FALSE),"")</f>
        <v/>
      </c>
      <c r="AC249" s="230" t="n"/>
      <c r="AD249" s="231" t="n"/>
      <c r="AE249" s="233">
        <f>IFERROR(VLOOKUP(F249,'DATA BASE'!A:I,9,FALSE),"")</f>
        <v/>
      </c>
      <c r="AF249" s="231" t="n"/>
      <c r="AG249" s="232">
        <f>IFERROR(VLOOKUP(F249,'DATA BASE'!A:I,6,FALSE),"")</f>
        <v/>
      </c>
      <c r="AH249" s="230" t="n"/>
      <c r="AI249" s="231" t="n"/>
      <c r="AJ249" s="234">
        <f>IFERROR(VLOOKUP(F249,'DATA BASE'!A:I,8,FALSE),"")</f>
        <v/>
      </c>
      <c r="AK249" s="235" t="n"/>
    </row>
    <row r="250" ht="15.5" customHeight="1" s="7">
      <c r="A250" s="242" t="n"/>
      <c r="B250" s="242" t="n"/>
      <c r="C250" s="242" t="n"/>
      <c r="D250" s="242" t="n"/>
      <c r="E250" s="242" t="n"/>
      <c r="F250" s="148" t="n"/>
      <c r="G250" s="228" t="n"/>
      <c r="H250" s="236" t="n"/>
      <c r="I250" s="122" t="n"/>
      <c r="J250" s="240" t="n"/>
      <c r="K250" s="240" t="n"/>
      <c r="L250" s="241" t="n"/>
      <c r="M250" s="122" t="n"/>
      <c r="N250" s="241" t="n"/>
      <c r="O250" s="122" t="n"/>
      <c r="P250" s="240" t="n"/>
      <c r="Q250" s="240" t="n"/>
      <c r="R250" s="240" t="n"/>
      <c r="S250" s="240" t="n"/>
      <c r="T250" s="241" t="n"/>
      <c r="U250" s="243" t="n"/>
      <c r="V250" s="229" t="n"/>
      <c r="W250" s="242" t="n"/>
      <c r="X250" s="242" t="n"/>
      <c r="Y250" s="185">
        <f>VLOOKUP(F249,'DATA BASE'!A:I,2,FALSE)</f>
        <v/>
      </c>
      <c r="Z250" s="230" t="n"/>
      <c r="AA250" s="231" t="n"/>
      <c r="AB250" s="232">
        <f>IFERROR(VLOOKUP(F249,'DATA BASE'!A:I,4,FALSE),"")</f>
        <v/>
      </c>
      <c r="AC250" s="230" t="n"/>
      <c r="AD250" s="231" t="n"/>
      <c r="AE250" s="232">
        <f>IFERROR(VLOOKUP(F249,'DATA BASE'!A:I,5,FALSE),"")</f>
        <v/>
      </c>
      <c r="AF250" s="231" t="n"/>
      <c r="AG250" s="232">
        <f>IFERROR(VLOOKUP(F249,'DATA BASE'!A:I,7,FALSE),"")</f>
        <v/>
      </c>
      <c r="AH250" s="230" t="n"/>
      <c r="AI250" s="231" t="n"/>
      <c r="AJ250" s="238" t="n"/>
      <c r="AK250" s="239" t="n"/>
    </row>
    <row r="251" ht="15.5" customHeight="1" s="7">
      <c r="A251" s="157" t="n">
        <v>126</v>
      </c>
      <c r="B251" s="158" t="n"/>
      <c r="C251" s="159" t="n"/>
      <c r="D251" s="159" t="n"/>
      <c r="E251" s="159" t="n"/>
      <c r="F251" s="148" t="n"/>
      <c r="G251" s="228" t="n"/>
      <c r="H251" s="236" t="n"/>
      <c r="I251" s="122" t="n"/>
      <c r="J251" s="240" t="n"/>
      <c r="K251" s="240" t="n"/>
      <c r="L251" s="241" t="n"/>
      <c r="M251" s="138" t="n"/>
      <c r="N251" s="241" t="n"/>
      <c r="O251" s="122" t="n"/>
      <c r="P251" s="240" t="n"/>
      <c r="Q251" s="240" t="n"/>
      <c r="R251" s="240" t="n"/>
      <c r="S251" s="240" t="n"/>
      <c r="T251" s="241" t="n"/>
      <c r="U251" s="146" t="n"/>
      <c r="V251" s="227" t="n"/>
      <c r="W251" s="159" t="n"/>
      <c r="X251" s="159" t="n"/>
      <c r="Y251" s="185" t="inlineStr">
        <is>
          <t>DAVID WILDNER</t>
        </is>
      </c>
      <c r="Z251" s="230" t="n"/>
      <c r="AA251" s="231" t="n"/>
      <c r="AB251" s="232">
        <f>IFERROR(VLOOKUP(F251,'DATA BASE'!A:I,3,FALSE),"")</f>
        <v/>
      </c>
      <c r="AC251" s="230" t="n"/>
      <c r="AD251" s="231" t="n"/>
      <c r="AE251" s="233">
        <f>IFERROR(VLOOKUP(F251,'DATA BASE'!A:I,9,FALSE),"")</f>
        <v/>
      </c>
      <c r="AF251" s="231" t="n"/>
      <c r="AG251" s="232">
        <f>IFERROR(VLOOKUP(F251,'DATA BASE'!A:I,6,FALSE),"")</f>
        <v/>
      </c>
      <c r="AH251" s="230" t="n"/>
      <c r="AI251" s="231" t="n"/>
      <c r="AJ251" s="234">
        <f>IFERROR(VLOOKUP(F251,'DATA BASE'!A:I,8,FALSE),"")</f>
        <v/>
      </c>
      <c r="AK251" s="235" t="n"/>
    </row>
    <row r="252" ht="15.5" customHeight="1" s="7">
      <c r="A252" s="242" t="n"/>
      <c r="B252" s="242" t="n"/>
      <c r="C252" s="242" t="n"/>
      <c r="D252" s="242" t="n"/>
      <c r="E252" s="242" t="n"/>
      <c r="F252" s="148" t="n"/>
      <c r="G252" s="228" t="n"/>
      <c r="H252" s="236" t="n"/>
      <c r="I252" s="122" t="n"/>
      <c r="J252" s="240" t="n"/>
      <c r="K252" s="240" t="n"/>
      <c r="L252" s="241" t="n"/>
      <c r="M252" s="122" t="n"/>
      <c r="N252" s="241" t="n"/>
      <c r="O252" s="122" t="n"/>
      <c r="P252" s="240" t="n"/>
      <c r="Q252" s="240" t="n"/>
      <c r="R252" s="240" t="n"/>
      <c r="S252" s="240" t="n"/>
      <c r="T252" s="241" t="n"/>
      <c r="U252" s="243" t="n"/>
      <c r="V252" s="229" t="n"/>
      <c r="W252" s="242" t="n"/>
      <c r="X252" s="242" t="n"/>
      <c r="Y252" s="185">
        <f>VLOOKUP(F251,'DATA BASE'!A:I,2,FALSE)</f>
        <v/>
      </c>
      <c r="Z252" s="230" t="n"/>
      <c r="AA252" s="231" t="n"/>
      <c r="AB252" s="232">
        <f>IFERROR(VLOOKUP(F251,'DATA BASE'!A:I,4,FALSE),"")</f>
        <v/>
      </c>
      <c r="AC252" s="230" t="n"/>
      <c r="AD252" s="231" t="n"/>
      <c r="AE252" s="232">
        <f>IFERROR(VLOOKUP(F251,'DATA BASE'!A:I,5,FALSE),"")</f>
        <v/>
      </c>
      <c r="AF252" s="231" t="n"/>
      <c r="AG252" s="232">
        <f>IFERROR(VLOOKUP(F251,'DATA BASE'!A:I,7,FALSE),"")</f>
        <v/>
      </c>
      <c r="AH252" s="230" t="n"/>
      <c r="AI252" s="231" t="n"/>
      <c r="AJ252" s="238" t="n"/>
      <c r="AK252" s="239" t="n"/>
    </row>
    <row r="253" ht="15.5" customHeight="1" s="7">
      <c r="A253" s="157" t="n">
        <v>127</v>
      </c>
      <c r="B253" s="158" t="n"/>
      <c r="C253" s="159" t="n"/>
      <c r="D253" s="159" t="n"/>
      <c r="E253" s="159" t="n"/>
      <c r="F253" s="148" t="n"/>
      <c r="G253" s="228" t="n"/>
      <c r="H253" s="236" t="n"/>
      <c r="I253" s="122" t="n"/>
      <c r="J253" s="240" t="n"/>
      <c r="K253" s="240" t="n"/>
      <c r="L253" s="241" t="n"/>
      <c r="M253" s="138" t="n"/>
      <c r="N253" s="241" t="n"/>
      <c r="O253" s="122" t="n"/>
      <c r="P253" s="240" t="n"/>
      <c r="Q253" s="240" t="n"/>
      <c r="R253" s="240" t="n"/>
      <c r="S253" s="240" t="n"/>
      <c r="T253" s="241" t="n"/>
      <c r="U253" s="146" t="n"/>
      <c r="V253" s="227" t="n"/>
      <c r="W253" s="159" t="n"/>
      <c r="X253" s="159" t="n"/>
      <c r="Y253" s="185" t="inlineStr">
        <is>
          <t>DAVID WILDNER</t>
        </is>
      </c>
      <c r="Z253" s="230" t="n"/>
      <c r="AA253" s="231" t="n"/>
      <c r="AB253" s="232">
        <f>IFERROR(VLOOKUP(F253,'DATA BASE'!A:I,3,FALSE),"")</f>
        <v/>
      </c>
      <c r="AC253" s="230" t="n"/>
      <c r="AD253" s="231" t="n"/>
      <c r="AE253" s="233">
        <f>IFERROR(VLOOKUP(F253,'DATA BASE'!A:I,9,FALSE),"")</f>
        <v/>
      </c>
      <c r="AF253" s="231" t="n"/>
      <c r="AG253" s="232">
        <f>IFERROR(VLOOKUP(F253,'DATA BASE'!A:I,6,FALSE),"")</f>
        <v/>
      </c>
      <c r="AH253" s="230" t="n"/>
      <c r="AI253" s="231" t="n"/>
      <c r="AJ253" s="234">
        <f>IFERROR(VLOOKUP(F253,'DATA BASE'!A:I,8,FALSE),"")</f>
        <v/>
      </c>
      <c r="AK253" s="235" t="n"/>
    </row>
    <row r="254" ht="15.5" customHeight="1" s="7">
      <c r="A254" s="242" t="n"/>
      <c r="B254" s="242" t="n"/>
      <c r="C254" s="242" t="n"/>
      <c r="D254" s="242" t="n"/>
      <c r="E254" s="242" t="n"/>
      <c r="F254" s="148" t="n"/>
      <c r="G254" s="228" t="n"/>
      <c r="H254" s="236" t="n"/>
      <c r="I254" s="122" t="n"/>
      <c r="J254" s="240" t="n"/>
      <c r="K254" s="240" t="n"/>
      <c r="L254" s="241" t="n"/>
      <c r="M254" s="122" t="n"/>
      <c r="N254" s="241" t="n"/>
      <c r="O254" s="122" t="n"/>
      <c r="P254" s="240" t="n"/>
      <c r="Q254" s="240" t="n"/>
      <c r="R254" s="240" t="n"/>
      <c r="S254" s="240" t="n"/>
      <c r="T254" s="241" t="n"/>
      <c r="U254" s="243" t="n"/>
      <c r="V254" s="229" t="n"/>
      <c r="W254" s="242" t="n"/>
      <c r="X254" s="242" t="n"/>
      <c r="Y254" s="185">
        <f>VLOOKUP(F253,'DATA BASE'!A:I,2,FALSE)</f>
        <v/>
      </c>
      <c r="Z254" s="230" t="n"/>
      <c r="AA254" s="231" t="n"/>
      <c r="AB254" s="232">
        <f>IFERROR(VLOOKUP(F253,'DATA BASE'!A:I,4,FALSE),"")</f>
        <v/>
      </c>
      <c r="AC254" s="230" t="n"/>
      <c r="AD254" s="231" t="n"/>
      <c r="AE254" s="232">
        <f>IFERROR(VLOOKUP(F253,'DATA BASE'!A:I,5,FALSE),"")</f>
        <v/>
      </c>
      <c r="AF254" s="231" t="n"/>
      <c r="AG254" s="232">
        <f>IFERROR(VLOOKUP(F253,'DATA BASE'!A:I,7,FALSE),"")</f>
        <v/>
      </c>
      <c r="AH254" s="230" t="n"/>
      <c r="AI254" s="231" t="n"/>
      <c r="AJ254" s="238" t="n"/>
      <c r="AK254" s="239" t="n"/>
    </row>
    <row r="255" ht="15.5" customHeight="1" s="7">
      <c r="A255" s="157" t="n">
        <v>128</v>
      </c>
      <c r="B255" s="158" t="n"/>
      <c r="C255" s="159" t="n"/>
      <c r="D255" s="159" t="n"/>
      <c r="E255" s="159" t="n"/>
      <c r="F255" s="148" t="n"/>
      <c r="G255" s="228" t="n"/>
      <c r="H255" s="236" t="n"/>
      <c r="I255" s="122" t="n"/>
      <c r="J255" s="240" t="n"/>
      <c r="K255" s="240" t="n"/>
      <c r="L255" s="241" t="n"/>
      <c r="M255" s="138" t="n"/>
      <c r="N255" s="241" t="n"/>
      <c r="O255" s="122" t="n"/>
      <c r="P255" s="240" t="n"/>
      <c r="Q255" s="240" t="n"/>
      <c r="R255" s="240" t="n"/>
      <c r="S255" s="240" t="n"/>
      <c r="T255" s="241" t="n"/>
      <c r="U255" s="146" t="n"/>
      <c r="V255" s="227" t="n"/>
      <c r="W255" s="159" t="n"/>
      <c r="X255" s="159" t="n"/>
      <c r="Y255" s="185" t="inlineStr">
        <is>
          <t>DAVID WILDNER</t>
        </is>
      </c>
      <c r="Z255" s="230" t="n"/>
      <c r="AA255" s="231" t="n"/>
      <c r="AB255" s="232">
        <f>IFERROR(VLOOKUP(F255,'DATA BASE'!A:I,3,FALSE),"")</f>
        <v/>
      </c>
      <c r="AC255" s="230" t="n"/>
      <c r="AD255" s="231" t="n"/>
      <c r="AE255" s="233">
        <f>IFERROR(VLOOKUP(F255,'DATA BASE'!A:I,9,FALSE),"")</f>
        <v/>
      </c>
      <c r="AF255" s="231" t="n"/>
      <c r="AG255" s="232">
        <f>IFERROR(VLOOKUP(F255,'DATA BASE'!A:I,6,FALSE),"")</f>
        <v/>
      </c>
      <c r="AH255" s="230" t="n"/>
      <c r="AI255" s="231" t="n"/>
      <c r="AJ255" s="234">
        <f>IFERROR(VLOOKUP(F255,'DATA BASE'!A:I,8,FALSE),"")</f>
        <v/>
      </c>
      <c r="AK255" s="235" t="n"/>
    </row>
    <row r="256" ht="15.5" customHeight="1" s="7">
      <c r="A256" s="242" t="n"/>
      <c r="B256" s="242" t="n"/>
      <c r="C256" s="242" t="n"/>
      <c r="D256" s="242" t="n"/>
      <c r="E256" s="242" t="n"/>
      <c r="F256" s="148" t="n"/>
      <c r="G256" s="228" t="n"/>
      <c r="H256" s="236" t="n"/>
      <c r="I256" s="122" t="n"/>
      <c r="J256" s="240" t="n"/>
      <c r="K256" s="240" t="n"/>
      <c r="L256" s="241" t="n"/>
      <c r="M256" s="122" t="n"/>
      <c r="N256" s="241" t="n"/>
      <c r="O256" s="122" t="n"/>
      <c r="P256" s="240" t="n"/>
      <c r="Q256" s="240" t="n"/>
      <c r="R256" s="240" t="n"/>
      <c r="S256" s="240" t="n"/>
      <c r="T256" s="241" t="n"/>
      <c r="U256" s="243" t="n"/>
      <c r="V256" s="229" t="n"/>
      <c r="W256" s="242" t="n"/>
      <c r="X256" s="242" t="n"/>
      <c r="Y256" s="185">
        <f>VLOOKUP(F255,'DATA BASE'!A:I,2,FALSE)</f>
        <v/>
      </c>
      <c r="Z256" s="230" t="n"/>
      <c r="AA256" s="231" t="n"/>
      <c r="AB256" s="232">
        <f>IFERROR(VLOOKUP(F255,'DATA BASE'!A:I,4,FALSE),"")</f>
        <v/>
      </c>
      <c r="AC256" s="230" t="n"/>
      <c r="AD256" s="231" t="n"/>
      <c r="AE256" s="232">
        <f>IFERROR(VLOOKUP(F255,'DATA BASE'!A:I,5,FALSE),"")</f>
        <v/>
      </c>
      <c r="AF256" s="231" t="n"/>
      <c r="AG256" s="232">
        <f>IFERROR(VLOOKUP(F255,'DATA BASE'!A:I,7,FALSE),"")</f>
        <v/>
      </c>
      <c r="AH256" s="230" t="n"/>
      <c r="AI256" s="231" t="n"/>
      <c r="AJ256" s="238" t="n"/>
      <c r="AK256" s="239" t="n"/>
    </row>
    <row r="257" ht="15.5" customHeight="1" s="7">
      <c r="A257" s="157" t="n">
        <v>129</v>
      </c>
      <c r="B257" s="158" t="n"/>
      <c r="C257" s="159" t="n"/>
      <c r="D257" s="159" t="n"/>
      <c r="E257" s="159" t="n"/>
      <c r="F257" s="148" t="n"/>
      <c r="G257" s="228" t="n"/>
      <c r="H257" s="236" t="n"/>
      <c r="I257" s="122" t="n"/>
      <c r="J257" s="240" t="n"/>
      <c r="K257" s="240" t="n"/>
      <c r="L257" s="241" t="n"/>
      <c r="M257" s="138" t="n"/>
      <c r="N257" s="241" t="n"/>
      <c r="O257" s="122" t="n"/>
      <c r="P257" s="240" t="n"/>
      <c r="Q257" s="240" t="n"/>
      <c r="R257" s="240" t="n"/>
      <c r="S257" s="240" t="n"/>
      <c r="T257" s="241" t="n"/>
      <c r="U257" s="146" t="n"/>
      <c r="V257" s="227" t="n"/>
      <c r="W257" s="159" t="n"/>
      <c r="X257" s="159" t="n"/>
      <c r="Y257" s="185" t="inlineStr">
        <is>
          <t>DAVID WILDNER</t>
        </is>
      </c>
      <c r="Z257" s="230" t="n"/>
      <c r="AA257" s="231" t="n"/>
      <c r="AB257" s="232">
        <f>IFERROR(VLOOKUP(F257,'DATA BASE'!A:I,3,FALSE),"")</f>
        <v/>
      </c>
      <c r="AC257" s="230" t="n"/>
      <c r="AD257" s="231" t="n"/>
      <c r="AE257" s="233">
        <f>IFERROR(VLOOKUP(F257,'DATA BASE'!A:I,9,FALSE),"")</f>
        <v/>
      </c>
      <c r="AF257" s="231" t="n"/>
      <c r="AG257" s="232">
        <f>IFERROR(VLOOKUP(F257,'DATA BASE'!A:I,6,FALSE),"")</f>
        <v/>
      </c>
      <c r="AH257" s="230" t="n"/>
      <c r="AI257" s="231" t="n"/>
      <c r="AJ257" s="234">
        <f>IFERROR(VLOOKUP(F257,'DATA BASE'!A:I,8,FALSE),"")</f>
        <v/>
      </c>
      <c r="AK257" s="235" t="n"/>
    </row>
    <row r="258" ht="15.5" customHeight="1" s="7">
      <c r="A258" s="242" t="n"/>
      <c r="B258" s="242" t="n"/>
      <c r="C258" s="242" t="n"/>
      <c r="D258" s="242" t="n"/>
      <c r="E258" s="242" t="n"/>
      <c r="F258" s="148" t="n"/>
      <c r="G258" s="228" t="n"/>
      <c r="H258" s="236" t="n"/>
      <c r="I258" s="122" t="n"/>
      <c r="J258" s="240" t="n"/>
      <c r="K258" s="240" t="n"/>
      <c r="L258" s="241" t="n"/>
      <c r="M258" s="122" t="n"/>
      <c r="N258" s="241" t="n"/>
      <c r="O258" s="122" t="n"/>
      <c r="P258" s="240" t="n"/>
      <c r="Q258" s="240" t="n"/>
      <c r="R258" s="240" t="n"/>
      <c r="S258" s="240" t="n"/>
      <c r="T258" s="241" t="n"/>
      <c r="U258" s="243" t="n"/>
      <c r="V258" s="229" t="n"/>
      <c r="W258" s="242" t="n"/>
      <c r="X258" s="242" t="n"/>
      <c r="Y258" s="185">
        <f>VLOOKUP(F257,'DATA BASE'!A:I,2,FALSE)</f>
        <v/>
      </c>
      <c r="Z258" s="230" t="n"/>
      <c r="AA258" s="231" t="n"/>
      <c r="AB258" s="232">
        <f>IFERROR(VLOOKUP(F257,'DATA BASE'!A:I,4,FALSE),"")</f>
        <v/>
      </c>
      <c r="AC258" s="230" t="n"/>
      <c r="AD258" s="231" t="n"/>
      <c r="AE258" s="232">
        <f>IFERROR(VLOOKUP(F257,'DATA BASE'!A:I,5,FALSE),"")</f>
        <v/>
      </c>
      <c r="AF258" s="231" t="n"/>
      <c r="AG258" s="232">
        <f>IFERROR(VLOOKUP(F257,'DATA BASE'!A:I,7,FALSE),"")</f>
        <v/>
      </c>
      <c r="AH258" s="230" t="n"/>
      <c r="AI258" s="231" t="n"/>
      <c r="AJ258" s="238" t="n"/>
      <c r="AK258" s="239" t="n"/>
    </row>
    <row r="259" ht="15.5" customHeight="1" s="7">
      <c r="A259" s="157" t="n">
        <v>130</v>
      </c>
      <c r="B259" s="158" t="n"/>
      <c r="C259" s="159" t="n"/>
      <c r="D259" s="159" t="n"/>
      <c r="E259" s="159" t="n"/>
      <c r="F259" s="148" t="n"/>
      <c r="G259" s="228" t="n"/>
      <c r="H259" s="236" t="n"/>
      <c r="I259" s="122" t="n"/>
      <c r="J259" s="240" t="n"/>
      <c r="K259" s="240" t="n"/>
      <c r="L259" s="241" t="n"/>
      <c r="M259" s="138" t="n"/>
      <c r="N259" s="241" t="n"/>
      <c r="O259" s="122" t="n"/>
      <c r="P259" s="240" t="n"/>
      <c r="Q259" s="240" t="n"/>
      <c r="R259" s="240" t="n"/>
      <c r="S259" s="240" t="n"/>
      <c r="T259" s="241" t="n"/>
      <c r="U259" s="146" t="n"/>
      <c r="V259" s="227" t="n"/>
      <c r="W259" s="159" t="n"/>
      <c r="X259" s="159" t="n"/>
      <c r="Y259" s="185" t="inlineStr">
        <is>
          <t>DAVID WILDNER</t>
        </is>
      </c>
      <c r="Z259" s="230" t="n"/>
      <c r="AA259" s="231" t="n"/>
      <c r="AB259" s="232">
        <f>IFERROR(VLOOKUP(F259,'DATA BASE'!A:I,3,FALSE),"")</f>
        <v/>
      </c>
      <c r="AC259" s="230" t="n"/>
      <c r="AD259" s="231" t="n"/>
      <c r="AE259" s="233">
        <f>IFERROR(VLOOKUP(F259,'DATA BASE'!A:I,9,FALSE),"")</f>
        <v/>
      </c>
      <c r="AF259" s="231" t="n"/>
      <c r="AG259" s="232">
        <f>IFERROR(VLOOKUP(F259,'DATA BASE'!A:I,6,FALSE),"")</f>
        <v/>
      </c>
      <c r="AH259" s="230" t="n"/>
      <c r="AI259" s="231" t="n"/>
      <c r="AJ259" s="234">
        <f>IFERROR(VLOOKUP(F259,'DATA BASE'!A:I,8,FALSE),"")</f>
        <v/>
      </c>
      <c r="AK259" s="235" t="n"/>
    </row>
    <row r="260" ht="15.5" customHeight="1" s="7">
      <c r="A260" s="242" t="n"/>
      <c r="B260" s="242" t="n"/>
      <c r="C260" s="242" t="n"/>
      <c r="D260" s="242" t="n"/>
      <c r="E260" s="242" t="n"/>
      <c r="F260" s="148" t="n"/>
      <c r="G260" s="228" t="n"/>
      <c r="H260" s="236" t="n"/>
      <c r="I260" s="122" t="n"/>
      <c r="J260" s="240" t="n"/>
      <c r="K260" s="240" t="n"/>
      <c r="L260" s="241" t="n"/>
      <c r="M260" s="122" t="n"/>
      <c r="N260" s="241" t="n"/>
      <c r="O260" s="122" t="n"/>
      <c r="P260" s="240" t="n"/>
      <c r="Q260" s="240" t="n"/>
      <c r="R260" s="240" t="n"/>
      <c r="S260" s="240" t="n"/>
      <c r="T260" s="241" t="n"/>
      <c r="U260" s="243" t="n"/>
      <c r="V260" s="229" t="n"/>
      <c r="W260" s="242" t="n"/>
      <c r="X260" s="242" t="n"/>
      <c r="Y260" s="185">
        <f>VLOOKUP(F259,'DATA BASE'!A:I,2,FALSE)</f>
        <v/>
      </c>
      <c r="Z260" s="230" t="n"/>
      <c r="AA260" s="231" t="n"/>
      <c r="AB260" s="232">
        <f>IFERROR(VLOOKUP(F259,'DATA BASE'!A:I,4,FALSE),"")</f>
        <v/>
      </c>
      <c r="AC260" s="230" t="n"/>
      <c r="AD260" s="231" t="n"/>
      <c r="AE260" s="232">
        <f>IFERROR(VLOOKUP(F259,'DATA BASE'!A:I,5,FALSE),"")</f>
        <v/>
      </c>
      <c r="AF260" s="231" t="n"/>
      <c r="AG260" s="232">
        <f>IFERROR(VLOOKUP(F259,'DATA BASE'!A:I,7,FALSE),"")</f>
        <v/>
      </c>
      <c r="AH260" s="230" t="n"/>
      <c r="AI260" s="231" t="n"/>
      <c r="AJ260" s="238" t="n"/>
      <c r="AK260" s="239" t="n"/>
    </row>
    <row r="261" ht="15.5" customHeight="1" s="7">
      <c r="A261" s="157" t="n"/>
      <c r="B261" s="158" t="n"/>
      <c r="C261" s="159" t="n"/>
      <c r="D261" s="159" t="n"/>
      <c r="E261" s="159" t="n"/>
      <c r="F261" s="148" t="n"/>
      <c r="G261" s="228" t="n"/>
      <c r="H261" s="236" t="n"/>
      <c r="I261" s="122" t="n"/>
      <c r="J261" s="240" t="n"/>
      <c r="K261" s="240" t="n"/>
      <c r="L261" s="241" t="n"/>
      <c r="M261" s="138" t="n"/>
      <c r="N261" s="241" t="n"/>
      <c r="O261" s="122" t="n"/>
      <c r="P261" s="240" t="n"/>
      <c r="Q261" s="240" t="n"/>
      <c r="R261" s="240" t="n"/>
      <c r="S261" s="240" t="n"/>
      <c r="T261" s="241" t="n"/>
      <c r="U261" s="146" t="n"/>
      <c r="V261" s="227" t="n"/>
      <c r="W261" s="159" t="n"/>
      <c r="X261" s="159" t="n"/>
      <c r="Y261" s="185" t="inlineStr">
        <is>
          <t>DAVID WILDNER</t>
        </is>
      </c>
      <c r="Z261" s="230" t="n"/>
      <c r="AA261" s="231" t="n"/>
      <c r="AB261" s="232">
        <f>IFERROR(VLOOKUP(F261,'DATA BASE'!A:I,3,FALSE),"")</f>
        <v/>
      </c>
      <c r="AC261" s="230" t="n"/>
      <c r="AD261" s="231" t="n"/>
      <c r="AE261" s="233">
        <f>IFERROR(VLOOKUP(F261,'DATA BASE'!A:I,9,FALSE),"")</f>
        <v/>
      </c>
      <c r="AF261" s="231" t="n"/>
      <c r="AG261" s="232">
        <f>IFERROR(VLOOKUP(F261,'DATA BASE'!A:I,6,FALSE),"")</f>
        <v/>
      </c>
      <c r="AH261" s="230" t="n"/>
      <c r="AI261" s="231" t="n"/>
      <c r="AJ261" s="234">
        <f>IFERROR(VLOOKUP(F261,'DATA BASE'!A:I,8,FALSE),"")</f>
        <v/>
      </c>
      <c r="AK261" s="235" t="n"/>
    </row>
    <row r="262" ht="15.5" customHeight="1" s="7">
      <c r="A262" s="242" t="n"/>
      <c r="B262" s="242" t="n"/>
      <c r="C262" s="242" t="n"/>
      <c r="D262" s="242" t="n"/>
      <c r="E262" s="242" t="n"/>
      <c r="F262" s="148" t="n"/>
      <c r="G262" s="228" t="n"/>
      <c r="H262" s="236" t="n"/>
      <c r="I262" s="122" t="n"/>
      <c r="J262" s="240" t="n"/>
      <c r="K262" s="240" t="n"/>
      <c r="L262" s="241" t="n"/>
      <c r="M262" s="122" t="n"/>
      <c r="N262" s="241" t="n"/>
      <c r="O262" s="122" t="n"/>
      <c r="P262" s="240" t="n"/>
      <c r="Q262" s="240" t="n"/>
      <c r="R262" s="240" t="n"/>
      <c r="S262" s="240" t="n"/>
      <c r="T262" s="241" t="n"/>
      <c r="U262" s="243" t="n"/>
      <c r="V262" s="229" t="n"/>
      <c r="W262" s="242" t="n"/>
      <c r="X262" s="242" t="n"/>
      <c r="Y262" s="185">
        <f>VLOOKUP(F261,'DATA BASE'!A:I,2,FALSE)</f>
        <v/>
      </c>
      <c r="Z262" s="230" t="n"/>
      <c r="AA262" s="231" t="n"/>
      <c r="AB262" s="232">
        <f>IFERROR(VLOOKUP(F261,'DATA BASE'!A:I,4,FALSE),"")</f>
        <v/>
      </c>
      <c r="AC262" s="230" t="n"/>
      <c r="AD262" s="231" t="n"/>
      <c r="AE262" s="232">
        <f>IFERROR(VLOOKUP(F261,'DATA BASE'!A:I,5,FALSE),"")</f>
        <v/>
      </c>
      <c r="AF262" s="231" t="n"/>
      <c r="AG262" s="232">
        <f>IFERROR(VLOOKUP(F261,'DATA BASE'!A:I,7,FALSE),"")</f>
        <v/>
      </c>
      <c r="AH262" s="230" t="n"/>
      <c r="AI262" s="231" t="n"/>
      <c r="AJ262" s="238" t="n"/>
      <c r="AK262" s="239" t="n"/>
    </row>
    <row r="263" ht="15.5" customHeight="1" s="7">
      <c r="A263" s="157" t="n"/>
      <c r="B263" s="158" t="n"/>
      <c r="C263" s="159" t="n"/>
      <c r="D263" s="159" t="n"/>
      <c r="E263" s="159" t="n"/>
      <c r="F263" s="148" t="n"/>
      <c r="G263" s="228" t="n"/>
      <c r="H263" s="236" t="n"/>
      <c r="I263" s="122" t="n"/>
      <c r="J263" s="240" t="n"/>
      <c r="K263" s="240" t="n"/>
      <c r="L263" s="241" t="n"/>
      <c r="M263" s="138" t="n"/>
      <c r="N263" s="241" t="n"/>
      <c r="O263" s="122" t="n"/>
      <c r="P263" s="240" t="n"/>
      <c r="Q263" s="240" t="n"/>
      <c r="R263" s="240" t="n"/>
      <c r="S263" s="240" t="n"/>
      <c r="T263" s="241" t="n"/>
      <c r="U263" s="146" t="n"/>
      <c r="V263" s="227" t="n"/>
      <c r="W263" s="159" t="n"/>
      <c r="X263" s="159" t="n"/>
      <c r="Y263" s="185" t="inlineStr">
        <is>
          <t>DAVID WILDNER</t>
        </is>
      </c>
      <c r="Z263" s="230" t="n"/>
      <c r="AA263" s="231" t="n"/>
      <c r="AB263" s="232">
        <f>IFERROR(VLOOKUP(F263,'DATA BASE'!A:I,3,FALSE),"")</f>
        <v/>
      </c>
      <c r="AC263" s="230" t="n"/>
      <c r="AD263" s="231" t="n"/>
      <c r="AE263" s="233">
        <f>IFERROR(VLOOKUP(F263,'DATA BASE'!A:I,9,FALSE),"")</f>
        <v/>
      </c>
      <c r="AF263" s="231" t="n"/>
      <c r="AG263" s="232">
        <f>IFERROR(VLOOKUP(F263,'DATA BASE'!A:I,6,FALSE),"")</f>
        <v/>
      </c>
      <c r="AH263" s="230" t="n"/>
      <c r="AI263" s="231" t="n"/>
      <c r="AJ263" s="234">
        <f>IFERROR(VLOOKUP(F263,'DATA BASE'!A:I,8,FALSE),"")</f>
        <v/>
      </c>
      <c r="AK263" s="235" t="n"/>
    </row>
    <row r="264" ht="15.5" customHeight="1" s="7">
      <c r="A264" s="242" t="n"/>
      <c r="B264" s="242" t="n"/>
      <c r="C264" s="242" t="n"/>
      <c r="D264" s="242" t="n"/>
      <c r="E264" s="242" t="n"/>
      <c r="F264" s="148" t="n"/>
      <c r="G264" s="228" t="n"/>
      <c r="H264" s="236" t="n"/>
      <c r="I264" s="122" t="n"/>
      <c r="J264" s="240" t="n"/>
      <c r="K264" s="240" t="n"/>
      <c r="L264" s="241" t="n"/>
      <c r="M264" s="122" t="n"/>
      <c r="N264" s="241" t="n"/>
      <c r="O264" s="122" t="n"/>
      <c r="P264" s="240" t="n"/>
      <c r="Q264" s="240" t="n"/>
      <c r="R264" s="240" t="n"/>
      <c r="S264" s="240" t="n"/>
      <c r="T264" s="241" t="n"/>
      <c r="U264" s="243" t="n"/>
      <c r="V264" s="229" t="n"/>
      <c r="W264" s="242" t="n"/>
      <c r="X264" s="242" t="n"/>
      <c r="Y264" s="185">
        <f>VLOOKUP(F263,'DATA BASE'!A:I,2,FALSE)</f>
        <v/>
      </c>
      <c r="Z264" s="230" t="n"/>
      <c r="AA264" s="231" t="n"/>
      <c r="AB264" s="232">
        <f>IFERROR(VLOOKUP(F263,'DATA BASE'!A:I,4,FALSE),"")</f>
        <v/>
      </c>
      <c r="AC264" s="230" t="n"/>
      <c r="AD264" s="231" t="n"/>
      <c r="AE264" s="232">
        <f>IFERROR(VLOOKUP(F263,'DATA BASE'!A:I,5,FALSE),"")</f>
        <v/>
      </c>
      <c r="AF264" s="231" t="n"/>
      <c r="AG264" s="232">
        <f>IFERROR(VLOOKUP(F263,'DATA BASE'!A:I,7,FALSE),"")</f>
        <v/>
      </c>
      <c r="AH264" s="230" t="n"/>
      <c r="AI264" s="231" t="n"/>
      <c r="AJ264" s="238" t="n"/>
      <c r="AK264" s="239" t="n"/>
    </row>
    <row r="265" ht="15.5" customHeight="1" s="7">
      <c r="A265" s="157" t="n"/>
      <c r="B265" s="158" t="n"/>
      <c r="C265" s="159" t="n"/>
      <c r="D265" s="159" t="n"/>
      <c r="E265" s="159" t="n"/>
      <c r="F265" s="148" t="n"/>
      <c r="G265" s="228" t="n"/>
      <c r="H265" s="236" t="n"/>
      <c r="I265" s="122" t="n"/>
      <c r="J265" s="240" t="n"/>
      <c r="K265" s="240" t="n"/>
      <c r="L265" s="241" t="n"/>
      <c r="M265" s="138" t="n"/>
      <c r="N265" s="241" t="n"/>
      <c r="O265" s="122" t="n"/>
      <c r="P265" s="240" t="n"/>
      <c r="Q265" s="240" t="n"/>
      <c r="R265" s="240" t="n"/>
      <c r="S265" s="240" t="n"/>
      <c r="T265" s="241" t="n"/>
      <c r="U265" s="146" t="n"/>
      <c r="V265" s="227" t="n"/>
      <c r="W265" s="159" t="n"/>
      <c r="X265" s="159" t="n"/>
      <c r="Y265" s="185" t="inlineStr">
        <is>
          <t>DAVID WILDNER</t>
        </is>
      </c>
      <c r="Z265" s="230" t="n"/>
      <c r="AA265" s="231" t="n"/>
      <c r="AB265" s="232">
        <f>IFERROR(VLOOKUP(F265,'DATA BASE'!A:I,3,FALSE),"")</f>
        <v/>
      </c>
      <c r="AC265" s="230" t="n"/>
      <c r="AD265" s="231" t="n"/>
      <c r="AE265" s="233">
        <f>IFERROR(VLOOKUP(F265,'DATA BASE'!A:I,9,FALSE),"")</f>
        <v/>
      </c>
      <c r="AF265" s="231" t="n"/>
      <c r="AG265" s="232">
        <f>IFERROR(VLOOKUP(F265,'DATA BASE'!A:I,6,FALSE),"")</f>
        <v/>
      </c>
      <c r="AH265" s="230" t="n"/>
      <c r="AI265" s="231" t="n"/>
      <c r="AJ265" s="234">
        <f>IFERROR(VLOOKUP(F265,'DATA BASE'!A:I,8,FALSE),"")</f>
        <v/>
      </c>
      <c r="AK265" s="235" t="n"/>
    </row>
    <row r="266" ht="15.5" customHeight="1" s="7">
      <c r="A266" s="242" t="n"/>
      <c r="B266" s="242" t="n"/>
      <c r="C266" s="242" t="n"/>
      <c r="D266" s="242" t="n"/>
      <c r="E266" s="242" t="n"/>
      <c r="F266" s="148" t="n"/>
      <c r="G266" s="228" t="n"/>
      <c r="H266" s="236" t="n"/>
      <c r="I266" s="122" t="n"/>
      <c r="J266" s="240" t="n"/>
      <c r="K266" s="240" t="n"/>
      <c r="L266" s="241" t="n"/>
      <c r="M266" s="122" t="n"/>
      <c r="N266" s="241" t="n"/>
      <c r="O266" s="122" t="n"/>
      <c r="P266" s="240" t="n"/>
      <c r="Q266" s="240" t="n"/>
      <c r="R266" s="240" t="n"/>
      <c r="S266" s="240" t="n"/>
      <c r="T266" s="241" t="n"/>
      <c r="U266" s="243" t="n"/>
      <c r="V266" s="229" t="n"/>
      <c r="W266" s="242" t="n"/>
      <c r="X266" s="242" t="n"/>
      <c r="Y266" s="185">
        <f>VLOOKUP(F265,'DATA BASE'!A:I,2,FALSE)</f>
        <v/>
      </c>
      <c r="Z266" s="230" t="n"/>
      <c r="AA266" s="231" t="n"/>
      <c r="AB266" s="232">
        <f>IFERROR(VLOOKUP(F265,'DATA BASE'!A:I,4,FALSE),"")</f>
        <v/>
      </c>
      <c r="AC266" s="230" t="n"/>
      <c r="AD266" s="231" t="n"/>
      <c r="AE266" s="232">
        <f>IFERROR(VLOOKUP(F265,'DATA BASE'!A:I,5,FALSE),"")</f>
        <v/>
      </c>
      <c r="AF266" s="231" t="n"/>
      <c r="AG266" s="232">
        <f>IFERROR(VLOOKUP(F265,'DATA BASE'!A:I,7,FALSE),"")</f>
        <v/>
      </c>
      <c r="AH266" s="230" t="n"/>
      <c r="AI266" s="231" t="n"/>
      <c r="AJ266" s="238" t="n"/>
      <c r="AK266" s="239" t="n"/>
    </row>
    <row r="267" ht="15.5" customHeight="1" s="7">
      <c r="A267" s="157" t="n"/>
      <c r="B267" s="158" t="n"/>
      <c r="C267" s="159" t="n"/>
      <c r="D267" s="159" t="n"/>
      <c r="E267" s="159" t="n"/>
      <c r="F267" s="148" t="n"/>
      <c r="G267" s="228" t="n"/>
      <c r="H267" s="236" t="n"/>
      <c r="I267" s="122" t="n"/>
      <c r="J267" s="240" t="n"/>
      <c r="K267" s="240" t="n"/>
      <c r="L267" s="241" t="n"/>
      <c r="M267" s="138" t="n"/>
      <c r="N267" s="241" t="n"/>
      <c r="O267" s="122" t="n"/>
      <c r="P267" s="240" t="n"/>
      <c r="Q267" s="240" t="n"/>
      <c r="R267" s="240" t="n"/>
      <c r="S267" s="240" t="n"/>
      <c r="T267" s="241" t="n"/>
      <c r="U267" s="146" t="n"/>
      <c r="V267" s="227" t="n"/>
      <c r="W267" s="159" t="n"/>
      <c r="X267" s="159" t="n"/>
      <c r="Y267" s="185" t="inlineStr">
        <is>
          <t>DAVID WILDNER</t>
        </is>
      </c>
      <c r="Z267" s="230" t="n"/>
      <c r="AA267" s="231" t="n"/>
      <c r="AB267" s="232">
        <f>IFERROR(VLOOKUP(F267,'DATA BASE'!A:I,3,FALSE),"")</f>
        <v/>
      </c>
      <c r="AC267" s="230" t="n"/>
      <c r="AD267" s="231" t="n"/>
      <c r="AE267" s="233">
        <f>IFERROR(VLOOKUP(F267,'DATA BASE'!A:I,9,FALSE),"")</f>
        <v/>
      </c>
      <c r="AF267" s="231" t="n"/>
      <c r="AG267" s="232">
        <f>IFERROR(VLOOKUP(F267,'DATA BASE'!A:I,6,FALSE),"")</f>
        <v/>
      </c>
      <c r="AH267" s="230" t="n"/>
      <c r="AI267" s="231" t="n"/>
      <c r="AJ267" s="234">
        <f>IFERROR(VLOOKUP(F267,'DATA BASE'!A:I,8,FALSE),"")</f>
        <v/>
      </c>
      <c r="AK267" s="235" t="n"/>
    </row>
    <row r="268" ht="15.5" customHeight="1" s="7">
      <c r="A268" s="242" t="n"/>
      <c r="B268" s="242" t="n"/>
      <c r="C268" s="242" t="n"/>
      <c r="D268" s="242" t="n"/>
      <c r="E268" s="242" t="n"/>
      <c r="F268" s="148" t="n"/>
      <c r="G268" s="228" t="n"/>
      <c r="H268" s="236" t="n"/>
      <c r="I268" s="122" t="n"/>
      <c r="J268" s="240" t="n"/>
      <c r="K268" s="240" t="n"/>
      <c r="L268" s="241" t="n"/>
      <c r="M268" s="122" t="n"/>
      <c r="N268" s="241" t="n"/>
      <c r="O268" s="122" t="n"/>
      <c r="P268" s="240" t="n"/>
      <c r="Q268" s="240" t="n"/>
      <c r="R268" s="240" t="n"/>
      <c r="S268" s="240" t="n"/>
      <c r="T268" s="241" t="n"/>
      <c r="U268" s="243" t="n"/>
      <c r="V268" s="229" t="n"/>
      <c r="W268" s="242" t="n"/>
      <c r="X268" s="242" t="n"/>
      <c r="Y268" s="185">
        <f>VLOOKUP(F267,'DATA BASE'!A:I,2,FALSE)</f>
        <v/>
      </c>
      <c r="Z268" s="230" t="n"/>
      <c r="AA268" s="231" t="n"/>
      <c r="AB268" s="232">
        <f>IFERROR(VLOOKUP(F267,'DATA BASE'!A:I,4,FALSE),"")</f>
        <v/>
      </c>
      <c r="AC268" s="230" t="n"/>
      <c r="AD268" s="231" t="n"/>
      <c r="AE268" s="232">
        <f>IFERROR(VLOOKUP(F267,'DATA BASE'!A:I,5,FALSE),"")</f>
        <v/>
      </c>
      <c r="AF268" s="231" t="n"/>
      <c r="AG268" s="232">
        <f>IFERROR(VLOOKUP(F267,'DATA BASE'!A:I,7,FALSE),"")</f>
        <v/>
      </c>
      <c r="AH268" s="230" t="n"/>
      <c r="AI268" s="231" t="n"/>
      <c r="AJ268" s="238" t="n"/>
      <c r="AK268" s="239" t="n"/>
    </row>
    <row r="269" ht="15.5" customHeight="1" s="7">
      <c r="A269" s="157" t="n"/>
      <c r="B269" s="158" t="n"/>
      <c r="C269" s="159" t="n"/>
      <c r="D269" s="159" t="n"/>
      <c r="E269" s="159" t="n"/>
      <c r="F269" s="148" t="n"/>
      <c r="G269" s="228" t="n"/>
      <c r="H269" s="236" t="n"/>
      <c r="I269" s="122" t="n"/>
      <c r="J269" s="240" t="n"/>
      <c r="K269" s="240" t="n"/>
      <c r="L269" s="241" t="n"/>
      <c r="M269" s="138" t="n"/>
      <c r="N269" s="241" t="n"/>
      <c r="O269" s="122" t="n"/>
      <c r="P269" s="240" t="n"/>
      <c r="Q269" s="240" t="n"/>
      <c r="R269" s="240" t="n"/>
      <c r="S269" s="240" t="n"/>
      <c r="T269" s="241" t="n"/>
      <c r="U269" s="146" t="n"/>
      <c r="V269" s="227" t="n"/>
      <c r="W269" s="159" t="n"/>
      <c r="X269" s="159" t="n"/>
      <c r="Y269" s="185" t="inlineStr">
        <is>
          <t>DAVID WILDNER</t>
        </is>
      </c>
      <c r="Z269" s="230" t="n"/>
      <c r="AA269" s="231" t="n"/>
      <c r="AB269" s="232">
        <f>IFERROR(VLOOKUP(F269,'DATA BASE'!A:I,3,FALSE),"")</f>
        <v/>
      </c>
      <c r="AC269" s="230" t="n"/>
      <c r="AD269" s="231" t="n"/>
      <c r="AE269" s="233">
        <f>IFERROR(VLOOKUP(F269,'DATA BASE'!A:I,9,FALSE),"")</f>
        <v/>
      </c>
      <c r="AF269" s="231" t="n"/>
      <c r="AG269" s="232">
        <f>IFERROR(VLOOKUP(F269,'DATA BASE'!A:I,6,FALSE),"")</f>
        <v/>
      </c>
      <c r="AH269" s="230" t="n"/>
      <c r="AI269" s="231" t="n"/>
      <c r="AJ269" s="234">
        <f>IFERROR(VLOOKUP(F269,'DATA BASE'!A:I,8,FALSE),"")</f>
        <v/>
      </c>
      <c r="AK269" s="235" t="n"/>
    </row>
    <row r="270" ht="15.5" customHeight="1" s="7">
      <c r="A270" s="242" t="n"/>
      <c r="B270" s="242" t="n"/>
      <c r="C270" s="242" t="n"/>
      <c r="D270" s="242" t="n"/>
      <c r="E270" s="242" t="n"/>
      <c r="F270" s="148" t="n"/>
      <c r="G270" s="228" t="n"/>
      <c r="H270" s="236" t="n"/>
      <c r="I270" s="122" t="n"/>
      <c r="J270" s="240" t="n"/>
      <c r="K270" s="240" t="n"/>
      <c r="L270" s="241" t="n"/>
      <c r="M270" s="122" t="n"/>
      <c r="N270" s="241" t="n"/>
      <c r="O270" s="122" t="n"/>
      <c r="P270" s="240" t="n"/>
      <c r="Q270" s="240" t="n"/>
      <c r="R270" s="240" t="n"/>
      <c r="S270" s="240" t="n"/>
      <c r="T270" s="241" t="n"/>
      <c r="U270" s="243" t="n"/>
      <c r="V270" s="229" t="n"/>
      <c r="W270" s="242" t="n"/>
      <c r="X270" s="242" t="n"/>
      <c r="Y270" s="185">
        <f>VLOOKUP(F269,'DATA BASE'!A:I,2,FALSE)</f>
        <v/>
      </c>
      <c r="Z270" s="230" t="n"/>
      <c r="AA270" s="231" t="n"/>
      <c r="AB270" s="232">
        <f>IFERROR(VLOOKUP(F269,'DATA BASE'!A:I,4,FALSE),"")</f>
        <v/>
      </c>
      <c r="AC270" s="230" t="n"/>
      <c r="AD270" s="231" t="n"/>
      <c r="AE270" s="232">
        <f>IFERROR(VLOOKUP(F269,'DATA BASE'!A:I,5,FALSE),"")</f>
        <v/>
      </c>
      <c r="AF270" s="231" t="n"/>
      <c r="AG270" s="232">
        <f>IFERROR(VLOOKUP(F269,'DATA BASE'!A:I,7,FALSE),"")</f>
        <v/>
      </c>
      <c r="AH270" s="230" t="n"/>
      <c r="AI270" s="231" t="n"/>
      <c r="AJ270" s="238" t="n"/>
      <c r="AK270" s="239" t="n"/>
    </row>
    <row r="271" ht="15.5" customHeight="1" s="7">
      <c r="A271" s="157" t="n"/>
      <c r="B271" s="158" t="n"/>
      <c r="C271" s="159" t="n"/>
      <c r="D271" s="159" t="n"/>
      <c r="E271" s="159" t="n"/>
      <c r="F271" s="148" t="n"/>
      <c r="G271" s="228" t="n"/>
      <c r="H271" s="236" t="n"/>
      <c r="I271" s="122" t="n"/>
      <c r="J271" s="240" t="n"/>
      <c r="K271" s="240" t="n"/>
      <c r="L271" s="241" t="n"/>
      <c r="M271" s="138" t="n"/>
      <c r="N271" s="241" t="n"/>
      <c r="O271" s="122" t="n"/>
      <c r="P271" s="240" t="n"/>
      <c r="Q271" s="240" t="n"/>
      <c r="R271" s="240" t="n"/>
      <c r="S271" s="240" t="n"/>
      <c r="T271" s="241" t="n"/>
      <c r="U271" s="146" t="n"/>
      <c r="V271" s="227" t="n"/>
      <c r="W271" s="159" t="n"/>
      <c r="X271" s="159" t="n"/>
      <c r="Y271" s="185" t="inlineStr">
        <is>
          <t>DAVID WILDNER</t>
        </is>
      </c>
      <c r="Z271" s="230" t="n"/>
      <c r="AA271" s="231" t="n"/>
      <c r="AB271" s="232">
        <f>IFERROR(VLOOKUP(F271,'DATA BASE'!A:I,3,FALSE),"")</f>
        <v/>
      </c>
      <c r="AC271" s="230" t="n"/>
      <c r="AD271" s="231" t="n"/>
      <c r="AE271" s="233">
        <f>IFERROR(VLOOKUP(F271,'DATA BASE'!A:I,9,FALSE),"")</f>
        <v/>
      </c>
      <c r="AF271" s="231" t="n"/>
      <c r="AG271" s="232">
        <f>IFERROR(VLOOKUP(F271,'DATA BASE'!A:I,6,FALSE),"")</f>
        <v/>
      </c>
      <c r="AH271" s="230" t="n"/>
      <c r="AI271" s="231" t="n"/>
      <c r="AJ271" s="234">
        <f>IFERROR(VLOOKUP(F271,'DATA BASE'!A:I,8,FALSE),"")</f>
        <v/>
      </c>
      <c r="AK271" s="235" t="n"/>
    </row>
    <row r="272" ht="15.5" customHeight="1" s="7">
      <c r="A272" s="242" t="n"/>
      <c r="B272" s="242" t="n"/>
      <c r="C272" s="242" t="n"/>
      <c r="D272" s="242" t="n"/>
      <c r="E272" s="242" t="n"/>
      <c r="F272" s="148" t="n"/>
      <c r="G272" s="228" t="n"/>
      <c r="H272" s="236" t="n"/>
      <c r="I272" s="122" t="n"/>
      <c r="J272" s="240" t="n"/>
      <c r="K272" s="240" t="n"/>
      <c r="L272" s="241" t="n"/>
      <c r="M272" s="122" t="n"/>
      <c r="N272" s="241" t="n"/>
      <c r="O272" s="122" t="n"/>
      <c r="P272" s="240" t="n"/>
      <c r="Q272" s="240" t="n"/>
      <c r="R272" s="240" t="n"/>
      <c r="S272" s="240" t="n"/>
      <c r="T272" s="241" t="n"/>
      <c r="U272" s="243" t="n"/>
      <c r="V272" s="229" t="n"/>
      <c r="W272" s="242" t="n"/>
      <c r="X272" s="242" t="n"/>
      <c r="Y272" s="185">
        <f>VLOOKUP(F271,'DATA BASE'!A:I,2,FALSE)</f>
        <v/>
      </c>
      <c r="Z272" s="230" t="n"/>
      <c r="AA272" s="231" t="n"/>
      <c r="AB272" s="232">
        <f>IFERROR(VLOOKUP(F271,'DATA BASE'!A:I,4,FALSE),"")</f>
        <v/>
      </c>
      <c r="AC272" s="230" t="n"/>
      <c r="AD272" s="231" t="n"/>
      <c r="AE272" s="232">
        <f>IFERROR(VLOOKUP(F271,'DATA BASE'!A:I,5,FALSE),"")</f>
        <v/>
      </c>
      <c r="AF272" s="231" t="n"/>
      <c r="AG272" s="232">
        <f>IFERROR(VLOOKUP(F271,'DATA BASE'!A:I,7,FALSE),"")</f>
        <v/>
      </c>
      <c r="AH272" s="230" t="n"/>
      <c r="AI272" s="231" t="n"/>
      <c r="AJ272" s="238" t="n"/>
      <c r="AK272" s="239" t="n"/>
    </row>
    <row r="273" ht="15.5" customHeight="1" s="7">
      <c r="A273" s="157" t="n"/>
      <c r="B273" s="158" t="n"/>
      <c r="C273" s="159" t="n"/>
      <c r="D273" s="159" t="n"/>
      <c r="E273" s="159" t="n"/>
      <c r="F273" s="148" t="n"/>
      <c r="G273" s="228" t="n"/>
      <c r="H273" s="236" t="n"/>
      <c r="I273" s="122" t="n"/>
      <c r="J273" s="240" t="n"/>
      <c r="K273" s="240" t="n"/>
      <c r="L273" s="241" t="n"/>
      <c r="M273" s="138" t="n"/>
      <c r="N273" s="241" t="n"/>
      <c r="O273" s="122" t="n"/>
      <c r="P273" s="240" t="n"/>
      <c r="Q273" s="240" t="n"/>
      <c r="R273" s="240" t="n"/>
      <c r="S273" s="240" t="n"/>
      <c r="T273" s="241" t="n"/>
      <c r="U273" s="146" t="n"/>
      <c r="V273" s="227" t="n"/>
      <c r="W273" s="159" t="n"/>
      <c r="X273" s="159" t="n"/>
      <c r="Y273" s="185" t="inlineStr">
        <is>
          <t>DAVID WILDNER</t>
        </is>
      </c>
      <c r="Z273" s="230" t="n"/>
      <c r="AA273" s="231" t="n"/>
      <c r="AB273" s="232">
        <f>IFERROR(VLOOKUP(F273,'DATA BASE'!A:I,3,FALSE),"")</f>
        <v/>
      </c>
      <c r="AC273" s="230" t="n"/>
      <c r="AD273" s="231" t="n"/>
      <c r="AE273" s="233">
        <f>IFERROR(VLOOKUP(F273,'DATA BASE'!A:I,9,FALSE),"")</f>
        <v/>
      </c>
      <c r="AF273" s="231" t="n"/>
      <c r="AG273" s="232">
        <f>IFERROR(VLOOKUP(F273,'DATA BASE'!A:I,6,FALSE),"")</f>
        <v/>
      </c>
      <c r="AH273" s="230" t="n"/>
      <c r="AI273" s="231" t="n"/>
      <c r="AJ273" s="234">
        <f>IFERROR(VLOOKUP(F273,'DATA BASE'!A:I,8,FALSE),"")</f>
        <v/>
      </c>
      <c r="AK273" s="235" t="n"/>
    </row>
    <row r="274" ht="15.5" customHeight="1" s="7">
      <c r="A274" s="242" t="n"/>
      <c r="B274" s="242" t="n"/>
      <c r="C274" s="242" t="n"/>
      <c r="D274" s="242" t="n"/>
      <c r="E274" s="242" t="n"/>
      <c r="F274" s="148" t="n"/>
      <c r="G274" s="228" t="n"/>
      <c r="H274" s="236" t="n"/>
      <c r="I274" s="122" t="n"/>
      <c r="J274" s="240" t="n"/>
      <c r="K274" s="240" t="n"/>
      <c r="L274" s="241" t="n"/>
      <c r="M274" s="122" t="n"/>
      <c r="N274" s="241" t="n"/>
      <c r="O274" s="122" t="n"/>
      <c r="P274" s="240" t="n"/>
      <c r="Q274" s="240" t="n"/>
      <c r="R274" s="240" t="n"/>
      <c r="S274" s="240" t="n"/>
      <c r="T274" s="241" t="n"/>
      <c r="U274" s="243" t="n"/>
      <c r="V274" s="229" t="n"/>
      <c r="W274" s="242" t="n"/>
      <c r="X274" s="242" t="n"/>
      <c r="Y274" s="185">
        <f>VLOOKUP(F273,'DATA BASE'!A:I,2,FALSE)</f>
        <v/>
      </c>
      <c r="Z274" s="230" t="n"/>
      <c r="AA274" s="231" t="n"/>
      <c r="AB274" s="232">
        <f>IFERROR(VLOOKUP(F273,'DATA BASE'!A:I,4,FALSE),"")</f>
        <v/>
      </c>
      <c r="AC274" s="230" t="n"/>
      <c r="AD274" s="231" t="n"/>
      <c r="AE274" s="232">
        <f>IFERROR(VLOOKUP(F273,'DATA BASE'!A:I,5,FALSE),"")</f>
        <v/>
      </c>
      <c r="AF274" s="231" t="n"/>
      <c r="AG274" s="232">
        <f>IFERROR(VLOOKUP(F273,'DATA BASE'!A:I,7,FALSE),"")</f>
        <v/>
      </c>
      <c r="AH274" s="230" t="n"/>
      <c r="AI274" s="231" t="n"/>
      <c r="AJ274" s="238" t="n"/>
      <c r="AK274" s="239" t="n"/>
    </row>
    <row r="275" ht="15.5" customHeight="1" s="7">
      <c r="A275" s="157" t="n"/>
      <c r="B275" s="158" t="n"/>
      <c r="C275" s="159" t="n"/>
      <c r="D275" s="159" t="n"/>
      <c r="E275" s="159" t="n"/>
      <c r="F275" s="148" t="n"/>
      <c r="G275" s="228" t="n"/>
      <c r="H275" s="236" t="n"/>
      <c r="I275" s="122" t="n"/>
      <c r="J275" s="240" t="n"/>
      <c r="K275" s="240" t="n"/>
      <c r="L275" s="241" t="n"/>
      <c r="M275" s="138" t="n"/>
      <c r="N275" s="241" t="n"/>
      <c r="O275" s="122" t="n"/>
      <c r="P275" s="240" t="n"/>
      <c r="Q275" s="240" t="n"/>
      <c r="R275" s="240" t="n"/>
      <c r="S275" s="240" t="n"/>
      <c r="T275" s="241" t="n"/>
      <c r="U275" s="146" t="n"/>
      <c r="V275" s="227" t="n"/>
      <c r="W275" s="159" t="n"/>
      <c r="X275" s="159" t="n"/>
      <c r="Y275" s="185" t="inlineStr">
        <is>
          <t>DAVID WILDNER</t>
        </is>
      </c>
      <c r="Z275" s="230" t="n"/>
      <c r="AA275" s="231" t="n"/>
      <c r="AB275" s="232">
        <f>IFERROR(VLOOKUP(F275,'DATA BASE'!A:I,3,FALSE),"")</f>
        <v/>
      </c>
      <c r="AC275" s="230" t="n"/>
      <c r="AD275" s="231" t="n"/>
      <c r="AE275" s="233">
        <f>IFERROR(VLOOKUP(F275,'DATA BASE'!A:I,9,FALSE),"")</f>
        <v/>
      </c>
      <c r="AF275" s="231" t="n"/>
      <c r="AG275" s="232">
        <f>IFERROR(VLOOKUP(F275,'DATA BASE'!A:I,6,FALSE),"")</f>
        <v/>
      </c>
      <c r="AH275" s="230" t="n"/>
      <c r="AI275" s="231" t="n"/>
      <c r="AJ275" s="234">
        <f>IFERROR(VLOOKUP(F275,'DATA BASE'!A:I,8,FALSE),"")</f>
        <v/>
      </c>
      <c r="AK275" s="235" t="n"/>
    </row>
    <row r="276" ht="15.5" customHeight="1" s="7">
      <c r="A276" s="242" t="n"/>
      <c r="B276" s="242" t="n"/>
      <c r="C276" s="242" t="n"/>
      <c r="D276" s="242" t="n"/>
      <c r="E276" s="242" t="n"/>
      <c r="F276" s="148" t="n"/>
      <c r="G276" s="228" t="n"/>
      <c r="H276" s="236" t="n"/>
      <c r="I276" s="122" t="n"/>
      <c r="J276" s="240" t="n"/>
      <c r="K276" s="240" t="n"/>
      <c r="L276" s="241" t="n"/>
      <c r="M276" s="122" t="n"/>
      <c r="N276" s="241" t="n"/>
      <c r="O276" s="122" t="n"/>
      <c r="P276" s="240" t="n"/>
      <c r="Q276" s="240" t="n"/>
      <c r="R276" s="240" t="n"/>
      <c r="S276" s="240" t="n"/>
      <c r="T276" s="241" t="n"/>
      <c r="U276" s="243" t="n"/>
      <c r="V276" s="229" t="n"/>
      <c r="W276" s="242" t="n"/>
      <c r="X276" s="242" t="n"/>
      <c r="Y276" s="185">
        <f>VLOOKUP(F275,'DATA BASE'!A:I,2,FALSE)</f>
        <v/>
      </c>
      <c r="Z276" s="230" t="n"/>
      <c r="AA276" s="231" t="n"/>
      <c r="AB276" s="232">
        <f>IFERROR(VLOOKUP(F275,'DATA BASE'!A:I,4,FALSE),"")</f>
        <v/>
      </c>
      <c r="AC276" s="230" t="n"/>
      <c r="AD276" s="231" t="n"/>
      <c r="AE276" s="232">
        <f>IFERROR(VLOOKUP(F275,'DATA BASE'!A:I,5,FALSE),"")</f>
        <v/>
      </c>
      <c r="AF276" s="231" t="n"/>
      <c r="AG276" s="232">
        <f>IFERROR(VLOOKUP(F275,'DATA BASE'!A:I,7,FALSE),"")</f>
        <v/>
      </c>
      <c r="AH276" s="230" t="n"/>
      <c r="AI276" s="231" t="n"/>
      <c r="AJ276" s="238" t="n"/>
      <c r="AK276" s="239" t="n"/>
    </row>
    <row r="277" ht="15.5" customHeight="1" s="7">
      <c r="A277" s="157" t="n"/>
      <c r="B277" s="158" t="n"/>
      <c r="C277" s="159" t="n"/>
      <c r="D277" s="159" t="n"/>
      <c r="E277" s="159" t="n"/>
      <c r="F277" s="148" t="n"/>
      <c r="G277" s="228" t="n"/>
      <c r="H277" s="236" t="n"/>
      <c r="I277" s="122" t="n"/>
      <c r="J277" s="240" t="n"/>
      <c r="K277" s="240" t="n"/>
      <c r="L277" s="241" t="n"/>
      <c r="M277" s="138" t="n"/>
      <c r="N277" s="241" t="n"/>
      <c r="O277" s="122" t="n"/>
      <c r="P277" s="240" t="n"/>
      <c r="Q277" s="240" t="n"/>
      <c r="R277" s="240" t="n"/>
      <c r="S277" s="240" t="n"/>
      <c r="T277" s="241" t="n"/>
      <c r="U277" s="146" t="n"/>
      <c r="V277" s="227" t="n"/>
      <c r="W277" s="159" t="n"/>
      <c r="X277" s="159" t="n"/>
      <c r="Y277" s="185" t="inlineStr">
        <is>
          <t>DAVID WILDNER</t>
        </is>
      </c>
      <c r="Z277" s="230" t="n"/>
      <c r="AA277" s="231" t="n"/>
      <c r="AB277" s="232">
        <f>IFERROR(VLOOKUP(F277,'DATA BASE'!A:I,3,FALSE),"")</f>
        <v/>
      </c>
      <c r="AC277" s="230" t="n"/>
      <c r="AD277" s="231" t="n"/>
      <c r="AE277" s="233">
        <f>IFERROR(VLOOKUP(F277,'DATA BASE'!A:I,9,FALSE),"")</f>
        <v/>
      </c>
      <c r="AF277" s="231" t="n"/>
      <c r="AG277" s="232">
        <f>IFERROR(VLOOKUP(F277,'DATA BASE'!A:I,6,FALSE),"")</f>
        <v/>
      </c>
      <c r="AH277" s="230" t="n"/>
      <c r="AI277" s="231" t="n"/>
      <c r="AJ277" s="234">
        <f>IFERROR(VLOOKUP(F277,'DATA BASE'!A:I,8,FALSE),"")</f>
        <v/>
      </c>
      <c r="AK277" s="235" t="n"/>
    </row>
    <row r="278" ht="15.5" customHeight="1" s="7">
      <c r="A278" s="242" t="n"/>
      <c r="B278" s="242" t="n"/>
      <c r="C278" s="242" t="n"/>
      <c r="D278" s="242" t="n"/>
      <c r="E278" s="242" t="n"/>
      <c r="F278" s="148" t="n"/>
      <c r="G278" s="228" t="n"/>
      <c r="H278" s="236" t="n"/>
      <c r="I278" s="122" t="n"/>
      <c r="J278" s="240" t="n"/>
      <c r="K278" s="240" t="n"/>
      <c r="L278" s="241" t="n"/>
      <c r="M278" s="122" t="n"/>
      <c r="N278" s="241" t="n"/>
      <c r="O278" s="122" t="n"/>
      <c r="P278" s="240" t="n"/>
      <c r="Q278" s="240" t="n"/>
      <c r="R278" s="240" t="n"/>
      <c r="S278" s="240" t="n"/>
      <c r="T278" s="241" t="n"/>
      <c r="U278" s="243" t="n"/>
      <c r="V278" s="229" t="n"/>
      <c r="W278" s="242" t="n"/>
      <c r="X278" s="242" t="n"/>
      <c r="Y278" s="185">
        <f>VLOOKUP(F277,'DATA BASE'!A:I,2,FALSE)</f>
        <v/>
      </c>
      <c r="Z278" s="230" t="n"/>
      <c r="AA278" s="231" t="n"/>
      <c r="AB278" s="232">
        <f>IFERROR(VLOOKUP(F277,'DATA BASE'!A:I,4,FALSE),"")</f>
        <v/>
      </c>
      <c r="AC278" s="230" t="n"/>
      <c r="AD278" s="231" t="n"/>
      <c r="AE278" s="232">
        <f>IFERROR(VLOOKUP(F277,'DATA BASE'!A:I,5,FALSE),"")</f>
        <v/>
      </c>
      <c r="AF278" s="231" t="n"/>
      <c r="AG278" s="232">
        <f>IFERROR(VLOOKUP(F277,'DATA BASE'!A:I,7,FALSE),"")</f>
        <v/>
      </c>
      <c r="AH278" s="230" t="n"/>
      <c r="AI278" s="231" t="n"/>
      <c r="AJ278" s="238" t="n"/>
      <c r="AK278" s="239" t="n"/>
    </row>
    <row r="279" ht="15.5" customHeight="1" s="7">
      <c r="A279" s="157" t="n"/>
      <c r="B279" s="158" t="n"/>
      <c r="C279" s="159" t="n"/>
      <c r="D279" s="159" t="n"/>
      <c r="E279" s="159" t="n"/>
      <c r="F279" s="148" t="n"/>
      <c r="G279" s="228" t="n"/>
      <c r="H279" s="236" t="n"/>
      <c r="I279" s="122" t="n"/>
      <c r="J279" s="240" t="n"/>
      <c r="K279" s="240" t="n"/>
      <c r="L279" s="241" t="n"/>
      <c r="M279" s="138" t="n"/>
      <c r="N279" s="241" t="n"/>
      <c r="O279" s="122" t="n"/>
      <c r="P279" s="240" t="n"/>
      <c r="Q279" s="240" t="n"/>
      <c r="R279" s="240" t="n"/>
      <c r="S279" s="240" t="n"/>
      <c r="T279" s="241" t="n"/>
      <c r="U279" s="146" t="n"/>
      <c r="V279" s="227" t="n"/>
      <c r="W279" s="159" t="n"/>
      <c r="X279" s="159" t="n"/>
      <c r="Y279" s="185" t="inlineStr">
        <is>
          <t>DAVID WILDNER</t>
        </is>
      </c>
      <c r="Z279" s="230" t="n"/>
      <c r="AA279" s="231" t="n"/>
      <c r="AB279" s="232">
        <f>IFERROR(VLOOKUP(F279,'DATA BASE'!A:I,3,FALSE),"")</f>
        <v/>
      </c>
      <c r="AC279" s="230" t="n"/>
      <c r="AD279" s="231" t="n"/>
      <c r="AE279" s="233">
        <f>IFERROR(VLOOKUP(F279,'DATA BASE'!A:I,9,FALSE),"")</f>
        <v/>
      </c>
      <c r="AF279" s="231" t="n"/>
      <c r="AG279" s="232">
        <f>IFERROR(VLOOKUP(F279,'DATA BASE'!A:I,6,FALSE),"")</f>
        <v/>
      </c>
      <c r="AH279" s="230" t="n"/>
      <c r="AI279" s="231" t="n"/>
      <c r="AJ279" s="234">
        <f>IFERROR(VLOOKUP(F279,'DATA BASE'!A:I,8,FALSE),"")</f>
        <v/>
      </c>
      <c r="AK279" s="235" t="n"/>
    </row>
    <row r="280" ht="15.5" customHeight="1" s="7">
      <c r="A280" s="242" t="n"/>
      <c r="B280" s="242" t="n"/>
      <c r="C280" s="242" t="n"/>
      <c r="D280" s="242" t="n"/>
      <c r="E280" s="242" t="n"/>
      <c r="F280" s="148" t="n"/>
      <c r="G280" s="228" t="n"/>
      <c r="H280" s="236" t="n"/>
      <c r="I280" s="122" t="n"/>
      <c r="J280" s="240" t="n"/>
      <c r="K280" s="240" t="n"/>
      <c r="L280" s="241" t="n"/>
      <c r="M280" s="122" t="n"/>
      <c r="N280" s="241" t="n"/>
      <c r="O280" s="122" t="n"/>
      <c r="P280" s="240" t="n"/>
      <c r="Q280" s="240" t="n"/>
      <c r="R280" s="240" t="n"/>
      <c r="S280" s="240" t="n"/>
      <c r="T280" s="241" t="n"/>
      <c r="U280" s="243" t="n"/>
      <c r="V280" s="229" t="n"/>
      <c r="W280" s="242" t="n"/>
      <c r="X280" s="242" t="n"/>
      <c r="Y280" s="185">
        <f>VLOOKUP(F279,'DATA BASE'!A:I,2,FALSE)</f>
        <v/>
      </c>
      <c r="Z280" s="230" t="n"/>
      <c r="AA280" s="231" t="n"/>
      <c r="AB280" s="232">
        <f>IFERROR(VLOOKUP(F279,'DATA BASE'!A:I,4,FALSE),"")</f>
        <v/>
      </c>
      <c r="AC280" s="230" t="n"/>
      <c r="AD280" s="231" t="n"/>
      <c r="AE280" s="232">
        <f>IFERROR(VLOOKUP(F279,'DATA BASE'!A:I,5,FALSE),"")</f>
        <v/>
      </c>
      <c r="AF280" s="231" t="n"/>
      <c r="AG280" s="232">
        <f>IFERROR(VLOOKUP(F279,'DATA BASE'!A:I,7,FALSE),"")</f>
        <v/>
      </c>
      <c r="AH280" s="230" t="n"/>
      <c r="AI280" s="231" t="n"/>
      <c r="AJ280" s="238" t="n"/>
      <c r="AK280" s="239" t="n"/>
    </row>
    <row r="281" ht="15.5" customHeight="1" s="7">
      <c r="A281" s="157" t="n"/>
      <c r="B281" s="158" t="n"/>
      <c r="C281" s="159" t="n"/>
      <c r="D281" s="159" t="n"/>
      <c r="E281" s="159" t="n"/>
      <c r="F281" s="148" t="n"/>
      <c r="G281" s="228" t="n"/>
      <c r="H281" s="236" t="n"/>
      <c r="I281" s="122" t="n"/>
      <c r="J281" s="240" t="n"/>
      <c r="K281" s="240" t="n"/>
      <c r="L281" s="241" t="n"/>
      <c r="M281" s="138" t="n"/>
      <c r="N281" s="241" t="n"/>
      <c r="O281" s="122" t="n"/>
      <c r="P281" s="240" t="n"/>
      <c r="Q281" s="240" t="n"/>
      <c r="R281" s="240" t="n"/>
      <c r="S281" s="240" t="n"/>
      <c r="T281" s="241" t="n"/>
      <c r="U281" s="146" t="n"/>
      <c r="V281" s="227" t="n"/>
      <c r="W281" s="159" t="n"/>
      <c r="X281" s="159" t="n"/>
      <c r="Y281" s="185" t="inlineStr">
        <is>
          <t>DAVID WILDNER</t>
        </is>
      </c>
      <c r="Z281" s="230" t="n"/>
      <c r="AA281" s="231" t="n"/>
      <c r="AB281" s="232">
        <f>IFERROR(VLOOKUP(F281,'DATA BASE'!A:I,3,FALSE),"")</f>
        <v/>
      </c>
      <c r="AC281" s="230" t="n"/>
      <c r="AD281" s="231" t="n"/>
      <c r="AE281" s="233">
        <f>IFERROR(VLOOKUP(F281,'DATA BASE'!A:I,9,FALSE),"")</f>
        <v/>
      </c>
      <c r="AF281" s="231" t="n"/>
      <c r="AG281" s="232">
        <f>IFERROR(VLOOKUP(F281,'DATA BASE'!A:I,6,FALSE),"")</f>
        <v/>
      </c>
      <c r="AH281" s="230" t="n"/>
      <c r="AI281" s="231" t="n"/>
      <c r="AJ281" s="234">
        <f>IFERROR(VLOOKUP(F281,'DATA BASE'!A:I,8,FALSE),"")</f>
        <v/>
      </c>
      <c r="AK281" s="235" t="n"/>
    </row>
    <row r="282" ht="15.5" customHeight="1" s="7">
      <c r="A282" s="242" t="n"/>
      <c r="B282" s="242" t="n"/>
      <c r="C282" s="242" t="n"/>
      <c r="D282" s="242" t="n"/>
      <c r="E282" s="242" t="n"/>
      <c r="F282" s="148" t="n"/>
      <c r="G282" s="228" t="n"/>
      <c r="H282" s="236" t="n"/>
      <c r="I282" s="122" t="n"/>
      <c r="J282" s="240" t="n"/>
      <c r="K282" s="240" t="n"/>
      <c r="L282" s="241" t="n"/>
      <c r="M282" s="122" t="n"/>
      <c r="N282" s="241" t="n"/>
      <c r="O282" s="122" t="n"/>
      <c r="P282" s="240" t="n"/>
      <c r="Q282" s="240" t="n"/>
      <c r="R282" s="240" t="n"/>
      <c r="S282" s="240" t="n"/>
      <c r="T282" s="241" t="n"/>
      <c r="U282" s="243" t="n"/>
      <c r="V282" s="229" t="n"/>
      <c r="W282" s="242" t="n"/>
      <c r="X282" s="242" t="n"/>
      <c r="Y282" s="185">
        <f>VLOOKUP(F281,'DATA BASE'!A:I,2,FALSE)</f>
        <v/>
      </c>
      <c r="Z282" s="230" t="n"/>
      <c r="AA282" s="231" t="n"/>
      <c r="AB282" s="232">
        <f>IFERROR(VLOOKUP(F281,'DATA BASE'!A:I,4,FALSE),"")</f>
        <v/>
      </c>
      <c r="AC282" s="230" t="n"/>
      <c r="AD282" s="231" t="n"/>
      <c r="AE282" s="232">
        <f>IFERROR(VLOOKUP(F281,'DATA BASE'!A:I,5,FALSE),"")</f>
        <v/>
      </c>
      <c r="AF282" s="231" t="n"/>
      <c r="AG282" s="232">
        <f>IFERROR(VLOOKUP(F281,'DATA BASE'!A:I,7,FALSE),"")</f>
        <v/>
      </c>
      <c r="AH282" s="230" t="n"/>
      <c r="AI282" s="231" t="n"/>
      <c r="AJ282" s="238" t="n"/>
      <c r="AK282" s="239" t="n"/>
    </row>
    <row r="283" ht="15.5" customHeight="1" s="7">
      <c r="A283" s="157" t="n"/>
      <c r="B283" s="158" t="n"/>
      <c r="C283" s="159" t="n"/>
      <c r="D283" s="159" t="n"/>
      <c r="E283" s="159" t="n"/>
      <c r="F283" s="148" t="n"/>
      <c r="G283" s="228" t="n"/>
      <c r="H283" s="236" t="n"/>
      <c r="I283" s="122" t="n"/>
      <c r="J283" s="240" t="n"/>
      <c r="K283" s="240" t="n"/>
      <c r="L283" s="241" t="n"/>
      <c r="M283" s="138" t="n"/>
      <c r="N283" s="241" t="n"/>
      <c r="O283" s="122" t="n"/>
      <c r="P283" s="240" t="n"/>
      <c r="Q283" s="240" t="n"/>
      <c r="R283" s="240" t="n"/>
      <c r="S283" s="240" t="n"/>
      <c r="T283" s="241" t="n"/>
      <c r="U283" s="146" t="n"/>
      <c r="V283" s="227" t="n"/>
      <c r="W283" s="159" t="n"/>
      <c r="X283" s="159" t="n"/>
      <c r="Y283" s="185" t="inlineStr">
        <is>
          <t>DAVID WILDNER</t>
        </is>
      </c>
      <c r="Z283" s="230" t="n"/>
      <c r="AA283" s="231" t="n"/>
      <c r="AB283" s="232">
        <f>IFERROR(VLOOKUP(F283,'DATA BASE'!A:I,3,FALSE),"")</f>
        <v/>
      </c>
      <c r="AC283" s="230" t="n"/>
      <c r="AD283" s="231" t="n"/>
      <c r="AE283" s="233">
        <f>IFERROR(VLOOKUP(F283,'DATA BASE'!A:I,9,FALSE),"")</f>
        <v/>
      </c>
      <c r="AF283" s="231" t="n"/>
      <c r="AG283" s="232">
        <f>IFERROR(VLOOKUP(F283,'DATA BASE'!A:I,6,FALSE),"")</f>
        <v/>
      </c>
      <c r="AH283" s="230" t="n"/>
      <c r="AI283" s="231" t="n"/>
      <c r="AJ283" s="234">
        <f>IFERROR(VLOOKUP(F283,'DATA BASE'!A:I,8,FALSE),"")</f>
        <v/>
      </c>
      <c r="AK283" s="235" t="n"/>
    </row>
    <row r="284" ht="15.5" customHeight="1" s="7">
      <c r="A284" s="242" t="n"/>
      <c r="B284" s="242" t="n"/>
      <c r="C284" s="242" t="n"/>
      <c r="D284" s="242" t="n"/>
      <c r="E284" s="242" t="n"/>
      <c r="F284" s="148" t="n"/>
      <c r="G284" s="228" t="n"/>
      <c r="H284" s="236" t="n"/>
      <c r="I284" s="122" t="n"/>
      <c r="J284" s="240" t="n"/>
      <c r="K284" s="240" t="n"/>
      <c r="L284" s="241" t="n"/>
      <c r="M284" s="122" t="n"/>
      <c r="N284" s="241" t="n"/>
      <c r="O284" s="122" t="n"/>
      <c r="P284" s="240" t="n"/>
      <c r="Q284" s="240" t="n"/>
      <c r="R284" s="240" t="n"/>
      <c r="S284" s="240" t="n"/>
      <c r="T284" s="241" t="n"/>
      <c r="U284" s="243" t="n"/>
      <c r="V284" s="229" t="n"/>
      <c r="W284" s="242" t="n"/>
      <c r="X284" s="242" t="n"/>
      <c r="Y284" s="185">
        <f>VLOOKUP(F283,'DATA BASE'!A:I,2,FALSE)</f>
        <v/>
      </c>
      <c r="Z284" s="230" t="n"/>
      <c r="AA284" s="231" t="n"/>
      <c r="AB284" s="232">
        <f>IFERROR(VLOOKUP(F283,'DATA BASE'!A:I,4,FALSE),"")</f>
        <v/>
      </c>
      <c r="AC284" s="230" t="n"/>
      <c r="AD284" s="231" t="n"/>
      <c r="AE284" s="232">
        <f>IFERROR(VLOOKUP(F283,'DATA BASE'!A:I,5,FALSE),"")</f>
        <v/>
      </c>
      <c r="AF284" s="231" t="n"/>
      <c r="AG284" s="232">
        <f>IFERROR(VLOOKUP(F283,'DATA BASE'!A:I,7,FALSE),"")</f>
        <v/>
      </c>
      <c r="AH284" s="230" t="n"/>
      <c r="AI284" s="231" t="n"/>
      <c r="AJ284" s="238" t="n"/>
      <c r="AK284" s="239" t="n"/>
    </row>
    <row r="285" ht="15.5" customHeight="1" s="7">
      <c r="A285" s="157" t="n"/>
      <c r="B285" s="158" t="n"/>
      <c r="C285" s="159" t="n"/>
      <c r="D285" s="159" t="n"/>
      <c r="E285" s="159" t="n"/>
      <c r="F285" s="148" t="n"/>
      <c r="G285" s="228" t="n"/>
      <c r="H285" s="236" t="n"/>
      <c r="I285" s="122" t="n"/>
      <c r="J285" s="240" t="n"/>
      <c r="K285" s="240" t="n"/>
      <c r="L285" s="241" t="n"/>
      <c r="M285" s="138" t="n"/>
      <c r="N285" s="241" t="n"/>
      <c r="O285" s="122" t="n"/>
      <c r="P285" s="240" t="n"/>
      <c r="Q285" s="240" t="n"/>
      <c r="R285" s="240" t="n"/>
      <c r="S285" s="240" t="n"/>
      <c r="T285" s="241" t="n"/>
      <c r="U285" s="146" t="n"/>
      <c r="V285" s="227" t="n"/>
      <c r="W285" s="159" t="n"/>
      <c r="X285" s="159" t="n"/>
      <c r="Y285" s="185" t="inlineStr">
        <is>
          <t>DAVID WILDNER</t>
        </is>
      </c>
      <c r="Z285" s="230" t="n"/>
      <c r="AA285" s="231" t="n"/>
      <c r="AB285" s="232">
        <f>IFERROR(VLOOKUP(F285,'DATA BASE'!A:I,3,FALSE),"")</f>
        <v/>
      </c>
      <c r="AC285" s="230" t="n"/>
      <c r="AD285" s="231" t="n"/>
      <c r="AE285" s="233">
        <f>IFERROR(VLOOKUP(F285,'DATA BASE'!A:I,9,FALSE),"")</f>
        <v/>
      </c>
      <c r="AF285" s="231" t="n"/>
      <c r="AG285" s="232">
        <f>IFERROR(VLOOKUP(F285,'DATA BASE'!A:I,6,FALSE),"")</f>
        <v/>
      </c>
      <c r="AH285" s="230" t="n"/>
      <c r="AI285" s="231" t="n"/>
      <c r="AJ285" s="234">
        <f>IFERROR(VLOOKUP(F285,'DATA BASE'!A:I,8,FALSE),"")</f>
        <v/>
      </c>
      <c r="AK285" s="235" t="n"/>
    </row>
    <row r="286" ht="15.5" customHeight="1" s="7">
      <c r="A286" s="242" t="n"/>
      <c r="B286" s="242" t="n"/>
      <c r="C286" s="242" t="n"/>
      <c r="D286" s="242" t="n"/>
      <c r="E286" s="242" t="n"/>
      <c r="F286" s="148" t="n"/>
      <c r="G286" s="228" t="n"/>
      <c r="H286" s="236" t="n"/>
      <c r="I286" s="122" t="n"/>
      <c r="J286" s="240" t="n"/>
      <c r="K286" s="240" t="n"/>
      <c r="L286" s="241" t="n"/>
      <c r="M286" s="122" t="n"/>
      <c r="N286" s="241" t="n"/>
      <c r="O286" s="122" t="n"/>
      <c r="P286" s="240" t="n"/>
      <c r="Q286" s="240" t="n"/>
      <c r="R286" s="240" t="n"/>
      <c r="S286" s="240" t="n"/>
      <c r="T286" s="241" t="n"/>
      <c r="U286" s="243" t="n"/>
      <c r="V286" s="229" t="n"/>
      <c r="W286" s="242" t="n"/>
      <c r="X286" s="242" t="n"/>
      <c r="Y286" s="185">
        <f>VLOOKUP(F285,'DATA BASE'!A:I,2,FALSE)</f>
        <v/>
      </c>
      <c r="Z286" s="230" t="n"/>
      <c r="AA286" s="231" t="n"/>
      <c r="AB286" s="232">
        <f>IFERROR(VLOOKUP(F285,'DATA BASE'!A:I,4,FALSE),"")</f>
        <v/>
      </c>
      <c r="AC286" s="230" t="n"/>
      <c r="AD286" s="231" t="n"/>
      <c r="AE286" s="232">
        <f>IFERROR(VLOOKUP(F285,'DATA BASE'!A:I,5,FALSE),"")</f>
        <v/>
      </c>
      <c r="AF286" s="231" t="n"/>
      <c r="AG286" s="232">
        <f>IFERROR(VLOOKUP(F285,'DATA BASE'!A:I,7,FALSE),"")</f>
        <v/>
      </c>
      <c r="AH286" s="230" t="n"/>
      <c r="AI286" s="231" t="n"/>
      <c r="AJ286" s="238" t="n"/>
      <c r="AK286" s="239" t="n"/>
    </row>
    <row r="287" ht="15.5" customHeight="1" s="7">
      <c r="A287" s="157" t="n"/>
      <c r="B287" s="158" t="n"/>
      <c r="C287" s="159" t="n"/>
      <c r="D287" s="159" t="n"/>
      <c r="E287" s="159" t="n"/>
      <c r="F287" s="148" t="n"/>
      <c r="G287" s="228" t="n"/>
      <c r="H287" s="236" t="n"/>
      <c r="I287" s="122" t="n"/>
      <c r="J287" s="240" t="n"/>
      <c r="K287" s="240" t="n"/>
      <c r="L287" s="241" t="n"/>
      <c r="M287" s="138" t="n"/>
      <c r="N287" s="241" t="n"/>
      <c r="O287" s="122" t="n"/>
      <c r="P287" s="240" t="n"/>
      <c r="Q287" s="240" t="n"/>
      <c r="R287" s="240" t="n"/>
      <c r="S287" s="240" t="n"/>
      <c r="T287" s="241" t="n"/>
      <c r="U287" s="146" t="n"/>
      <c r="V287" s="227" t="n"/>
      <c r="W287" s="159" t="n"/>
      <c r="X287" s="159" t="n"/>
      <c r="Y287" s="185" t="inlineStr">
        <is>
          <t>DAVID WILDNER</t>
        </is>
      </c>
      <c r="Z287" s="230" t="n"/>
      <c r="AA287" s="231" t="n"/>
      <c r="AB287" s="232">
        <f>IFERROR(VLOOKUP(F287,'DATA BASE'!A:I,3,FALSE),"")</f>
        <v/>
      </c>
      <c r="AC287" s="230" t="n"/>
      <c r="AD287" s="231" t="n"/>
      <c r="AE287" s="233">
        <f>IFERROR(VLOOKUP(F287,'DATA BASE'!A:I,9,FALSE),"")</f>
        <v/>
      </c>
      <c r="AF287" s="231" t="n"/>
      <c r="AG287" s="232">
        <f>IFERROR(VLOOKUP(F287,'DATA BASE'!A:I,6,FALSE),"")</f>
        <v/>
      </c>
      <c r="AH287" s="230" t="n"/>
      <c r="AI287" s="231" t="n"/>
      <c r="AJ287" s="234">
        <f>IFERROR(VLOOKUP(F287,'DATA BASE'!A:I,8,FALSE),"")</f>
        <v/>
      </c>
      <c r="AK287" s="235" t="n"/>
    </row>
    <row r="288" ht="15.5" customHeight="1" s="7">
      <c r="A288" s="242" t="n"/>
      <c r="B288" s="242" t="n"/>
      <c r="C288" s="242" t="n"/>
      <c r="D288" s="242" t="n"/>
      <c r="E288" s="242" t="n"/>
      <c r="F288" s="148" t="n"/>
      <c r="G288" s="228" t="n"/>
      <c r="H288" s="236" t="n"/>
      <c r="I288" s="122" t="n"/>
      <c r="J288" s="240" t="n"/>
      <c r="K288" s="240" t="n"/>
      <c r="L288" s="241" t="n"/>
      <c r="M288" s="122" t="n"/>
      <c r="N288" s="241" t="n"/>
      <c r="O288" s="122" t="n"/>
      <c r="P288" s="240" t="n"/>
      <c r="Q288" s="240" t="n"/>
      <c r="R288" s="240" t="n"/>
      <c r="S288" s="240" t="n"/>
      <c r="T288" s="241" t="n"/>
      <c r="U288" s="243" t="n"/>
      <c r="V288" s="229" t="n"/>
      <c r="W288" s="242" t="n"/>
      <c r="X288" s="242" t="n"/>
      <c r="Y288" s="185">
        <f>VLOOKUP(F287,'DATA BASE'!A:I,2,FALSE)</f>
        <v/>
      </c>
      <c r="Z288" s="230" t="n"/>
      <c r="AA288" s="231" t="n"/>
      <c r="AB288" s="232">
        <f>IFERROR(VLOOKUP(F287,'DATA BASE'!A:I,4,FALSE),"")</f>
        <v/>
      </c>
      <c r="AC288" s="230" t="n"/>
      <c r="AD288" s="231" t="n"/>
      <c r="AE288" s="232">
        <f>IFERROR(VLOOKUP(F287,'DATA BASE'!A:I,5,FALSE),"")</f>
        <v/>
      </c>
      <c r="AF288" s="231" t="n"/>
      <c r="AG288" s="232">
        <f>IFERROR(VLOOKUP(F287,'DATA BASE'!A:I,7,FALSE),"")</f>
        <v/>
      </c>
      <c r="AH288" s="230" t="n"/>
      <c r="AI288" s="231" t="n"/>
      <c r="AJ288" s="238" t="n"/>
      <c r="AK288" s="239" t="n"/>
    </row>
    <row r="289" ht="15.5" customHeight="1" s="7">
      <c r="A289" s="157" t="n"/>
      <c r="B289" s="158" t="n"/>
      <c r="C289" s="159" t="n"/>
      <c r="D289" s="159" t="n"/>
      <c r="E289" s="159" t="n"/>
      <c r="F289" s="148" t="n"/>
      <c r="G289" s="228" t="n"/>
      <c r="H289" s="236" t="n"/>
      <c r="I289" s="122" t="n"/>
      <c r="J289" s="240" t="n"/>
      <c r="K289" s="240" t="n"/>
      <c r="L289" s="241" t="n"/>
      <c r="M289" s="138" t="n"/>
      <c r="N289" s="241" t="n"/>
      <c r="O289" s="122" t="n"/>
      <c r="P289" s="240" t="n"/>
      <c r="Q289" s="240" t="n"/>
      <c r="R289" s="240" t="n"/>
      <c r="S289" s="240" t="n"/>
      <c r="T289" s="241" t="n"/>
      <c r="U289" s="146" t="n"/>
      <c r="V289" s="227" t="n"/>
      <c r="W289" s="159" t="n"/>
      <c r="X289" s="159" t="n"/>
      <c r="Y289" s="185" t="inlineStr">
        <is>
          <t>DAVID WILDNER</t>
        </is>
      </c>
      <c r="Z289" s="230" t="n"/>
      <c r="AA289" s="231" t="n"/>
      <c r="AB289" s="232">
        <f>IFERROR(VLOOKUP(F289,'DATA BASE'!A:I,3,FALSE),"")</f>
        <v/>
      </c>
      <c r="AC289" s="230" t="n"/>
      <c r="AD289" s="231" t="n"/>
      <c r="AE289" s="233">
        <f>IFERROR(VLOOKUP(F289,'DATA BASE'!A:I,9,FALSE),"")</f>
        <v/>
      </c>
      <c r="AF289" s="231" t="n"/>
      <c r="AG289" s="232">
        <f>IFERROR(VLOOKUP(F289,'DATA BASE'!A:I,6,FALSE),"")</f>
        <v/>
      </c>
      <c r="AH289" s="230" t="n"/>
      <c r="AI289" s="231" t="n"/>
      <c r="AJ289" s="234">
        <f>IFERROR(VLOOKUP(F289,'DATA BASE'!A:I,8,FALSE),"")</f>
        <v/>
      </c>
      <c r="AK289" s="235" t="n"/>
    </row>
    <row r="290" ht="15.5" customHeight="1" s="7">
      <c r="A290" s="242" t="n"/>
      <c r="B290" s="242" t="n"/>
      <c r="C290" s="242" t="n"/>
      <c r="D290" s="242" t="n"/>
      <c r="E290" s="242" t="n"/>
      <c r="F290" s="148" t="n"/>
      <c r="G290" s="228" t="n"/>
      <c r="H290" s="236" t="n"/>
      <c r="I290" s="122" t="n"/>
      <c r="J290" s="240" t="n"/>
      <c r="K290" s="240" t="n"/>
      <c r="L290" s="241" t="n"/>
      <c r="M290" s="122" t="n"/>
      <c r="N290" s="241" t="n"/>
      <c r="O290" s="122" t="n"/>
      <c r="P290" s="240" t="n"/>
      <c r="Q290" s="240" t="n"/>
      <c r="R290" s="240" t="n"/>
      <c r="S290" s="240" t="n"/>
      <c r="T290" s="241" t="n"/>
      <c r="U290" s="243" t="n"/>
      <c r="V290" s="229" t="n"/>
      <c r="W290" s="242" t="n"/>
      <c r="X290" s="242" t="n"/>
      <c r="Y290" s="185">
        <f>VLOOKUP(F289,'DATA BASE'!A:I,2,FALSE)</f>
        <v/>
      </c>
      <c r="Z290" s="230" t="n"/>
      <c r="AA290" s="231" t="n"/>
      <c r="AB290" s="232">
        <f>IFERROR(VLOOKUP(F289,'DATA BASE'!A:I,4,FALSE),"")</f>
        <v/>
      </c>
      <c r="AC290" s="230" t="n"/>
      <c r="AD290" s="231" t="n"/>
      <c r="AE290" s="232">
        <f>IFERROR(VLOOKUP(F289,'DATA BASE'!A:I,5,FALSE),"")</f>
        <v/>
      </c>
      <c r="AF290" s="231" t="n"/>
      <c r="AG290" s="232">
        <f>IFERROR(VLOOKUP(F289,'DATA BASE'!A:I,7,FALSE),"")</f>
        <v/>
      </c>
      <c r="AH290" s="230" t="n"/>
      <c r="AI290" s="231" t="n"/>
      <c r="AJ290" s="238" t="n"/>
      <c r="AK290" s="239" t="n"/>
    </row>
    <row r="291" ht="15.5" customHeight="1" s="7">
      <c r="A291" s="157" t="n"/>
      <c r="B291" s="158" t="n"/>
      <c r="C291" s="159" t="n"/>
      <c r="D291" s="159" t="n"/>
      <c r="E291" s="159" t="n"/>
      <c r="F291" s="148" t="n"/>
      <c r="G291" s="228" t="n"/>
      <c r="H291" s="236" t="n"/>
      <c r="I291" s="122" t="n"/>
      <c r="J291" s="240" t="n"/>
      <c r="K291" s="240" t="n"/>
      <c r="L291" s="241" t="n"/>
      <c r="M291" s="138" t="n"/>
      <c r="N291" s="241" t="n"/>
      <c r="O291" s="122" t="n"/>
      <c r="P291" s="240" t="n"/>
      <c r="Q291" s="240" t="n"/>
      <c r="R291" s="240" t="n"/>
      <c r="S291" s="240" t="n"/>
      <c r="T291" s="241" t="n"/>
      <c r="U291" s="146" t="n"/>
      <c r="V291" s="227" t="n"/>
      <c r="W291" s="159" t="n"/>
      <c r="X291" s="159" t="n"/>
      <c r="Y291" s="185" t="inlineStr">
        <is>
          <t>DAVID WILDNER</t>
        </is>
      </c>
      <c r="Z291" s="230" t="n"/>
      <c r="AA291" s="231" t="n"/>
      <c r="AB291" s="232">
        <f>IFERROR(VLOOKUP(F291,'DATA BASE'!A:I,3,FALSE),"")</f>
        <v/>
      </c>
      <c r="AC291" s="230" t="n"/>
      <c r="AD291" s="231" t="n"/>
      <c r="AE291" s="233">
        <f>IFERROR(VLOOKUP(F291,'DATA BASE'!A:I,9,FALSE),"")</f>
        <v/>
      </c>
      <c r="AF291" s="231" t="n"/>
      <c r="AG291" s="232">
        <f>IFERROR(VLOOKUP(F291,'DATA BASE'!A:I,6,FALSE),"")</f>
        <v/>
      </c>
      <c r="AH291" s="230" t="n"/>
      <c r="AI291" s="231" t="n"/>
      <c r="AJ291" s="234">
        <f>IFERROR(VLOOKUP(F291,'DATA BASE'!A:I,8,FALSE),"")</f>
        <v/>
      </c>
      <c r="AK291" s="235" t="n"/>
    </row>
    <row r="292" ht="15.5" customHeight="1" s="7">
      <c r="A292" s="242" t="n"/>
      <c r="B292" s="242" t="n"/>
      <c r="C292" s="242" t="n"/>
      <c r="D292" s="242" t="n"/>
      <c r="E292" s="242" t="n"/>
      <c r="F292" s="148" t="n"/>
      <c r="G292" s="228" t="n"/>
      <c r="H292" s="236" t="n"/>
      <c r="I292" s="122" t="n"/>
      <c r="J292" s="240" t="n"/>
      <c r="K292" s="240" t="n"/>
      <c r="L292" s="241" t="n"/>
      <c r="M292" s="122" t="n"/>
      <c r="N292" s="241" t="n"/>
      <c r="O292" s="122" t="n"/>
      <c r="P292" s="240" t="n"/>
      <c r="Q292" s="240" t="n"/>
      <c r="R292" s="240" t="n"/>
      <c r="S292" s="240" t="n"/>
      <c r="T292" s="241" t="n"/>
      <c r="U292" s="243" t="n"/>
      <c r="V292" s="229" t="n"/>
      <c r="W292" s="242" t="n"/>
      <c r="X292" s="242" t="n"/>
      <c r="Y292" s="185">
        <f>VLOOKUP(F291,'DATA BASE'!A:I,2,FALSE)</f>
        <v/>
      </c>
      <c r="Z292" s="230" t="n"/>
      <c r="AA292" s="231" t="n"/>
      <c r="AB292" s="232">
        <f>IFERROR(VLOOKUP(F291,'DATA BASE'!A:I,4,FALSE),"")</f>
        <v/>
      </c>
      <c r="AC292" s="230" t="n"/>
      <c r="AD292" s="231" t="n"/>
      <c r="AE292" s="232">
        <f>IFERROR(VLOOKUP(F291,'DATA BASE'!A:I,5,FALSE),"")</f>
        <v/>
      </c>
      <c r="AF292" s="231" t="n"/>
      <c r="AG292" s="232">
        <f>IFERROR(VLOOKUP(F291,'DATA BASE'!A:I,7,FALSE),"")</f>
        <v/>
      </c>
      <c r="AH292" s="230" t="n"/>
      <c r="AI292" s="231" t="n"/>
      <c r="AJ292" s="238" t="n"/>
      <c r="AK292" s="239" t="n"/>
    </row>
    <row r="293" ht="15.5" customHeight="1" s="7">
      <c r="A293" s="157" t="n"/>
      <c r="B293" s="158" t="n"/>
      <c r="C293" s="159" t="n"/>
      <c r="D293" s="159" t="n"/>
      <c r="E293" s="159" t="n"/>
      <c r="F293" s="148" t="n"/>
      <c r="G293" s="228" t="n"/>
      <c r="H293" s="236" t="n"/>
      <c r="I293" s="122" t="n"/>
      <c r="J293" s="240" t="n"/>
      <c r="K293" s="240" t="n"/>
      <c r="L293" s="241" t="n"/>
      <c r="M293" s="138" t="n"/>
      <c r="N293" s="241" t="n"/>
      <c r="O293" s="122" t="n"/>
      <c r="P293" s="240" t="n"/>
      <c r="Q293" s="240" t="n"/>
      <c r="R293" s="240" t="n"/>
      <c r="S293" s="240" t="n"/>
      <c r="T293" s="241" t="n"/>
      <c r="U293" s="146" t="n"/>
      <c r="V293" s="227" t="n"/>
      <c r="W293" s="159" t="n"/>
      <c r="X293" s="159" t="n"/>
      <c r="Y293" s="185" t="inlineStr">
        <is>
          <t>DAVID WILDNER</t>
        </is>
      </c>
      <c r="Z293" s="230" t="n"/>
      <c r="AA293" s="231" t="n"/>
      <c r="AB293" s="232">
        <f>IFERROR(VLOOKUP(F293,'DATA BASE'!A:I,3,FALSE),"")</f>
        <v/>
      </c>
      <c r="AC293" s="230" t="n"/>
      <c r="AD293" s="231" t="n"/>
      <c r="AE293" s="233">
        <f>IFERROR(VLOOKUP(F293,'DATA BASE'!A:I,9,FALSE),"")</f>
        <v/>
      </c>
      <c r="AF293" s="231" t="n"/>
      <c r="AG293" s="232">
        <f>IFERROR(VLOOKUP(F293,'DATA BASE'!A:I,6,FALSE),"")</f>
        <v/>
      </c>
      <c r="AH293" s="230" t="n"/>
      <c r="AI293" s="231" t="n"/>
      <c r="AJ293" s="234">
        <f>IFERROR(VLOOKUP(F293,'DATA BASE'!A:I,8,FALSE),"")</f>
        <v/>
      </c>
      <c r="AK293" s="235" t="n"/>
    </row>
    <row r="294" ht="15.5" customHeight="1" s="7">
      <c r="A294" s="242" t="n"/>
      <c r="B294" s="242" t="n"/>
      <c r="C294" s="242" t="n"/>
      <c r="D294" s="242" t="n"/>
      <c r="E294" s="242" t="n"/>
      <c r="F294" s="148" t="n"/>
      <c r="G294" s="228" t="n"/>
      <c r="H294" s="236" t="n"/>
      <c r="I294" s="122" t="n"/>
      <c r="J294" s="240" t="n"/>
      <c r="K294" s="240" t="n"/>
      <c r="L294" s="241" t="n"/>
      <c r="M294" s="122" t="n"/>
      <c r="N294" s="241" t="n"/>
      <c r="O294" s="122" t="n"/>
      <c r="P294" s="240" t="n"/>
      <c r="Q294" s="240" t="n"/>
      <c r="R294" s="240" t="n"/>
      <c r="S294" s="240" t="n"/>
      <c r="T294" s="241" t="n"/>
      <c r="U294" s="243" t="n"/>
      <c r="V294" s="229" t="n"/>
      <c r="W294" s="242" t="n"/>
      <c r="X294" s="242" t="n"/>
      <c r="Y294" s="185">
        <f>VLOOKUP(F293,'DATA BASE'!A:I,2,FALSE)</f>
        <v/>
      </c>
      <c r="Z294" s="230" t="n"/>
      <c r="AA294" s="231" t="n"/>
      <c r="AB294" s="232">
        <f>IFERROR(VLOOKUP(F293,'DATA BASE'!A:I,4,FALSE),"")</f>
        <v/>
      </c>
      <c r="AC294" s="230" t="n"/>
      <c r="AD294" s="231" t="n"/>
      <c r="AE294" s="232">
        <f>IFERROR(VLOOKUP(F293,'DATA BASE'!A:I,5,FALSE),"")</f>
        <v/>
      </c>
      <c r="AF294" s="231" t="n"/>
      <c r="AG294" s="232">
        <f>IFERROR(VLOOKUP(F293,'DATA BASE'!A:I,7,FALSE),"")</f>
        <v/>
      </c>
      <c r="AH294" s="230" t="n"/>
      <c r="AI294" s="231" t="n"/>
      <c r="AJ294" s="238" t="n"/>
      <c r="AK294" s="239" t="n"/>
    </row>
    <row r="295" ht="15.5" customHeight="1" s="7">
      <c r="A295" s="157" t="n"/>
      <c r="B295" s="158" t="n"/>
      <c r="C295" s="159" t="n"/>
      <c r="D295" s="159" t="n"/>
      <c r="E295" s="159" t="n"/>
      <c r="F295" s="148" t="n"/>
      <c r="G295" s="228" t="n"/>
      <c r="H295" s="236" t="n"/>
      <c r="I295" s="122" t="n"/>
      <c r="J295" s="240" t="n"/>
      <c r="K295" s="240" t="n"/>
      <c r="L295" s="241" t="n"/>
      <c r="M295" s="138" t="n"/>
      <c r="N295" s="241" t="n"/>
      <c r="O295" s="122" t="n"/>
      <c r="P295" s="240" t="n"/>
      <c r="Q295" s="240" t="n"/>
      <c r="R295" s="240" t="n"/>
      <c r="S295" s="240" t="n"/>
      <c r="T295" s="241" t="n"/>
      <c r="U295" s="146" t="n"/>
      <c r="V295" s="227" t="n"/>
      <c r="W295" s="159" t="n"/>
      <c r="X295" s="159" t="n"/>
      <c r="Y295" s="185" t="inlineStr">
        <is>
          <t>DAVID WILDNER</t>
        </is>
      </c>
      <c r="Z295" s="230" t="n"/>
      <c r="AA295" s="231" t="n"/>
      <c r="AB295" s="232">
        <f>IFERROR(VLOOKUP(F295,'DATA BASE'!A:I,3,FALSE),"")</f>
        <v/>
      </c>
      <c r="AC295" s="230" t="n"/>
      <c r="AD295" s="231" t="n"/>
      <c r="AE295" s="233">
        <f>IFERROR(VLOOKUP(F295,'DATA BASE'!A:I,9,FALSE),"")</f>
        <v/>
      </c>
      <c r="AF295" s="231" t="n"/>
      <c r="AG295" s="232">
        <f>IFERROR(VLOOKUP(F295,'DATA BASE'!A:I,6,FALSE),"")</f>
        <v/>
      </c>
      <c r="AH295" s="230" t="n"/>
      <c r="AI295" s="231" t="n"/>
      <c r="AJ295" s="234">
        <f>IFERROR(VLOOKUP(F295,'DATA BASE'!A:I,8,FALSE),"")</f>
        <v/>
      </c>
      <c r="AK295" s="235" t="n"/>
    </row>
    <row r="296" ht="15.5" customHeight="1" s="7">
      <c r="A296" s="242" t="n"/>
      <c r="B296" s="242" t="n"/>
      <c r="C296" s="242" t="n"/>
      <c r="D296" s="242" t="n"/>
      <c r="E296" s="242" t="n"/>
      <c r="F296" s="148" t="n"/>
      <c r="G296" s="228" t="n"/>
      <c r="H296" s="236" t="n"/>
      <c r="I296" s="122" t="n"/>
      <c r="J296" s="240" t="n"/>
      <c r="K296" s="240" t="n"/>
      <c r="L296" s="241" t="n"/>
      <c r="M296" s="122" t="n"/>
      <c r="N296" s="241" t="n"/>
      <c r="O296" s="122" t="n"/>
      <c r="P296" s="240" t="n"/>
      <c r="Q296" s="240" t="n"/>
      <c r="R296" s="240" t="n"/>
      <c r="S296" s="240" t="n"/>
      <c r="T296" s="241" t="n"/>
      <c r="U296" s="243" t="n"/>
      <c r="V296" s="229" t="n"/>
      <c r="W296" s="242" t="n"/>
      <c r="X296" s="242" t="n"/>
      <c r="Y296" s="185">
        <f>VLOOKUP(F295,'DATA BASE'!A:I,2,FALSE)</f>
        <v/>
      </c>
      <c r="Z296" s="230" t="n"/>
      <c r="AA296" s="231" t="n"/>
      <c r="AB296" s="232">
        <f>IFERROR(VLOOKUP(F295,'DATA BASE'!A:I,4,FALSE),"")</f>
        <v/>
      </c>
      <c r="AC296" s="230" t="n"/>
      <c r="AD296" s="231" t="n"/>
      <c r="AE296" s="232">
        <f>IFERROR(VLOOKUP(F295,'DATA BASE'!A:I,5,FALSE),"")</f>
        <v/>
      </c>
      <c r="AF296" s="231" t="n"/>
      <c r="AG296" s="232">
        <f>IFERROR(VLOOKUP(F295,'DATA BASE'!A:I,7,FALSE),"")</f>
        <v/>
      </c>
      <c r="AH296" s="230" t="n"/>
      <c r="AI296" s="231" t="n"/>
      <c r="AJ296" s="238" t="n"/>
      <c r="AK296" s="239" t="n"/>
    </row>
    <row r="297" ht="15.5" customHeight="1" s="7">
      <c r="A297" s="157" t="n"/>
      <c r="B297" s="158" t="n"/>
      <c r="C297" s="159" t="n"/>
      <c r="D297" s="159" t="n"/>
      <c r="E297" s="159" t="n"/>
      <c r="F297" s="148" t="n"/>
      <c r="G297" s="228" t="n"/>
      <c r="H297" s="236" t="n"/>
      <c r="I297" s="122" t="n"/>
      <c r="J297" s="240" t="n"/>
      <c r="K297" s="240" t="n"/>
      <c r="L297" s="241" t="n"/>
      <c r="M297" s="138" t="n"/>
      <c r="N297" s="241" t="n"/>
      <c r="O297" s="122" t="n"/>
      <c r="P297" s="240" t="n"/>
      <c r="Q297" s="240" t="n"/>
      <c r="R297" s="240" t="n"/>
      <c r="S297" s="240" t="n"/>
      <c r="T297" s="241" t="n"/>
      <c r="U297" s="146" t="n"/>
      <c r="V297" s="227" t="n"/>
      <c r="W297" s="159" t="n"/>
      <c r="X297" s="159" t="n"/>
      <c r="Y297" s="185" t="inlineStr">
        <is>
          <t>DAVID WILDNER</t>
        </is>
      </c>
      <c r="Z297" s="230" t="n"/>
      <c r="AA297" s="231" t="n"/>
      <c r="AB297" s="232">
        <f>IFERROR(VLOOKUP(F297,'DATA BASE'!A:I,3,FALSE),"")</f>
        <v/>
      </c>
      <c r="AC297" s="230" t="n"/>
      <c r="AD297" s="231" t="n"/>
      <c r="AE297" s="233">
        <f>IFERROR(VLOOKUP(F297,'DATA BASE'!A:I,9,FALSE),"")</f>
        <v/>
      </c>
      <c r="AF297" s="231" t="n"/>
      <c r="AG297" s="232">
        <f>IFERROR(VLOOKUP(F297,'DATA BASE'!A:I,6,FALSE),"")</f>
        <v/>
      </c>
      <c r="AH297" s="230" t="n"/>
      <c r="AI297" s="231" t="n"/>
      <c r="AJ297" s="234">
        <f>IFERROR(VLOOKUP(F297,'DATA BASE'!A:I,8,FALSE),"")</f>
        <v/>
      </c>
      <c r="AK297" s="235" t="n"/>
    </row>
    <row r="298" ht="15.5" customHeight="1" s="7">
      <c r="A298" s="242" t="n"/>
      <c r="B298" s="242" t="n"/>
      <c r="C298" s="242" t="n"/>
      <c r="D298" s="242" t="n"/>
      <c r="E298" s="242" t="n"/>
      <c r="F298" s="148" t="n"/>
      <c r="G298" s="228" t="n"/>
      <c r="H298" s="236" t="n"/>
      <c r="I298" s="122" t="n"/>
      <c r="J298" s="240" t="n"/>
      <c r="K298" s="240" t="n"/>
      <c r="L298" s="241" t="n"/>
      <c r="M298" s="122" t="n"/>
      <c r="N298" s="241" t="n"/>
      <c r="O298" s="122" t="n"/>
      <c r="P298" s="240" t="n"/>
      <c r="Q298" s="240" t="n"/>
      <c r="R298" s="240" t="n"/>
      <c r="S298" s="240" t="n"/>
      <c r="T298" s="241" t="n"/>
      <c r="U298" s="243" t="n"/>
      <c r="V298" s="229" t="n"/>
      <c r="W298" s="242" t="n"/>
      <c r="X298" s="242" t="n"/>
      <c r="Y298" s="185">
        <f>VLOOKUP(F297,'DATA BASE'!A:I,2,FALSE)</f>
        <v/>
      </c>
      <c r="Z298" s="230" t="n"/>
      <c r="AA298" s="231" t="n"/>
      <c r="AB298" s="232">
        <f>IFERROR(VLOOKUP(F297,'DATA BASE'!A:I,4,FALSE),"")</f>
        <v/>
      </c>
      <c r="AC298" s="230" t="n"/>
      <c r="AD298" s="231" t="n"/>
      <c r="AE298" s="232">
        <f>IFERROR(VLOOKUP(F297,'DATA BASE'!A:I,5,FALSE),"")</f>
        <v/>
      </c>
      <c r="AF298" s="231" t="n"/>
      <c r="AG298" s="232">
        <f>IFERROR(VLOOKUP(F297,'DATA BASE'!A:I,7,FALSE),"")</f>
        <v/>
      </c>
      <c r="AH298" s="230" t="n"/>
      <c r="AI298" s="231" t="n"/>
      <c r="AJ298" s="238" t="n"/>
      <c r="AK298" s="239" t="n"/>
    </row>
    <row r="299" ht="15.5" customHeight="1" s="7">
      <c r="A299" s="157" t="n"/>
      <c r="B299" s="158" t="n"/>
      <c r="C299" s="159" t="n"/>
      <c r="D299" s="159" t="n"/>
      <c r="E299" s="159" t="n"/>
      <c r="F299" s="148" t="n"/>
      <c r="G299" s="228" t="n"/>
      <c r="H299" s="236" t="n"/>
      <c r="I299" s="122" t="n"/>
      <c r="J299" s="240" t="n"/>
      <c r="K299" s="240" t="n"/>
      <c r="L299" s="241" t="n"/>
      <c r="M299" s="138" t="n"/>
      <c r="N299" s="241" t="n"/>
      <c r="O299" s="122" t="n"/>
      <c r="P299" s="240" t="n"/>
      <c r="Q299" s="240" t="n"/>
      <c r="R299" s="240" t="n"/>
      <c r="S299" s="240" t="n"/>
      <c r="T299" s="241" t="n"/>
      <c r="U299" s="146" t="n"/>
      <c r="V299" s="227" t="n"/>
      <c r="W299" s="159" t="n"/>
      <c r="X299" s="159" t="n"/>
      <c r="Y299" s="185" t="inlineStr">
        <is>
          <t>DAVID WILDNER</t>
        </is>
      </c>
      <c r="Z299" s="230" t="n"/>
      <c r="AA299" s="231" t="n"/>
      <c r="AB299" s="232">
        <f>IFERROR(VLOOKUP(F299,'DATA BASE'!A:I,3,FALSE),"")</f>
        <v/>
      </c>
      <c r="AC299" s="230" t="n"/>
      <c r="AD299" s="231" t="n"/>
      <c r="AE299" s="233">
        <f>IFERROR(VLOOKUP(F299,'DATA BASE'!A:I,9,FALSE),"")</f>
        <v/>
      </c>
      <c r="AF299" s="231" t="n"/>
      <c r="AG299" s="232">
        <f>IFERROR(VLOOKUP(F299,'DATA BASE'!A:I,6,FALSE),"")</f>
        <v/>
      </c>
      <c r="AH299" s="230" t="n"/>
      <c r="AI299" s="231" t="n"/>
      <c r="AJ299" s="234">
        <f>IFERROR(VLOOKUP(F299,'DATA BASE'!A:I,8,FALSE),"")</f>
        <v/>
      </c>
      <c r="AK299" s="235" t="n"/>
    </row>
    <row r="300" ht="15.5" customHeight="1" s="7">
      <c r="A300" s="242" t="n"/>
      <c r="B300" s="242" t="n"/>
      <c r="C300" s="242" t="n"/>
      <c r="D300" s="242" t="n"/>
      <c r="E300" s="242" t="n"/>
      <c r="F300" s="148" t="n"/>
      <c r="G300" s="228" t="n"/>
      <c r="H300" s="236" t="n"/>
      <c r="I300" s="122" t="n"/>
      <c r="J300" s="240" t="n"/>
      <c r="K300" s="240" t="n"/>
      <c r="L300" s="241" t="n"/>
      <c r="M300" s="122" t="n"/>
      <c r="N300" s="241" t="n"/>
      <c r="O300" s="122" t="n"/>
      <c r="P300" s="240" t="n"/>
      <c r="Q300" s="240" t="n"/>
      <c r="R300" s="240" t="n"/>
      <c r="S300" s="240" t="n"/>
      <c r="T300" s="241" t="n"/>
      <c r="U300" s="243" t="n"/>
      <c r="V300" s="229" t="n"/>
      <c r="W300" s="242" t="n"/>
      <c r="X300" s="242" t="n"/>
      <c r="Y300" s="185">
        <f>VLOOKUP(F299,'DATA BASE'!A:I,2,FALSE)</f>
        <v/>
      </c>
      <c r="Z300" s="230" t="n"/>
      <c r="AA300" s="231" t="n"/>
      <c r="AB300" s="232">
        <f>IFERROR(VLOOKUP(F299,'DATA BASE'!A:I,4,FALSE),"")</f>
        <v/>
      </c>
      <c r="AC300" s="230" t="n"/>
      <c r="AD300" s="231" t="n"/>
      <c r="AE300" s="232">
        <f>IFERROR(VLOOKUP(F299,'DATA BASE'!A:I,5,FALSE),"")</f>
        <v/>
      </c>
      <c r="AF300" s="231" t="n"/>
      <c r="AG300" s="232">
        <f>IFERROR(VLOOKUP(F299,'DATA BASE'!A:I,7,FALSE),"")</f>
        <v/>
      </c>
      <c r="AH300" s="230" t="n"/>
      <c r="AI300" s="231" t="n"/>
      <c r="AJ300" s="238" t="n"/>
      <c r="AK300" s="239" t="n"/>
    </row>
    <row r="301" ht="15.5" customHeight="1" s="7">
      <c r="A301" s="157" t="n"/>
      <c r="B301" s="158" t="n"/>
      <c r="C301" s="159" t="n"/>
      <c r="D301" s="159" t="n"/>
      <c r="E301" s="159" t="n"/>
      <c r="F301" s="148" t="n"/>
      <c r="G301" s="228" t="n"/>
      <c r="H301" s="236" t="n"/>
      <c r="I301" s="122" t="n"/>
      <c r="J301" s="240" t="n"/>
      <c r="K301" s="240" t="n"/>
      <c r="L301" s="241" t="n"/>
      <c r="M301" s="138" t="n"/>
      <c r="N301" s="241" t="n"/>
      <c r="O301" s="122" t="n"/>
      <c r="P301" s="240" t="n"/>
      <c r="Q301" s="240" t="n"/>
      <c r="R301" s="240" t="n"/>
      <c r="S301" s="240" t="n"/>
      <c r="T301" s="241" t="n"/>
      <c r="U301" s="146" t="n"/>
      <c r="V301" s="227" t="n"/>
      <c r="W301" s="159" t="n"/>
      <c r="X301" s="159" t="n"/>
      <c r="Y301" s="185" t="inlineStr">
        <is>
          <t>DAVID WILDNER</t>
        </is>
      </c>
      <c r="Z301" s="230" t="n"/>
      <c r="AA301" s="231" t="n"/>
      <c r="AB301" s="232">
        <f>IFERROR(VLOOKUP(F301,'DATA BASE'!A:I,3,FALSE),"")</f>
        <v/>
      </c>
      <c r="AC301" s="230" t="n"/>
      <c r="AD301" s="231" t="n"/>
      <c r="AE301" s="233">
        <f>IFERROR(VLOOKUP(F301,'DATA BASE'!A:I,9,FALSE),"")</f>
        <v/>
      </c>
      <c r="AF301" s="231" t="n"/>
      <c r="AG301" s="232">
        <f>IFERROR(VLOOKUP(F301,'DATA BASE'!A:I,6,FALSE),"")</f>
        <v/>
      </c>
      <c r="AH301" s="230" t="n"/>
      <c r="AI301" s="231" t="n"/>
      <c r="AJ301" s="234">
        <f>IFERROR(VLOOKUP(F301,'DATA BASE'!A:I,8,FALSE),"")</f>
        <v/>
      </c>
      <c r="AK301" s="235" t="n"/>
    </row>
    <row r="302" ht="15.5" customHeight="1" s="7">
      <c r="A302" s="242" t="n"/>
      <c r="B302" s="242" t="n"/>
      <c r="C302" s="242" t="n"/>
      <c r="D302" s="242" t="n"/>
      <c r="E302" s="242" t="n"/>
      <c r="F302" s="148" t="n"/>
      <c r="G302" s="228" t="n"/>
      <c r="H302" s="236" t="n"/>
      <c r="I302" s="122" t="n"/>
      <c r="J302" s="240" t="n"/>
      <c r="K302" s="240" t="n"/>
      <c r="L302" s="241" t="n"/>
      <c r="M302" s="122" t="n"/>
      <c r="N302" s="241" t="n"/>
      <c r="O302" s="122" t="n"/>
      <c r="P302" s="240" t="n"/>
      <c r="Q302" s="240" t="n"/>
      <c r="R302" s="240" t="n"/>
      <c r="S302" s="240" t="n"/>
      <c r="T302" s="241" t="n"/>
      <c r="U302" s="243" t="n"/>
      <c r="V302" s="229" t="n"/>
      <c r="W302" s="242" t="n"/>
      <c r="X302" s="242" t="n"/>
      <c r="Y302" s="185">
        <f>VLOOKUP(F301,'DATA BASE'!A:I,2,FALSE)</f>
        <v/>
      </c>
      <c r="Z302" s="230" t="n"/>
      <c r="AA302" s="231" t="n"/>
      <c r="AB302" s="232">
        <f>IFERROR(VLOOKUP(F301,'DATA BASE'!A:I,4,FALSE),"")</f>
        <v/>
      </c>
      <c r="AC302" s="230" t="n"/>
      <c r="AD302" s="231" t="n"/>
      <c r="AE302" s="232">
        <f>IFERROR(VLOOKUP(F301,'DATA BASE'!A:I,5,FALSE),"")</f>
        <v/>
      </c>
      <c r="AF302" s="231" t="n"/>
      <c r="AG302" s="232">
        <f>IFERROR(VLOOKUP(F301,'DATA BASE'!A:I,7,FALSE),"")</f>
        <v/>
      </c>
      <c r="AH302" s="230" t="n"/>
      <c r="AI302" s="231" t="n"/>
      <c r="AJ302" s="238" t="n"/>
      <c r="AK302" s="239" t="n"/>
    </row>
    <row r="303" ht="15.5" customHeight="1" s="7">
      <c r="A303" s="157" t="n"/>
      <c r="B303" s="158" t="n"/>
      <c r="C303" s="159" t="n"/>
      <c r="D303" s="159" t="n"/>
      <c r="E303" s="159" t="n"/>
      <c r="F303" s="148" t="n"/>
      <c r="G303" s="228" t="n"/>
      <c r="H303" s="236" t="n"/>
      <c r="I303" s="122" t="n"/>
      <c r="J303" s="240" t="n"/>
      <c r="K303" s="240" t="n"/>
      <c r="L303" s="241" t="n"/>
      <c r="M303" s="138" t="n"/>
      <c r="N303" s="241" t="n"/>
      <c r="O303" s="122" t="n"/>
      <c r="P303" s="240" t="n"/>
      <c r="Q303" s="240" t="n"/>
      <c r="R303" s="240" t="n"/>
      <c r="S303" s="240" t="n"/>
      <c r="T303" s="241" t="n"/>
      <c r="U303" s="146" t="n"/>
      <c r="V303" s="227" t="n"/>
      <c r="W303" s="159" t="n"/>
      <c r="X303" s="159" t="n"/>
      <c r="Y303" s="185" t="inlineStr">
        <is>
          <t>DAVID WILDNER</t>
        </is>
      </c>
      <c r="Z303" s="230" t="n"/>
      <c r="AA303" s="231" t="n"/>
      <c r="AB303" s="232">
        <f>IFERROR(VLOOKUP(F303,'DATA BASE'!A:I,3,FALSE),"")</f>
        <v/>
      </c>
      <c r="AC303" s="230" t="n"/>
      <c r="AD303" s="231" t="n"/>
      <c r="AE303" s="233">
        <f>IFERROR(VLOOKUP(F303,'DATA BASE'!A:I,9,FALSE),"")</f>
        <v/>
      </c>
      <c r="AF303" s="231" t="n"/>
      <c r="AG303" s="232">
        <f>IFERROR(VLOOKUP(F303,'DATA BASE'!A:I,6,FALSE),"")</f>
        <v/>
      </c>
      <c r="AH303" s="230" t="n"/>
      <c r="AI303" s="231" t="n"/>
      <c r="AJ303" s="234">
        <f>IFERROR(VLOOKUP(F303,'DATA BASE'!A:I,8,FALSE),"")</f>
        <v/>
      </c>
      <c r="AK303" s="235" t="n"/>
    </row>
    <row r="304" ht="15.5" customHeight="1" s="7">
      <c r="A304" s="242" t="n"/>
      <c r="B304" s="242" t="n"/>
      <c r="C304" s="242" t="n"/>
      <c r="D304" s="242" t="n"/>
      <c r="E304" s="242" t="n"/>
      <c r="F304" s="148" t="n"/>
      <c r="G304" s="228" t="n"/>
      <c r="H304" s="236" t="n"/>
      <c r="I304" s="122" t="n"/>
      <c r="J304" s="240" t="n"/>
      <c r="K304" s="240" t="n"/>
      <c r="L304" s="241" t="n"/>
      <c r="M304" s="122" t="n"/>
      <c r="N304" s="241" t="n"/>
      <c r="O304" s="122" t="n"/>
      <c r="P304" s="240" t="n"/>
      <c r="Q304" s="240" t="n"/>
      <c r="R304" s="240" t="n"/>
      <c r="S304" s="240" t="n"/>
      <c r="T304" s="241" t="n"/>
      <c r="U304" s="243" t="n"/>
      <c r="V304" s="229" t="n"/>
      <c r="W304" s="242" t="n"/>
      <c r="X304" s="242" t="n"/>
      <c r="Y304" s="185">
        <f>VLOOKUP(F303,'DATA BASE'!A:I,2,FALSE)</f>
        <v/>
      </c>
      <c r="Z304" s="230" t="n"/>
      <c r="AA304" s="231" t="n"/>
      <c r="AB304" s="232">
        <f>IFERROR(VLOOKUP(F303,'DATA BASE'!A:I,4,FALSE),"")</f>
        <v/>
      </c>
      <c r="AC304" s="230" t="n"/>
      <c r="AD304" s="231" t="n"/>
      <c r="AE304" s="232">
        <f>IFERROR(VLOOKUP(F303,'DATA BASE'!A:I,5,FALSE),"")</f>
        <v/>
      </c>
      <c r="AF304" s="231" t="n"/>
      <c r="AG304" s="232">
        <f>IFERROR(VLOOKUP(F303,'DATA BASE'!A:I,7,FALSE),"")</f>
        <v/>
      </c>
      <c r="AH304" s="230" t="n"/>
      <c r="AI304" s="231" t="n"/>
      <c r="AJ304" s="238" t="n"/>
      <c r="AK304" s="239" t="n"/>
    </row>
    <row r="305" ht="15.5" customHeight="1" s="7">
      <c r="A305" s="157" t="n"/>
      <c r="B305" s="158" t="n"/>
      <c r="C305" s="159" t="n"/>
      <c r="D305" s="159" t="n"/>
      <c r="E305" s="159" t="n"/>
      <c r="F305" s="148" t="n"/>
      <c r="G305" s="228" t="n"/>
      <c r="H305" s="236" t="n"/>
      <c r="I305" s="122" t="n"/>
      <c r="J305" s="240" t="n"/>
      <c r="K305" s="240" t="n"/>
      <c r="L305" s="241" t="n"/>
      <c r="M305" s="138" t="n"/>
      <c r="N305" s="241" t="n"/>
      <c r="O305" s="122" t="n"/>
      <c r="P305" s="240" t="n"/>
      <c r="Q305" s="240" t="n"/>
      <c r="R305" s="240" t="n"/>
      <c r="S305" s="240" t="n"/>
      <c r="T305" s="241" t="n"/>
      <c r="U305" s="146" t="n"/>
      <c r="V305" s="227" t="n"/>
      <c r="W305" s="159" t="n"/>
      <c r="X305" s="159" t="n"/>
      <c r="Y305" s="185" t="inlineStr">
        <is>
          <t>DAVID WILDNER</t>
        </is>
      </c>
      <c r="Z305" s="230" t="n"/>
      <c r="AA305" s="231" t="n"/>
      <c r="AB305" s="232">
        <f>IFERROR(VLOOKUP(F305,'DATA BASE'!A:I,3,FALSE),"")</f>
        <v/>
      </c>
      <c r="AC305" s="230" t="n"/>
      <c r="AD305" s="231" t="n"/>
      <c r="AE305" s="233">
        <f>IFERROR(VLOOKUP(F305,'DATA BASE'!A:I,9,FALSE),"")</f>
        <v/>
      </c>
      <c r="AF305" s="231" t="n"/>
      <c r="AG305" s="232">
        <f>IFERROR(VLOOKUP(F305,'DATA BASE'!A:I,6,FALSE),"")</f>
        <v/>
      </c>
      <c r="AH305" s="230" t="n"/>
      <c r="AI305" s="231" t="n"/>
      <c r="AJ305" s="234">
        <f>IFERROR(VLOOKUP(F305,'DATA BASE'!A:I,8,FALSE),"")</f>
        <v/>
      </c>
      <c r="AK305" s="235" t="n"/>
    </row>
    <row r="306" ht="15.5" customHeight="1" s="7">
      <c r="A306" s="242" t="n"/>
      <c r="B306" s="242" t="n"/>
      <c r="C306" s="242" t="n"/>
      <c r="D306" s="242" t="n"/>
      <c r="E306" s="242" t="n"/>
      <c r="F306" s="148" t="n"/>
      <c r="G306" s="228" t="n"/>
      <c r="H306" s="236" t="n"/>
      <c r="I306" s="122" t="n"/>
      <c r="J306" s="240" t="n"/>
      <c r="K306" s="240" t="n"/>
      <c r="L306" s="241" t="n"/>
      <c r="M306" s="122" t="n"/>
      <c r="N306" s="241" t="n"/>
      <c r="O306" s="122" t="n"/>
      <c r="P306" s="240" t="n"/>
      <c r="Q306" s="240" t="n"/>
      <c r="R306" s="240" t="n"/>
      <c r="S306" s="240" t="n"/>
      <c r="T306" s="241" t="n"/>
      <c r="U306" s="243" t="n"/>
      <c r="V306" s="229" t="n"/>
      <c r="W306" s="242" t="n"/>
      <c r="X306" s="242" t="n"/>
      <c r="Y306" s="185">
        <f>VLOOKUP(F305,'DATA BASE'!A:I,2,FALSE)</f>
        <v/>
      </c>
      <c r="Z306" s="230" t="n"/>
      <c r="AA306" s="231" t="n"/>
      <c r="AB306" s="232">
        <f>IFERROR(VLOOKUP(F305,'DATA BASE'!A:I,4,FALSE),"")</f>
        <v/>
      </c>
      <c r="AC306" s="230" t="n"/>
      <c r="AD306" s="231" t="n"/>
      <c r="AE306" s="232">
        <f>IFERROR(VLOOKUP(F305,'DATA BASE'!A:I,5,FALSE),"")</f>
        <v/>
      </c>
      <c r="AF306" s="231" t="n"/>
      <c r="AG306" s="232">
        <f>IFERROR(VLOOKUP(F305,'DATA BASE'!A:I,7,FALSE),"")</f>
        <v/>
      </c>
      <c r="AH306" s="230" t="n"/>
      <c r="AI306" s="231" t="n"/>
      <c r="AJ306" s="238" t="n"/>
      <c r="AK306" s="239" t="n"/>
    </row>
    <row r="307" ht="15.5" customHeight="1" s="7">
      <c r="A307" s="157" t="n"/>
      <c r="B307" s="158" t="n"/>
      <c r="C307" s="159" t="n"/>
      <c r="D307" s="159" t="n"/>
      <c r="E307" s="159" t="n"/>
      <c r="F307" s="148" t="n"/>
      <c r="G307" s="228" t="n"/>
      <c r="H307" s="236" t="n"/>
      <c r="I307" s="122" t="n"/>
      <c r="J307" s="240" t="n"/>
      <c r="K307" s="240" t="n"/>
      <c r="L307" s="241" t="n"/>
      <c r="M307" s="138" t="n"/>
      <c r="N307" s="241" t="n"/>
      <c r="O307" s="122" t="n"/>
      <c r="P307" s="240" t="n"/>
      <c r="Q307" s="240" t="n"/>
      <c r="R307" s="240" t="n"/>
      <c r="S307" s="240" t="n"/>
      <c r="T307" s="241" t="n"/>
      <c r="U307" s="146" t="n"/>
      <c r="V307" s="227" t="n"/>
      <c r="W307" s="159" t="n"/>
      <c r="X307" s="159" t="n"/>
      <c r="Y307" s="185" t="inlineStr">
        <is>
          <t>DAVID WILDNER</t>
        </is>
      </c>
      <c r="Z307" s="230" t="n"/>
      <c r="AA307" s="231" t="n"/>
      <c r="AB307" s="232">
        <f>IFERROR(VLOOKUP(F307,'DATA BASE'!A:I,3,FALSE),"")</f>
        <v/>
      </c>
      <c r="AC307" s="230" t="n"/>
      <c r="AD307" s="231" t="n"/>
      <c r="AE307" s="233">
        <f>IFERROR(VLOOKUP(F307,'DATA BASE'!A:I,9,FALSE),"")</f>
        <v/>
      </c>
      <c r="AF307" s="231" t="n"/>
      <c r="AG307" s="232">
        <f>IFERROR(VLOOKUP(F307,'DATA BASE'!A:I,6,FALSE),"")</f>
        <v/>
      </c>
      <c r="AH307" s="230" t="n"/>
      <c r="AI307" s="231" t="n"/>
      <c r="AJ307" s="234">
        <f>IFERROR(VLOOKUP(F307,'DATA BASE'!A:I,8,FALSE),"")</f>
        <v/>
      </c>
      <c r="AK307" s="235" t="n"/>
    </row>
    <row r="308" ht="15.5" customHeight="1" s="7">
      <c r="A308" s="242" t="n"/>
      <c r="B308" s="242" t="n"/>
      <c r="C308" s="242" t="n"/>
      <c r="D308" s="242" t="n"/>
      <c r="E308" s="242" t="n"/>
      <c r="F308" s="148" t="n"/>
      <c r="G308" s="228" t="n"/>
      <c r="H308" s="236" t="n"/>
      <c r="I308" s="122" t="n"/>
      <c r="J308" s="240" t="n"/>
      <c r="K308" s="240" t="n"/>
      <c r="L308" s="241" t="n"/>
      <c r="M308" s="122" t="n"/>
      <c r="N308" s="241" t="n"/>
      <c r="O308" s="122" t="n"/>
      <c r="P308" s="240" t="n"/>
      <c r="Q308" s="240" t="n"/>
      <c r="R308" s="240" t="n"/>
      <c r="S308" s="240" t="n"/>
      <c r="T308" s="241" t="n"/>
      <c r="U308" s="243" t="n"/>
      <c r="V308" s="229" t="n"/>
      <c r="W308" s="242" t="n"/>
      <c r="X308" s="242" t="n"/>
      <c r="Y308" s="185">
        <f>VLOOKUP(F307,'DATA BASE'!A:I,2,FALSE)</f>
        <v/>
      </c>
      <c r="Z308" s="230" t="n"/>
      <c r="AA308" s="231" t="n"/>
      <c r="AB308" s="232">
        <f>IFERROR(VLOOKUP(F307,'DATA BASE'!A:I,4,FALSE),"")</f>
        <v/>
      </c>
      <c r="AC308" s="230" t="n"/>
      <c r="AD308" s="231" t="n"/>
      <c r="AE308" s="232">
        <f>IFERROR(VLOOKUP(F307,'DATA BASE'!A:I,5,FALSE),"")</f>
        <v/>
      </c>
      <c r="AF308" s="231" t="n"/>
      <c r="AG308" s="232">
        <f>IFERROR(VLOOKUP(F307,'DATA BASE'!A:I,7,FALSE),"")</f>
        <v/>
      </c>
      <c r="AH308" s="230" t="n"/>
      <c r="AI308" s="231" t="n"/>
      <c r="AJ308" s="238" t="n"/>
      <c r="AK308" s="239" t="n"/>
    </row>
    <row r="309" ht="15.5" customHeight="1" s="7">
      <c r="A309" s="157" t="n"/>
      <c r="B309" s="158" t="n"/>
      <c r="C309" s="159" t="n"/>
      <c r="D309" s="159" t="n"/>
      <c r="E309" s="159" t="n"/>
      <c r="F309" s="148" t="n"/>
      <c r="G309" s="228" t="n"/>
      <c r="H309" s="236" t="n"/>
      <c r="I309" s="122" t="n"/>
      <c r="J309" s="240" t="n"/>
      <c r="K309" s="240" t="n"/>
      <c r="L309" s="241" t="n"/>
      <c r="M309" s="138" t="n"/>
      <c r="N309" s="241" t="n"/>
      <c r="O309" s="122" t="n"/>
      <c r="P309" s="240" t="n"/>
      <c r="Q309" s="240" t="n"/>
      <c r="R309" s="240" t="n"/>
      <c r="S309" s="240" t="n"/>
      <c r="T309" s="241" t="n"/>
      <c r="U309" s="146" t="n"/>
      <c r="V309" s="227" t="n"/>
      <c r="W309" s="159" t="n"/>
      <c r="X309" s="159" t="n"/>
      <c r="Y309" s="185" t="inlineStr">
        <is>
          <t>DAVID WILDNER</t>
        </is>
      </c>
      <c r="Z309" s="230" t="n"/>
      <c r="AA309" s="231" t="n"/>
      <c r="AB309" s="232">
        <f>IFERROR(VLOOKUP(F309,'DATA BASE'!A:I,3,FALSE),"")</f>
        <v/>
      </c>
      <c r="AC309" s="230" t="n"/>
      <c r="AD309" s="231" t="n"/>
      <c r="AE309" s="233">
        <f>IFERROR(VLOOKUP(F309,'DATA BASE'!A:I,9,FALSE),"")</f>
        <v/>
      </c>
      <c r="AF309" s="231" t="n"/>
      <c r="AG309" s="232">
        <f>IFERROR(VLOOKUP(F309,'DATA BASE'!A:I,6,FALSE),"")</f>
        <v/>
      </c>
      <c r="AH309" s="230" t="n"/>
      <c r="AI309" s="231" t="n"/>
      <c r="AJ309" s="234">
        <f>IFERROR(VLOOKUP(F309,'DATA BASE'!A:I,8,FALSE),"")</f>
        <v/>
      </c>
      <c r="AK309" s="235" t="n"/>
    </row>
    <row r="310" ht="15.5" customHeight="1" s="7">
      <c r="A310" s="242" t="n"/>
      <c r="B310" s="242" t="n"/>
      <c r="C310" s="242" t="n"/>
      <c r="D310" s="242" t="n"/>
      <c r="E310" s="242" t="n"/>
      <c r="F310" s="148" t="n"/>
      <c r="G310" s="228" t="n"/>
      <c r="H310" s="236" t="n"/>
      <c r="I310" s="122" t="n"/>
      <c r="J310" s="240" t="n"/>
      <c r="K310" s="240" t="n"/>
      <c r="L310" s="241" t="n"/>
      <c r="M310" s="122" t="n"/>
      <c r="N310" s="241" t="n"/>
      <c r="O310" s="122" t="n"/>
      <c r="P310" s="240" t="n"/>
      <c r="Q310" s="240" t="n"/>
      <c r="R310" s="240" t="n"/>
      <c r="S310" s="240" t="n"/>
      <c r="T310" s="241" t="n"/>
      <c r="U310" s="243" t="n"/>
      <c r="V310" s="229" t="n"/>
      <c r="W310" s="242" t="n"/>
      <c r="X310" s="242" t="n"/>
      <c r="Y310" s="185">
        <f>VLOOKUP(F309,'DATA BASE'!A:I,2,FALSE)</f>
        <v/>
      </c>
      <c r="Z310" s="230" t="n"/>
      <c r="AA310" s="231" t="n"/>
      <c r="AB310" s="232">
        <f>IFERROR(VLOOKUP(F309,'DATA BASE'!A:I,4,FALSE),"")</f>
        <v/>
      </c>
      <c r="AC310" s="230" t="n"/>
      <c r="AD310" s="231" t="n"/>
      <c r="AE310" s="232">
        <f>IFERROR(VLOOKUP(F309,'DATA BASE'!A:I,5,FALSE),"")</f>
        <v/>
      </c>
      <c r="AF310" s="231" t="n"/>
      <c r="AG310" s="232">
        <f>IFERROR(VLOOKUP(F309,'DATA BASE'!A:I,7,FALSE),"")</f>
        <v/>
      </c>
      <c r="AH310" s="230" t="n"/>
      <c r="AI310" s="231" t="n"/>
      <c r="AJ310" s="238" t="n"/>
      <c r="AK310" s="239" t="n"/>
    </row>
    <row r="311" ht="15.5" customHeight="1" s="7">
      <c r="A311" s="157" t="n"/>
      <c r="B311" s="158" t="n"/>
      <c r="C311" s="159" t="n"/>
      <c r="D311" s="159" t="n"/>
      <c r="E311" s="159" t="n"/>
      <c r="F311" s="148" t="n"/>
      <c r="G311" s="228" t="n"/>
      <c r="H311" s="236" t="n"/>
      <c r="I311" s="122" t="n"/>
      <c r="J311" s="240" t="n"/>
      <c r="K311" s="240" t="n"/>
      <c r="L311" s="241" t="n"/>
      <c r="M311" s="138" t="n"/>
      <c r="N311" s="241" t="n"/>
      <c r="O311" s="122" t="n"/>
      <c r="P311" s="240" t="n"/>
      <c r="Q311" s="240" t="n"/>
      <c r="R311" s="240" t="n"/>
      <c r="S311" s="240" t="n"/>
      <c r="T311" s="241" t="n"/>
      <c r="U311" s="146" t="n"/>
      <c r="V311" s="227" t="n"/>
      <c r="W311" s="159" t="n"/>
      <c r="X311" s="159" t="n"/>
      <c r="Y311" s="185" t="inlineStr">
        <is>
          <t>DAVID WILDNER</t>
        </is>
      </c>
      <c r="Z311" s="230" t="n"/>
      <c r="AA311" s="231" t="n"/>
      <c r="AB311" s="232">
        <f>IFERROR(VLOOKUP(F311,'DATA BASE'!A:I,3,FALSE),"")</f>
        <v/>
      </c>
      <c r="AC311" s="230" t="n"/>
      <c r="AD311" s="231" t="n"/>
      <c r="AE311" s="233">
        <f>IFERROR(VLOOKUP(F311,'DATA BASE'!A:I,9,FALSE),"")</f>
        <v/>
      </c>
      <c r="AF311" s="231" t="n"/>
      <c r="AG311" s="232">
        <f>IFERROR(VLOOKUP(F311,'DATA BASE'!A:I,6,FALSE),"")</f>
        <v/>
      </c>
      <c r="AH311" s="230" t="n"/>
      <c r="AI311" s="231" t="n"/>
      <c r="AJ311" s="234">
        <f>IFERROR(VLOOKUP(F311,'DATA BASE'!A:I,8,FALSE),"")</f>
        <v/>
      </c>
      <c r="AK311" s="235" t="n"/>
    </row>
    <row r="312" ht="15.5" customHeight="1" s="7">
      <c r="A312" s="242" t="n"/>
      <c r="B312" s="242" t="n"/>
      <c r="C312" s="242" t="n"/>
      <c r="D312" s="242" t="n"/>
      <c r="E312" s="242" t="n"/>
      <c r="F312" s="148" t="n"/>
      <c r="G312" s="228" t="n"/>
      <c r="H312" s="236" t="n"/>
      <c r="I312" s="122" t="n"/>
      <c r="J312" s="240" t="n"/>
      <c r="K312" s="240" t="n"/>
      <c r="L312" s="241" t="n"/>
      <c r="M312" s="122" t="n"/>
      <c r="N312" s="241" t="n"/>
      <c r="O312" s="122" t="n"/>
      <c r="P312" s="240" t="n"/>
      <c r="Q312" s="240" t="n"/>
      <c r="R312" s="240" t="n"/>
      <c r="S312" s="240" t="n"/>
      <c r="T312" s="241" t="n"/>
      <c r="U312" s="243" t="n"/>
      <c r="V312" s="229" t="n"/>
      <c r="W312" s="242" t="n"/>
      <c r="X312" s="242" t="n"/>
      <c r="Y312" s="185">
        <f>VLOOKUP(F311,'DATA BASE'!A:I,2,FALSE)</f>
        <v/>
      </c>
      <c r="Z312" s="230" t="n"/>
      <c r="AA312" s="231" t="n"/>
      <c r="AB312" s="232">
        <f>IFERROR(VLOOKUP(F311,'DATA BASE'!A:I,4,FALSE),"")</f>
        <v/>
      </c>
      <c r="AC312" s="230" t="n"/>
      <c r="AD312" s="231" t="n"/>
      <c r="AE312" s="232">
        <f>IFERROR(VLOOKUP(F311,'DATA BASE'!A:I,5,FALSE),"")</f>
        <v/>
      </c>
      <c r="AF312" s="231" t="n"/>
      <c r="AG312" s="232">
        <f>IFERROR(VLOOKUP(F311,'DATA BASE'!A:I,7,FALSE),"")</f>
        <v/>
      </c>
      <c r="AH312" s="230" t="n"/>
      <c r="AI312" s="231" t="n"/>
      <c r="AJ312" s="238" t="n"/>
      <c r="AK312" s="239" t="n"/>
    </row>
    <row r="313" ht="15.5" customHeight="1" s="7">
      <c r="A313" s="157" t="n"/>
      <c r="B313" s="158" t="n"/>
      <c r="C313" s="159" t="n"/>
      <c r="D313" s="159" t="n"/>
      <c r="E313" s="159" t="n"/>
      <c r="F313" s="148" t="n"/>
      <c r="G313" s="228" t="n"/>
      <c r="H313" s="236" t="n"/>
      <c r="I313" s="122" t="n"/>
      <c r="J313" s="240" t="n"/>
      <c r="K313" s="240" t="n"/>
      <c r="L313" s="241" t="n"/>
      <c r="M313" s="138" t="n"/>
      <c r="N313" s="241" t="n"/>
      <c r="O313" s="122" t="n"/>
      <c r="P313" s="240" t="n"/>
      <c r="Q313" s="240" t="n"/>
      <c r="R313" s="240" t="n"/>
      <c r="S313" s="240" t="n"/>
      <c r="T313" s="241" t="n"/>
      <c r="U313" s="146" t="n"/>
      <c r="V313" s="227" t="n"/>
      <c r="W313" s="159" t="n"/>
      <c r="X313" s="159" t="n"/>
      <c r="Y313" s="185" t="inlineStr">
        <is>
          <t>DAVID WILDNER</t>
        </is>
      </c>
      <c r="Z313" s="230" t="n"/>
      <c r="AA313" s="231" t="n"/>
      <c r="AB313" s="232">
        <f>IFERROR(VLOOKUP(F313,'DATA BASE'!A:I,3,FALSE),"")</f>
        <v/>
      </c>
      <c r="AC313" s="230" t="n"/>
      <c r="AD313" s="231" t="n"/>
      <c r="AE313" s="233">
        <f>IFERROR(VLOOKUP(F313,'DATA BASE'!A:I,9,FALSE),"")</f>
        <v/>
      </c>
      <c r="AF313" s="231" t="n"/>
      <c r="AG313" s="232">
        <f>IFERROR(VLOOKUP(F313,'DATA BASE'!A:I,6,FALSE),"")</f>
        <v/>
      </c>
      <c r="AH313" s="230" t="n"/>
      <c r="AI313" s="231" t="n"/>
      <c r="AJ313" s="234">
        <f>IFERROR(VLOOKUP(F313,'DATA BASE'!A:I,8,FALSE),"")</f>
        <v/>
      </c>
      <c r="AK313" s="235" t="n"/>
    </row>
    <row r="314" ht="15.5" customHeight="1" s="7">
      <c r="A314" s="242" t="n"/>
      <c r="B314" s="242" t="n"/>
      <c r="C314" s="242" t="n"/>
      <c r="D314" s="242" t="n"/>
      <c r="E314" s="242" t="n"/>
      <c r="F314" s="148" t="n"/>
      <c r="G314" s="228" t="n"/>
      <c r="H314" s="236" t="n"/>
      <c r="I314" s="122" t="n"/>
      <c r="J314" s="240" t="n"/>
      <c r="K314" s="240" t="n"/>
      <c r="L314" s="241" t="n"/>
      <c r="M314" s="122" t="n"/>
      <c r="N314" s="241" t="n"/>
      <c r="O314" s="122" t="n"/>
      <c r="P314" s="240" t="n"/>
      <c r="Q314" s="240" t="n"/>
      <c r="R314" s="240" t="n"/>
      <c r="S314" s="240" t="n"/>
      <c r="T314" s="241" t="n"/>
      <c r="U314" s="243" t="n"/>
      <c r="V314" s="229" t="n"/>
      <c r="W314" s="242" t="n"/>
      <c r="X314" s="242" t="n"/>
      <c r="Y314" s="185">
        <f>VLOOKUP(F313,'DATA BASE'!A:I,2,FALSE)</f>
        <v/>
      </c>
      <c r="Z314" s="230" t="n"/>
      <c r="AA314" s="231" t="n"/>
      <c r="AB314" s="232">
        <f>IFERROR(VLOOKUP(F313,'DATA BASE'!A:I,4,FALSE),"")</f>
        <v/>
      </c>
      <c r="AC314" s="230" t="n"/>
      <c r="AD314" s="231" t="n"/>
      <c r="AE314" s="232">
        <f>IFERROR(VLOOKUP(F313,'DATA BASE'!A:I,5,FALSE),"")</f>
        <v/>
      </c>
      <c r="AF314" s="231" t="n"/>
      <c r="AG314" s="232">
        <f>IFERROR(VLOOKUP(F313,'DATA BASE'!A:I,7,FALSE),"")</f>
        <v/>
      </c>
      <c r="AH314" s="230" t="n"/>
      <c r="AI314" s="231" t="n"/>
      <c r="AJ314" s="238" t="n"/>
      <c r="AK314" s="239" t="n"/>
    </row>
    <row r="315" ht="15.5" customHeight="1" s="7">
      <c r="A315" s="157" t="n"/>
      <c r="B315" s="158" t="n"/>
      <c r="C315" s="159" t="n"/>
      <c r="D315" s="159" t="n"/>
      <c r="E315" s="159" t="n"/>
      <c r="F315" s="148" t="n"/>
      <c r="G315" s="228" t="n"/>
      <c r="H315" s="236" t="n"/>
      <c r="I315" s="122" t="n"/>
      <c r="J315" s="240" t="n"/>
      <c r="K315" s="240" t="n"/>
      <c r="L315" s="241" t="n"/>
      <c r="M315" s="138" t="n"/>
      <c r="N315" s="241" t="n"/>
      <c r="O315" s="122" t="n"/>
      <c r="P315" s="240" t="n"/>
      <c r="Q315" s="240" t="n"/>
      <c r="R315" s="240" t="n"/>
      <c r="S315" s="240" t="n"/>
      <c r="T315" s="241" t="n"/>
      <c r="U315" s="146" t="n"/>
      <c r="V315" s="227" t="n"/>
      <c r="W315" s="159" t="n"/>
      <c r="X315" s="159" t="n"/>
      <c r="Y315" s="185" t="inlineStr">
        <is>
          <t>DAVID WILDNER</t>
        </is>
      </c>
      <c r="Z315" s="230" t="n"/>
      <c r="AA315" s="231" t="n"/>
      <c r="AB315" s="232">
        <f>IFERROR(VLOOKUP(F315,'DATA BASE'!A:I,3,FALSE),"")</f>
        <v/>
      </c>
      <c r="AC315" s="230" t="n"/>
      <c r="AD315" s="231" t="n"/>
      <c r="AE315" s="233">
        <f>IFERROR(VLOOKUP(F315,'DATA BASE'!A:I,9,FALSE),"")</f>
        <v/>
      </c>
      <c r="AF315" s="231" t="n"/>
      <c r="AG315" s="232">
        <f>IFERROR(VLOOKUP(F315,'DATA BASE'!A:I,6,FALSE),"")</f>
        <v/>
      </c>
      <c r="AH315" s="230" t="n"/>
      <c r="AI315" s="231" t="n"/>
      <c r="AJ315" s="234">
        <f>IFERROR(VLOOKUP(F315,'DATA BASE'!A:I,8,FALSE),"")</f>
        <v/>
      </c>
      <c r="AK315" s="235" t="n"/>
    </row>
    <row r="316" ht="15.5" customHeight="1" s="7">
      <c r="A316" s="242" t="n"/>
      <c r="B316" s="242" t="n"/>
      <c r="C316" s="242" t="n"/>
      <c r="D316" s="242" t="n"/>
      <c r="E316" s="242" t="n"/>
      <c r="F316" s="148" t="n"/>
      <c r="G316" s="228" t="n"/>
      <c r="H316" s="236" t="n"/>
      <c r="I316" s="122" t="n"/>
      <c r="J316" s="240" t="n"/>
      <c r="K316" s="240" t="n"/>
      <c r="L316" s="241" t="n"/>
      <c r="M316" s="122" t="n"/>
      <c r="N316" s="241" t="n"/>
      <c r="O316" s="122" t="n"/>
      <c r="P316" s="240" t="n"/>
      <c r="Q316" s="240" t="n"/>
      <c r="R316" s="240" t="n"/>
      <c r="S316" s="240" t="n"/>
      <c r="T316" s="241" t="n"/>
      <c r="U316" s="243" t="n"/>
      <c r="V316" s="229" t="n"/>
      <c r="W316" s="242" t="n"/>
      <c r="X316" s="242" t="n"/>
      <c r="Y316" s="185">
        <f>VLOOKUP(F315,'DATA BASE'!A:I,2,FALSE)</f>
        <v/>
      </c>
      <c r="Z316" s="230" t="n"/>
      <c r="AA316" s="231" t="n"/>
      <c r="AB316" s="232">
        <f>IFERROR(VLOOKUP(F315,'DATA BASE'!A:I,4,FALSE),"")</f>
        <v/>
      </c>
      <c r="AC316" s="230" t="n"/>
      <c r="AD316" s="231" t="n"/>
      <c r="AE316" s="232">
        <f>IFERROR(VLOOKUP(F315,'DATA BASE'!A:I,5,FALSE),"")</f>
        <v/>
      </c>
      <c r="AF316" s="231" t="n"/>
      <c r="AG316" s="232">
        <f>IFERROR(VLOOKUP(F315,'DATA BASE'!A:I,7,FALSE),"")</f>
        <v/>
      </c>
      <c r="AH316" s="230" t="n"/>
      <c r="AI316" s="231" t="n"/>
      <c r="AJ316" s="238" t="n"/>
      <c r="AK316" s="239" t="n"/>
    </row>
    <row r="317" ht="15.5" customHeight="1" s="7">
      <c r="A317" s="157" t="n"/>
      <c r="B317" s="158" t="n"/>
      <c r="C317" s="159" t="n"/>
      <c r="D317" s="159" t="n"/>
      <c r="E317" s="159" t="n"/>
      <c r="F317" s="148" t="n"/>
      <c r="G317" s="228" t="n"/>
      <c r="H317" s="236" t="n"/>
      <c r="I317" s="122" t="n"/>
      <c r="J317" s="240" t="n"/>
      <c r="K317" s="240" t="n"/>
      <c r="L317" s="241" t="n"/>
      <c r="M317" s="138" t="n"/>
      <c r="N317" s="241" t="n"/>
      <c r="O317" s="122" t="n"/>
      <c r="P317" s="240" t="n"/>
      <c r="Q317" s="240" t="n"/>
      <c r="R317" s="240" t="n"/>
      <c r="S317" s="240" t="n"/>
      <c r="T317" s="241" t="n"/>
      <c r="U317" s="146" t="n"/>
      <c r="V317" s="227" t="n"/>
      <c r="W317" s="159" t="n"/>
      <c r="X317" s="159" t="n"/>
      <c r="Y317" s="185" t="inlineStr">
        <is>
          <t>DAVID WILDNER</t>
        </is>
      </c>
      <c r="Z317" s="230" t="n"/>
      <c r="AA317" s="231" t="n"/>
      <c r="AB317" s="232">
        <f>IFERROR(VLOOKUP(F317,'DATA BASE'!A:I,3,FALSE),"")</f>
        <v/>
      </c>
      <c r="AC317" s="230" t="n"/>
      <c r="AD317" s="231" t="n"/>
      <c r="AE317" s="233">
        <f>IFERROR(VLOOKUP(F317,'DATA BASE'!A:I,9,FALSE),"")</f>
        <v/>
      </c>
      <c r="AF317" s="231" t="n"/>
      <c r="AG317" s="232">
        <f>IFERROR(VLOOKUP(F317,'DATA BASE'!A:I,6,FALSE),"")</f>
        <v/>
      </c>
      <c r="AH317" s="230" t="n"/>
      <c r="AI317" s="231" t="n"/>
      <c r="AJ317" s="234">
        <f>IFERROR(VLOOKUP(F317,'DATA BASE'!A:I,8,FALSE),"")</f>
        <v/>
      </c>
      <c r="AK317" s="235" t="n"/>
    </row>
    <row r="318" ht="15.5" customHeight="1" s="7">
      <c r="A318" s="242" t="n"/>
      <c r="B318" s="242" t="n"/>
      <c r="C318" s="242" t="n"/>
      <c r="D318" s="242" t="n"/>
      <c r="E318" s="242" t="n"/>
      <c r="F318" s="148" t="n"/>
      <c r="G318" s="228" t="n"/>
      <c r="H318" s="236" t="n"/>
      <c r="I318" s="122" t="n"/>
      <c r="J318" s="240" t="n"/>
      <c r="K318" s="240" t="n"/>
      <c r="L318" s="241" t="n"/>
      <c r="M318" s="122" t="n"/>
      <c r="N318" s="241" t="n"/>
      <c r="O318" s="122" t="n"/>
      <c r="P318" s="240" t="n"/>
      <c r="Q318" s="240" t="n"/>
      <c r="R318" s="240" t="n"/>
      <c r="S318" s="240" t="n"/>
      <c r="T318" s="241" t="n"/>
      <c r="U318" s="243" t="n"/>
      <c r="V318" s="229" t="n"/>
      <c r="W318" s="242" t="n"/>
      <c r="X318" s="242" t="n"/>
      <c r="Y318" s="185">
        <f>VLOOKUP(F317,'DATA BASE'!A:I,2,FALSE)</f>
        <v/>
      </c>
      <c r="Z318" s="230" t="n"/>
      <c r="AA318" s="231" t="n"/>
      <c r="AB318" s="232">
        <f>IFERROR(VLOOKUP(F317,'DATA BASE'!A:I,4,FALSE),"")</f>
        <v/>
      </c>
      <c r="AC318" s="230" t="n"/>
      <c r="AD318" s="231" t="n"/>
      <c r="AE318" s="232">
        <f>IFERROR(VLOOKUP(F317,'DATA BASE'!A:I,5,FALSE),"")</f>
        <v/>
      </c>
      <c r="AF318" s="231" t="n"/>
      <c r="AG318" s="232">
        <f>IFERROR(VLOOKUP(F317,'DATA BASE'!A:I,7,FALSE),"")</f>
        <v/>
      </c>
      <c r="AH318" s="230" t="n"/>
      <c r="AI318" s="231" t="n"/>
      <c r="AJ318" s="238" t="n"/>
      <c r="AK318" s="239" t="n"/>
    </row>
    <row r="319" ht="15.5" customHeight="1" s="7">
      <c r="A319" s="157" t="n"/>
      <c r="B319" s="158" t="n"/>
      <c r="C319" s="159" t="n"/>
      <c r="D319" s="159" t="n"/>
      <c r="E319" s="159" t="n"/>
      <c r="F319" s="148" t="n"/>
      <c r="G319" s="228" t="n"/>
      <c r="H319" s="236" t="n"/>
      <c r="I319" s="122" t="n"/>
      <c r="J319" s="240" t="n"/>
      <c r="K319" s="240" t="n"/>
      <c r="L319" s="241" t="n"/>
      <c r="M319" s="138" t="n"/>
      <c r="N319" s="241" t="n"/>
      <c r="O319" s="122" t="n"/>
      <c r="P319" s="240" t="n"/>
      <c r="Q319" s="240" t="n"/>
      <c r="R319" s="240" t="n"/>
      <c r="S319" s="240" t="n"/>
      <c r="T319" s="241" t="n"/>
      <c r="U319" s="146" t="n"/>
      <c r="V319" s="227" t="n"/>
      <c r="W319" s="159" t="n"/>
      <c r="X319" s="159" t="n"/>
      <c r="Y319" s="185" t="inlineStr">
        <is>
          <t>DAVID WILDNER</t>
        </is>
      </c>
      <c r="Z319" s="230" t="n"/>
      <c r="AA319" s="231" t="n"/>
      <c r="AB319" s="232">
        <f>IFERROR(VLOOKUP(F319,'DATA BASE'!A:I,3,FALSE),"")</f>
        <v/>
      </c>
      <c r="AC319" s="230" t="n"/>
      <c r="AD319" s="231" t="n"/>
      <c r="AE319" s="233">
        <f>IFERROR(VLOOKUP(F319,'DATA BASE'!A:I,9,FALSE),"")</f>
        <v/>
      </c>
      <c r="AF319" s="231" t="n"/>
      <c r="AG319" s="232">
        <f>IFERROR(VLOOKUP(F319,'DATA BASE'!A:I,6,FALSE),"")</f>
        <v/>
      </c>
      <c r="AH319" s="230" t="n"/>
      <c r="AI319" s="231" t="n"/>
      <c r="AJ319" s="234">
        <f>IFERROR(VLOOKUP(F319,'DATA BASE'!A:I,8,FALSE),"")</f>
        <v/>
      </c>
      <c r="AK319" s="235" t="n"/>
    </row>
    <row r="320" ht="15.5" customHeight="1" s="7">
      <c r="A320" s="242" t="n"/>
      <c r="B320" s="242" t="n"/>
      <c r="C320" s="242" t="n"/>
      <c r="D320" s="242" t="n"/>
      <c r="E320" s="242" t="n"/>
      <c r="F320" s="148" t="n"/>
      <c r="G320" s="228" t="n"/>
      <c r="H320" s="236" t="n"/>
      <c r="I320" s="122" t="n"/>
      <c r="J320" s="240" t="n"/>
      <c r="K320" s="240" t="n"/>
      <c r="L320" s="241" t="n"/>
      <c r="M320" s="122" t="n"/>
      <c r="N320" s="241" t="n"/>
      <c r="O320" s="122" t="n"/>
      <c r="P320" s="240" t="n"/>
      <c r="Q320" s="240" t="n"/>
      <c r="R320" s="240" t="n"/>
      <c r="S320" s="240" t="n"/>
      <c r="T320" s="241" t="n"/>
      <c r="U320" s="243" t="n"/>
      <c r="V320" s="229" t="n"/>
      <c r="W320" s="242" t="n"/>
      <c r="X320" s="242" t="n"/>
      <c r="Y320" s="185">
        <f>VLOOKUP(F319,'DATA BASE'!A:I,2,FALSE)</f>
        <v/>
      </c>
      <c r="Z320" s="230" t="n"/>
      <c r="AA320" s="231" t="n"/>
      <c r="AB320" s="232">
        <f>IFERROR(VLOOKUP(F319,'DATA BASE'!A:I,4,FALSE),"")</f>
        <v/>
      </c>
      <c r="AC320" s="230" t="n"/>
      <c r="AD320" s="231" t="n"/>
      <c r="AE320" s="232">
        <f>IFERROR(VLOOKUP(F319,'DATA BASE'!A:I,5,FALSE),"")</f>
        <v/>
      </c>
      <c r="AF320" s="231" t="n"/>
      <c r="AG320" s="232">
        <f>IFERROR(VLOOKUP(F319,'DATA BASE'!A:I,7,FALSE),"")</f>
        <v/>
      </c>
      <c r="AH320" s="230" t="n"/>
      <c r="AI320" s="231" t="n"/>
      <c r="AJ320" s="238" t="n"/>
      <c r="AK320" s="239" t="n"/>
    </row>
    <row r="321" ht="15.5" customHeight="1" s="7">
      <c r="A321" s="157" t="n"/>
      <c r="B321" s="158" t="n"/>
      <c r="C321" s="159" t="n"/>
      <c r="D321" s="159" t="n"/>
      <c r="E321" s="159" t="n"/>
      <c r="F321" s="148" t="n"/>
      <c r="G321" s="228" t="n"/>
      <c r="H321" s="236" t="n"/>
      <c r="I321" s="122" t="n"/>
      <c r="J321" s="240" t="n"/>
      <c r="K321" s="240" t="n"/>
      <c r="L321" s="241" t="n"/>
      <c r="M321" s="138" t="n"/>
      <c r="N321" s="241" t="n"/>
      <c r="O321" s="122" t="n"/>
      <c r="P321" s="240" t="n"/>
      <c r="Q321" s="240" t="n"/>
      <c r="R321" s="240" t="n"/>
      <c r="S321" s="240" t="n"/>
      <c r="T321" s="241" t="n"/>
      <c r="U321" s="146" t="n"/>
      <c r="V321" s="227" t="n"/>
      <c r="W321" s="159" t="n"/>
      <c r="X321" s="159" t="n"/>
      <c r="Y321" s="185" t="inlineStr">
        <is>
          <t>DAVID WILDNER</t>
        </is>
      </c>
      <c r="Z321" s="230" t="n"/>
      <c r="AA321" s="231" t="n"/>
      <c r="AB321" s="232">
        <f>IFERROR(VLOOKUP(F321,'DATA BASE'!A:I,3,FALSE),"")</f>
        <v/>
      </c>
      <c r="AC321" s="230" t="n"/>
      <c r="AD321" s="231" t="n"/>
      <c r="AE321" s="233">
        <f>IFERROR(VLOOKUP(F321,'DATA BASE'!A:I,9,FALSE),"")</f>
        <v/>
      </c>
      <c r="AF321" s="231" t="n"/>
      <c r="AG321" s="232">
        <f>IFERROR(VLOOKUP(F321,'DATA BASE'!A:I,6,FALSE),"")</f>
        <v/>
      </c>
      <c r="AH321" s="230" t="n"/>
      <c r="AI321" s="231" t="n"/>
      <c r="AJ321" s="234">
        <f>IFERROR(VLOOKUP(F321,'DATA BASE'!A:I,8,FALSE),"")</f>
        <v/>
      </c>
      <c r="AK321" s="235" t="n"/>
    </row>
    <row r="322" ht="15.5" customHeight="1" s="7">
      <c r="A322" s="242" t="n"/>
      <c r="B322" s="242" t="n"/>
      <c r="C322" s="242" t="n"/>
      <c r="D322" s="242" t="n"/>
      <c r="E322" s="242" t="n"/>
      <c r="F322" s="148" t="n"/>
      <c r="G322" s="228" t="n"/>
      <c r="H322" s="236" t="n"/>
      <c r="I322" s="122" t="n"/>
      <c r="J322" s="240" t="n"/>
      <c r="K322" s="240" t="n"/>
      <c r="L322" s="241" t="n"/>
      <c r="M322" s="122" t="n"/>
      <c r="N322" s="241" t="n"/>
      <c r="O322" s="122" t="n"/>
      <c r="P322" s="240" t="n"/>
      <c r="Q322" s="240" t="n"/>
      <c r="R322" s="240" t="n"/>
      <c r="S322" s="240" t="n"/>
      <c r="T322" s="241" t="n"/>
      <c r="U322" s="243" t="n"/>
      <c r="V322" s="229" t="n"/>
      <c r="W322" s="242" t="n"/>
      <c r="X322" s="242" t="n"/>
      <c r="Y322" s="185">
        <f>VLOOKUP(F321,'DATA BASE'!A:I,2,FALSE)</f>
        <v/>
      </c>
      <c r="Z322" s="230" t="n"/>
      <c r="AA322" s="231" t="n"/>
      <c r="AB322" s="232">
        <f>IFERROR(VLOOKUP(F321,'DATA BASE'!A:I,4,FALSE),"")</f>
        <v/>
      </c>
      <c r="AC322" s="230" t="n"/>
      <c r="AD322" s="231" t="n"/>
      <c r="AE322" s="232">
        <f>IFERROR(VLOOKUP(F321,'DATA BASE'!A:I,5,FALSE),"")</f>
        <v/>
      </c>
      <c r="AF322" s="231" t="n"/>
      <c r="AG322" s="232">
        <f>IFERROR(VLOOKUP(F321,'DATA BASE'!A:I,7,FALSE),"")</f>
        <v/>
      </c>
      <c r="AH322" s="230" t="n"/>
      <c r="AI322" s="231" t="n"/>
      <c r="AJ322" s="238" t="n"/>
      <c r="AK322" s="239" t="n"/>
    </row>
    <row r="323" ht="15.5" customHeight="1" s="7">
      <c r="A323" s="157" t="n"/>
      <c r="B323" s="158" t="n"/>
      <c r="C323" s="159" t="n"/>
      <c r="D323" s="159" t="n"/>
      <c r="E323" s="159" t="n"/>
      <c r="F323" s="148" t="n"/>
      <c r="G323" s="228" t="n"/>
      <c r="H323" s="236" t="n"/>
      <c r="I323" s="122" t="n"/>
      <c r="J323" s="240" t="n"/>
      <c r="K323" s="240" t="n"/>
      <c r="L323" s="241" t="n"/>
      <c r="M323" s="138" t="n"/>
      <c r="N323" s="241" t="n"/>
      <c r="O323" s="122" t="n"/>
      <c r="P323" s="240" t="n"/>
      <c r="Q323" s="240" t="n"/>
      <c r="R323" s="240" t="n"/>
      <c r="S323" s="240" t="n"/>
      <c r="T323" s="241" t="n"/>
      <c r="U323" s="146" t="n"/>
      <c r="V323" s="227" t="n"/>
      <c r="W323" s="159" t="n"/>
      <c r="X323" s="159" t="n"/>
      <c r="Y323" s="185" t="inlineStr">
        <is>
          <t>DAVID WILDNER</t>
        </is>
      </c>
      <c r="Z323" s="230" t="n"/>
      <c r="AA323" s="231" t="n"/>
      <c r="AB323" s="232">
        <f>IFERROR(VLOOKUP(F323,'DATA BASE'!A:I,3,FALSE),"")</f>
        <v/>
      </c>
      <c r="AC323" s="230" t="n"/>
      <c r="AD323" s="231" t="n"/>
      <c r="AE323" s="233">
        <f>IFERROR(VLOOKUP(F323,'DATA BASE'!A:I,9,FALSE),"")</f>
        <v/>
      </c>
      <c r="AF323" s="231" t="n"/>
      <c r="AG323" s="232">
        <f>IFERROR(VLOOKUP(F323,'DATA BASE'!A:I,6,FALSE),"")</f>
        <v/>
      </c>
      <c r="AH323" s="230" t="n"/>
      <c r="AI323" s="231" t="n"/>
      <c r="AJ323" s="234">
        <f>IFERROR(VLOOKUP(F323,'DATA BASE'!A:I,8,FALSE),"")</f>
        <v/>
      </c>
      <c r="AK323" s="235" t="n"/>
    </row>
    <row r="324" ht="15.5" customHeight="1" s="7">
      <c r="A324" s="242" t="n"/>
      <c r="B324" s="242" t="n"/>
      <c r="C324" s="242" t="n"/>
      <c r="D324" s="242" t="n"/>
      <c r="E324" s="242" t="n"/>
      <c r="F324" s="148" t="n"/>
      <c r="G324" s="228" t="n"/>
      <c r="H324" s="236" t="n"/>
      <c r="I324" s="122" t="n"/>
      <c r="J324" s="240" t="n"/>
      <c r="K324" s="240" t="n"/>
      <c r="L324" s="241" t="n"/>
      <c r="M324" s="122" t="n"/>
      <c r="N324" s="241" t="n"/>
      <c r="O324" s="122" t="n"/>
      <c r="P324" s="240" t="n"/>
      <c r="Q324" s="240" t="n"/>
      <c r="R324" s="240" t="n"/>
      <c r="S324" s="240" t="n"/>
      <c r="T324" s="241" t="n"/>
      <c r="U324" s="243" t="n"/>
      <c r="V324" s="229" t="n"/>
      <c r="W324" s="242" t="n"/>
      <c r="X324" s="242" t="n"/>
      <c r="Y324" s="185">
        <f>VLOOKUP(F323,'DATA BASE'!A:I,2,FALSE)</f>
        <v/>
      </c>
      <c r="Z324" s="230" t="n"/>
      <c r="AA324" s="231" t="n"/>
      <c r="AB324" s="232">
        <f>IFERROR(VLOOKUP(F323,'DATA BASE'!A:I,4,FALSE),"")</f>
        <v/>
      </c>
      <c r="AC324" s="230" t="n"/>
      <c r="AD324" s="231" t="n"/>
      <c r="AE324" s="232">
        <f>IFERROR(VLOOKUP(F323,'DATA BASE'!A:I,5,FALSE),"")</f>
        <v/>
      </c>
      <c r="AF324" s="231" t="n"/>
      <c r="AG324" s="232">
        <f>IFERROR(VLOOKUP(F323,'DATA BASE'!A:I,7,FALSE),"")</f>
        <v/>
      </c>
      <c r="AH324" s="230" t="n"/>
      <c r="AI324" s="231" t="n"/>
      <c r="AJ324" s="238" t="n"/>
      <c r="AK324" s="239" t="n"/>
    </row>
    <row r="325" ht="15.5" customHeight="1" s="7">
      <c r="A325" s="157" t="n"/>
      <c r="B325" s="158" t="n"/>
      <c r="C325" s="159" t="n"/>
      <c r="D325" s="159" t="n"/>
      <c r="E325" s="159" t="n"/>
      <c r="F325" s="148" t="n"/>
      <c r="G325" s="228" t="n"/>
      <c r="H325" s="236" t="n"/>
      <c r="I325" s="122" t="n"/>
      <c r="J325" s="240" t="n"/>
      <c r="K325" s="240" t="n"/>
      <c r="L325" s="241" t="n"/>
      <c r="M325" s="138" t="n"/>
      <c r="N325" s="241" t="n"/>
      <c r="O325" s="122" t="n"/>
      <c r="P325" s="240" t="n"/>
      <c r="Q325" s="240" t="n"/>
      <c r="R325" s="240" t="n"/>
      <c r="S325" s="240" t="n"/>
      <c r="T325" s="241" t="n"/>
      <c r="U325" s="146" t="n"/>
      <c r="V325" s="227" t="n"/>
      <c r="W325" s="159" t="n"/>
      <c r="X325" s="159" t="n"/>
      <c r="Y325" s="185" t="inlineStr">
        <is>
          <t>DAVID WILDNER</t>
        </is>
      </c>
      <c r="Z325" s="230" t="n"/>
      <c r="AA325" s="231" t="n"/>
      <c r="AB325" s="232">
        <f>IFERROR(VLOOKUP(F325,'DATA BASE'!A:I,3,FALSE),"")</f>
        <v/>
      </c>
      <c r="AC325" s="230" t="n"/>
      <c r="AD325" s="231" t="n"/>
      <c r="AE325" s="233">
        <f>IFERROR(VLOOKUP(F325,'DATA BASE'!A:I,9,FALSE),"")</f>
        <v/>
      </c>
      <c r="AF325" s="231" t="n"/>
      <c r="AG325" s="232">
        <f>IFERROR(VLOOKUP(F325,'DATA BASE'!A:I,6,FALSE),"")</f>
        <v/>
      </c>
      <c r="AH325" s="230" t="n"/>
      <c r="AI325" s="231" t="n"/>
      <c r="AJ325" s="234">
        <f>IFERROR(VLOOKUP(F325,'DATA BASE'!A:I,8,FALSE),"")</f>
        <v/>
      </c>
      <c r="AK325" s="235" t="n"/>
    </row>
    <row r="326" ht="15.5" customHeight="1" s="7">
      <c r="A326" s="242" t="n"/>
      <c r="B326" s="242" t="n"/>
      <c r="C326" s="242" t="n"/>
      <c r="D326" s="242" t="n"/>
      <c r="E326" s="242" t="n"/>
      <c r="F326" s="148" t="n"/>
      <c r="G326" s="228" t="n"/>
      <c r="H326" s="236" t="n"/>
      <c r="I326" s="122" t="n"/>
      <c r="J326" s="240" t="n"/>
      <c r="K326" s="240" t="n"/>
      <c r="L326" s="241" t="n"/>
      <c r="M326" s="122" t="n"/>
      <c r="N326" s="241" t="n"/>
      <c r="O326" s="122" t="n"/>
      <c r="P326" s="240" t="n"/>
      <c r="Q326" s="240" t="n"/>
      <c r="R326" s="240" t="n"/>
      <c r="S326" s="240" t="n"/>
      <c r="T326" s="241" t="n"/>
      <c r="U326" s="243" t="n"/>
      <c r="V326" s="229" t="n"/>
      <c r="W326" s="242" t="n"/>
      <c r="X326" s="242" t="n"/>
      <c r="Y326" s="185">
        <f>VLOOKUP(F325,'DATA BASE'!A:I,2,FALSE)</f>
        <v/>
      </c>
      <c r="Z326" s="230" t="n"/>
      <c r="AA326" s="231" t="n"/>
      <c r="AB326" s="232">
        <f>IFERROR(VLOOKUP(F325,'DATA BASE'!A:I,4,FALSE),"")</f>
        <v/>
      </c>
      <c r="AC326" s="230" t="n"/>
      <c r="AD326" s="231" t="n"/>
      <c r="AE326" s="232">
        <f>IFERROR(VLOOKUP(F325,'DATA BASE'!A:I,5,FALSE),"")</f>
        <v/>
      </c>
      <c r="AF326" s="231" t="n"/>
      <c r="AG326" s="232">
        <f>IFERROR(VLOOKUP(F325,'DATA BASE'!A:I,7,FALSE),"")</f>
        <v/>
      </c>
      <c r="AH326" s="230" t="n"/>
      <c r="AI326" s="231" t="n"/>
      <c r="AJ326" s="238" t="n"/>
      <c r="AK326" s="239" t="n"/>
    </row>
    <row r="327" ht="15.5" customHeight="1" s="7">
      <c r="A327" s="157" t="n"/>
      <c r="B327" s="158" t="n"/>
      <c r="C327" s="159" t="n"/>
      <c r="D327" s="159" t="n"/>
      <c r="E327" s="159" t="n"/>
      <c r="F327" s="148" t="n"/>
      <c r="G327" s="228" t="n"/>
      <c r="H327" s="236" t="n"/>
      <c r="I327" s="122" t="n"/>
      <c r="J327" s="240" t="n"/>
      <c r="K327" s="240" t="n"/>
      <c r="L327" s="241" t="n"/>
      <c r="M327" s="138" t="n"/>
      <c r="N327" s="241" t="n"/>
      <c r="O327" s="122" t="n"/>
      <c r="P327" s="240" t="n"/>
      <c r="Q327" s="240" t="n"/>
      <c r="R327" s="240" t="n"/>
      <c r="S327" s="240" t="n"/>
      <c r="T327" s="241" t="n"/>
      <c r="U327" s="146" t="n"/>
      <c r="V327" s="227" t="n"/>
      <c r="W327" s="159" t="n"/>
      <c r="X327" s="159" t="n"/>
      <c r="Y327" s="185" t="inlineStr">
        <is>
          <t>DAVID WILDNER</t>
        </is>
      </c>
      <c r="Z327" s="230" t="n"/>
      <c r="AA327" s="231" t="n"/>
      <c r="AB327" s="232">
        <f>IFERROR(VLOOKUP(F327,'DATA BASE'!A:I,3,FALSE),"")</f>
        <v/>
      </c>
      <c r="AC327" s="230" t="n"/>
      <c r="AD327" s="231" t="n"/>
      <c r="AE327" s="233">
        <f>IFERROR(VLOOKUP(F327,'DATA BASE'!A:I,9,FALSE),"")</f>
        <v/>
      </c>
      <c r="AF327" s="231" t="n"/>
      <c r="AG327" s="232">
        <f>IFERROR(VLOOKUP(F327,'DATA BASE'!A:I,6,FALSE),"")</f>
        <v/>
      </c>
      <c r="AH327" s="230" t="n"/>
      <c r="AI327" s="231" t="n"/>
      <c r="AJ327" s="234">
        <f>IFERROR(VLOOKUP(F327,'DATA BASE'!A:I,8,FALSE),"")</f>
        <v/>
      </c>
      <c r="AK327" s="235" t="n"/>
    </row>
    <row r="328" ht="15.5" customHeight="1" s="7">
      <c r="A328" s="242" t="n"/>
      <c r="B328" s="242" t="n"/>
      <c r="C328" s="242" t="n"/>
      <c r="D328" s="242" t="n"/>
      <c r="E328" s="242" t="n"/>
      <c r="F328" s="148" t="n"/>
      <c r="G328" s="228" t="n"/>
      <c r="H328" s="236" t="n"/>
      <c r="I328" s="122" t="n"/>
      <c r="J328" s="240" t="n"/>
      <c r="K328" s="240" t="n"/>
      <c r="L328" s="241" t="n"/>
      <c r="M328" s="122" t="n"/>
      <c r="N328" s="241" t="n"/>
      <c r="O328" s="122" t="n"/>
      <c r="P328" s="240" t="n"/>
      <c r="Q328" s="240" t="n"/>
      <c r="R328" s="240" t="n"/>
      <c r="S328" s="240" t="n"/>
      <c r="T328" s="241" t="n"/>
      <c r="U328" s="243" t="n"/>
      <c r="V328" s="229" t="n"/>
      <c r="W328" s="242" t="n"/>
      <c r="X328" s="242" t="n"/>
      <c r="Y328" s="185">
        <f>VLOOKUP(F327,'DATA BASE'!A:I,2,FALSE)</f>
        <v/>
      </c>
      <c r="Z328" s="230" t="n"/>
      <c r="AA328" s="231" t="n"/>
      <c r="AB328" s="232">
        <f>IFERROR(VLOOKUP(F327,'DATA BASE'!A:I,4,FALSE),"")</f>
        <v/>
      </c>
      <c r="AC328" s="230" t="n"/>
      <c r="AD328" s="231" t="n"/>
      <c r="AE328" s="232">
        <f>IFERROR(VLOOKUP(F327,'DATA BASE'!A:I,5,FALSE),"")</f>
        <v/>
      </c>
      <c r="AF328" s="231" t="n"/>
      <c r="AG328" s="232">
        <f>IFERROR(VLOOKUP(F327,'DATA BASE'!A:I,7,FALSE),"")</f>
        <v/>
      </c>
      <c r="AH328" s="230" t="n"/>
      <c r="AI328" s="231" t="n"/>
      <c r="AJ328" s="238" t="n"/>
      <c r="AK328" s="239" t="n"/>
    </row>
    <row r="329" ht="15.5" customHeight="1" s="7">
      <c r="A329" s="157" t="n"/>
      <c r="B329" s="158" t="n"/>
      <c r="C329" s="159" t="n"/>
      <c r="D329" s="159" t="n"/>
      <c r="E329" s="159" t="n"/>
      <c r="F329" s="148" t="n"/>
      <c r="G329" s="228" t="n"/>
      <c r="H329" s="236" t="n"/>
      <c r="I329" s="122" t="n"/>
      <c r="J329" s="240" t="n"/>
      <c r="K329" s="240" t="n"/>
      <c r="L329" s="241" t="n"/>
      <c r="M329" s="138" t="n"/>
      <c r="N329" s="241" t="n"/>
      <c r="O329" s="122" t="n"/>
      <c r="P329" s="240" t="n"/>
      <c r="Q329" s="240" t="n"/>
      <c r="R329" s="240" t="n"/>
      <c r="S329" s="240" t="n"/>
      <c r="T329" s="241" t="n"/>
      <c r="U329" s="146" t="n"/>
      <c r="V329" s="227" t="n"/>
      <c r="W329" s="159" t="n"/>
      <c r="X329" s="159" t="n"/>
      <c r="Y329" s="185" t="inlineStr">
        <is>
          <t>DAVID WILDNER</t>
        </is>
      </c>
      <c r="Z329" s="230" t="n"/>
      <c r="AA329" s="231" t="n"/>
      <c r="AB329" s="232">
        <f>IFERROR(VLOOKUP(F329,'DATA BASE'!A:I,3,FALSE),"")</f>
        <v/>
      </c>
      <c r="AC329" s="230" t="n"/>
      <c r="AD329" s="231" t="n"/>
      <c r="AE329" s="233">
        <f>IFERROR(VLOOKUP(F329,'DATA BASE'!A:I,9,FALSE),"")</f>
        <v/>
      </c>
      <c r="AF329" s="231" t="n"/>
      <c r="AG329" s="232">
        <f>IFERROR(VLOOKUP(F329,'DATA BASE'!A:I,6,FALSE),"")</f>
        <v/>
      </c>
      <c r="AH329" s="230" t="n"/>
      <c r="AI329" s="231" t="n"/>
      <c r="AJ329" s="234">
        <f>IFERROR(VLOOKUP(F329,'DATA BASE'!A:I,8,FALSE),"")</f>
        <v/>
      </c>
      <c r="AK329" s="235" t="n"/>
    </row>
    <row r="330" ht="15.5" customHeight="1" s="7">
      <c r="A330" s="242" t="n"/>
      <c r="B330" s="242" t="n"/>
      <c r="C330" s="242" t="n"/>
      <c r="D330" s="242" t="n"/>
      <c r="E330" s="242" t="n"/>
      <c r="F330" s="148" t="n"/>
      <c r="G330" s="228" t="n"/>
      <c r="H330" s="236" t="n"/>
      <c r="I330" s="122" t="n"/>
      <c r="J330" s="240" t="n"/>
      <c r="K330" s="240" t="n"/>
      <c r="L330" s="241" t="n"/>
      <c r="M330" s="122" t="n"/>
      <c r="N330" s="241" t="n"/>
      <c r="O330" s="122" t="n"/>
      <c r="P330" s="240" t="n"/>
      <c r="Q330" s="240" t="n"/>
      <c r="R330" s="240" t="n"/>
      <c r="S330" s="240" t="n"/>
      <c r="T330" s="241" t="n"/>
      <c r="U330" s="243" t="n"/>
      <c r="V330" s="229" t="n"/>
      <c r="W330" s="242" t="n"/>
      <c r="X330" s="242" t="n"/>
      <c r="Y330" s="185">
        <f>VLOOKUP(F329,'DATA BASE'!A:I,2,FALSE)</f>
        <v/>
      </c>
      <c r="Z330" s="230" t="n"/>
      <c r="AA330" s="231" t="n"/>
      <c r="AB330" s="232">
        <f>IFERROR(VLOOKUP(F329,'DATA BASE'!A:I,4,FALSE),"")</f>
        <v/>
      </c>
      <c r="AC330" s="230" t="n"/>
      <c r="AD330" s="231" t="n"/>
      <c r="AE330" s="232">
        <f>IFERROR(VLOOKUP(F329,'DATA BASE'!A:I,5,FALSE),"")</f>
        <v/>
      </c>
      <c r="AF330" s="231" t="n"/>
      <c r="AG330" s="232">
        <f>IFERROR(VLOOKUP(F329,'DATA BASE'!A:I,7,FALSE),"")</f>
        <v/>
      </c>
      <c r="AH330" s="230" t="n"/>
      <c r="AI330" s="231" t="n"/>
      <c r="AJ330" s="238" t="n"/>
      <c r="AK330" s="239" t="n"/>
    </row>
    <row r="331" ht="15.5" customHeight="1" s="7">
      <c r="A331" s="157" t="n"/>
      <c r="B331" s="158" t="n"/>
      <c r="C331" s="159" t="n"/>
      <c r="D331" s="159" t="n"/>
      <c r="E331" s="159" t="n"/>
      <c r="F331" s="148" t="n"/>
      <c r="G331" s="228" t="n"/>
      <c r="H331" s="236" t="n"/>
      <c r="I331" s="122" t="n"/>
      <c r="J331" s="240" t="n"/>
      <c r="K331" s="240" t="n"/>
      <c r="L331" s="241" t="n"/>
      <c r="M331" s="138" t="n"/>
      <c r="N331" s="241" t="n"/>
      <c r="O331" s="122" t="n"/>
      <c r="P331" s="240" t="n"/>
      <c r="Q331" s="240" t="n"/>
      <c r="R331" s="240" t="n"/>
      <c r="S331" s="240" t="n"/>
      <c r="T331" s="241" t="n"/>
      <c r="U331" s="146" t="n"/>
      <c r="V331" s="227" t="n"/>
      <c r="W331" s="159" t="n"/>
      <c r="X331" s="159" t="n"/>
      <c r="Y331" s="185" t="inlineStr">
        <is>
          <t>DAVID WILDNER</t>
        </is>
      </c>
      <c r="Z331" s="230" t="n"/>
      <c r="AA331" s="231" t="n"/>
      <c r="AB331" s="232">
        <f>IFERROR(VLOOKUP(F331,'DATA BASE'!A:I,3,FALSE),"")</f>
        <v/>
      </c>
      <c r="AC331" s="230" t="n"/>
      <c r="AD331" s="231" t="n"/>
      <c r="AE331" s="233">
        <f>IFERROR(VLOOKUP(F331,'DATA BASE'!A:I,9,FALSE),"")</f>
        <v/>
      </c>
      <c r="AF331" s="231" t="n"/>
      <c r="AG331" s="232">
        <f>IFERROR(VLOOKUP(F331,'DATA BASE'!A:I,6,FALSE),"")</f>
        <v/>
      </c>
      <c r="AH331" s="230" t="n"/>
      <c r="AI331" s="231" t="n"/>
      <c r="AJ331" s="234">
        <f>IFERROR(VLOOKUP(F331,'DATA BASE'!A:I,8,FALSE),"")</f>
        <v/>
      </c>
      <c r="AK331" s="235" t="n"/>
    </row>
    <row r="332" ht="15.5" customHeight="1" s="7">
      <c r="A332" s="242" t="n"/>
      <c r="B332" s="242" t="n"/>
      <c r="C332" s="242" t="n"/>
      <c r="D332" s="242" t="n"/>
      <c r="E332" s="242" t="n"/>
      <c r="F332" s="148" t="n"/>
      <c r="G332" s="228" t="n"/>
      <c r="H332" s="236" t="n"/>
      <c r="I332" s="122" t="n"/>
      <c r="J332" s="240" t="n"/>
      <c r="K332" s="240" t="n"/>
      <c r="L332" s="241" t="n"/>
      <c r="M332" s="122" t="n"/>
      <c r="N332" s="241" t="n"/>
      <c r="O332" s="122" t="n"/>
      <c r="P332" s="240" t="n"/>
      <c r="Q332" s="240" t="n"/>
      <c r="R332" s="240" t="n"/>
      <c r="S332" s="240" t="n"/>
      <c r="T332" s="241" t="n"/>
      <c r="U332" s="243" t="n"/>
      <c r="V332" s="229" t="n"/>
      <c r="W332" s="242" t="n"/>
      <c r="X332" s="242" t="n"/>
      <c r="Y332" s="185">
        <f>VLOOKUP(F331,'DATA BASE'!A:I,2,FALSE)</f>
        <v/>
      </c>
      <c r="Z332" s="230" t="n"/>
      <c r="AA332" s="231" t="n"/>
      <c r="AB332" s="232">
        <f>IFERROR(VLOOKUP(F331,'DATA BASE'!A:I,4,FALSE),"")</f>
        <v/>
      </c>
      <c r="AC332" s="230" t="n"/>
      <c r="AD332" s="231" t="n"/>
      <c r="AE332" s="232">
        <f>IFERROR(VLOOKUP(F331,'DATA BASE'!A:I,5,FALSE),"")</f>
        <v/>
      </c>
      <c r="AF332" s="231" t="n"/>
      <c r="AG332" s="232">
        <f>IFERROR(VLOOKUP(F331,'DATA BASE'!A:I,7,FALSE),"")</f>
        <v/>
      </c>
      <c r="AH332" s="230" t="n"/>
      <c r="AI332" s="231" t="n"/>
      <c r="AJ332" s="238" t="n"/>
      <c r="AK332" s="239" t="n"/>
    </row>
    <row r="333" ht="15.5" customHeight="1" s="7">
      <c r="A333" s="157" t="n"/>
      <c r="B333" s="158" t="n"/>
      <c r="C333" s="159" t="n"/>
      <c r="D333" s="159" t="n"/>
      <c r="E333" s="159" t="n"/>
      <c r="F333" s="148" t="n"/>
      <c r="G333" s="228" t="n"/>
      <c r="H333" s="236" t="n"/>
      <c r="I333" s="122" t="n"/>
      <c r="J333" s="240" t="n"/>
      <c r="K333" s="240" t="n"/>
      <c r="L333" s="241" t="n"/>
      <c r="M333" s="138" t="n"/>
      <c r="N333" s="241" t="n"/>
      <c r="O333" s="122" t="n"/>
      <c r="P333" s="240" t="n"/>
      <c r="Q333" s="240" t="n"/>
      <c r="R333" s="240" t="n"/>
      <c r="S333" s="240" t="n"/>
      <c r="T333" s="241" t="n"/>
      <c r="U333" s="146" t="n"/>
      <c r="V333" s="227" t="n"/>
      <c r="W333" s="159" t="n"/>
      <c r="X333" s="159" t="n"/>
      <c r="Y333" s="185" t="inlineStr">
        <is>
          <t>DAVID WILDNER</t>
        </is>
      </c>
      <c r="Z333" s="230" t="n"/>
      <c r="AA333" s="231" t="n"/>
      <c r="AB333" s="232">
        <f>IFERROR(VLOOKUP(F333,'DATA BASE'!A:I,3,FALSE),"")</f>
        <v/>
      </c>
      <c r="AC333" s="230" t="n"/>
      <c r="AD333" s="231" t="n"/>
      <c r="AE333" s="233">
        <f>IFERROR(VLOOKUP(F333,'DATA BASE'!A:I,9,FALSE),"")</f>
        <v/>
      </c>
      <c r="AF333" s="231" t="n"/>
      <c r="AG333" s="232">
        <f>IFERROR(VLOOKUP(F333,'DATA BASE'!A:I,6,FALSE),"")</f>
        <v/>
      </c>
      <c r="AH333" s="230" t="n"/>
      <c r="AI333" s="231" t="n"/>
      <c r="AJ333" s="234">
        <f>IFERROR(VLOOKUP(F333,'DATA BASE'!A:I,8,FALSE),"")</f>
        <v/>
      </c>
      <c r="AK333" s="235" t="n"/>
    </row>
    <row r="334" ht="15.5" customHeight="1" s="7">
      <c r="A334" s="242" t="n"/>
      <c r="B334" s="242" t="n"/>
      <c r="C334" s="242" t="n"/>
      <c r="D334" s="242" t="n"/>
      <c r="E334" s="242" t="n"/>
      <c r="F334" s="148" t="n"/>
      <c r="G334" s="228" t="n"/>
      <c r="H334" s="236" t="n"/>
      <c r="I334" s="122" t="n"/>
      <c r="J334" s="240" t="n"/>
      <c r="K334" s="240" t="n"/>
      <c r="L334" s="241" t="n"/>
      <c r="M334" s="122" t="n"/>
      <c r="N334" s="241" t="n"/>
      <c r="O334" s="122" t="n"/>
      <c r="P334" s="240" t="n"/>
      <c r="Q334" s="240" t="n"/>
      <c r="R334" s="240" t="n"/>
      <c r="S334" s="240" t="n"/>
      <c r="T334" s="241" t="n"/>
      <c r="U334" s="243" t="n"/>
      <c r="V334" s="229" t="n"/>
      <c r="W334" s="242" t="n"/>
      <c r="X334" s="242" t="n"/>
      <c r="Y334" s="185">
        <f>VLOOKUP(F333,'DATA BASE'!A:I,2,FALSE)</f>
        <v/>
      </c>
      <c r="Z334" s="230" t="n"/>
      <c r="AA334" s="231" t="n"/>
      <c r="AB334" s="232">
        <f>IFERROR(VLOOKUP(F333,'DATA BASE'!A:I,4,FALSE),"")</f>
        <v/>
      </c>
      <c r="AC334" s="230" t="n"/>
      <c r="AD334" s="231" t="n"/>
      <c r="AE334" s="232">
        <f>IFERROR(VLOOKUP(F333,'DATA BASE'!A:I,5,FALSE),"")</f>
        <v/>
      </c>
      <c r="AF334" s="231" t="n"/>
      <c r="AG334" s="232">
        <f>IFERROR(VLOOKUP(F333,'DATA BASE'!A:I,7,FALSE),"")</f>
        <v/>
      </c>
      <c r="AH334" s="230" t="n"/>
      <c r="AI334" s="231" t="n"/>
      <c r="AJ334" s="238" t="n"/>
      <c r="AK334" s="239" t="n"/>
    </row>
    <row r="335" ht="15.5" customHeight="1" s="7">
      <c r="A335" s="157" t="n"/>
      <c r="B335" s="158" t="n"/>
      <c r="C335" s="159" t="n"/>
      <c r="D335" s="159" t="n"/>
      <c r="E335" s="159" t="n"/>
      <c r="F335" s="148" t="n"/>
      <c r="G335" s="228" t="n"/>
      <c r="H335" s="236" t="n"/>
      <c r="I335" s="122" t="n"/>
      <c r="J335" s="240" t="n"/>
      <c r="K335" s="240" t="n"/>
      <c r="L335" s="241" t="n"/>
      <c r="M335" s="138" t="n"/>
      <c r="N335" s="241" t="n"/>
      <c r="O335" s="122" t="n"/>
      <c r="P335" s="240" t="n"/>
      <c r="Q335" s="240" t="n"/>
      <c r="R335" s="240" t="n"/>
      <c r="S335" s="240" t="n"/>
      <c r="T335" s="241" t="n"/>
      <c r="U335" s="146" t="n"/>
      <c r="V335" s="227" t="n"/>
      <c r="W335" s="159" t="n"/>
      <c r="X335" s="159" t="n"/>
      <c r="Y335" s="185" t="inlineStr">
        <is>
          <t>DAVID WILDNER</t>
        </is>
      </c>
      <c r="Z335" s="230" t="n"/>
      <c r="AA335" s="231" t="n"/>
      <c r="AB335" s="232">
        <f>IFERROR(VLOOKUP(F335,'DATA BASE'!A:I,3,FALSE),"")</f>
        <v/>
      </c>
      <c r="AC335" s="230" t="n"/>
      <c r="AD335" s="231" t="n"/>
      <c r="AE335" s="233">
        <f>IFERROR(VLOOKUP(F335,'DATA BASE'!A:I,9,FALSE),"")</f>
        <v/>
      </c>
      <c r="AF335" s="231" t="n"/>
      <c r="AG335" s="232">
        <f>IFERROR(VLOOKUP(F335,'DATA BASE'!A:I,6,FALSE),"")</f>
        <v/>
      </c>
      <c r="AH335" s="230" t="n"/>
      <c r="AI335" s="231" t="n"/>
      <c r="AJ335" s="234">
        <f>IFERROR(VLOOKUP(F335,'DATA BASE'!A:I,8,FALSE),"")</f>
        <v/>
      </c>
      <c r="AK335" s="235" t="n"/>
    </row>
    <row r="336" ht="15.5" customHeight="1" s="7">
      <c r="A336" s="242" t="n"/>
      <c r="B336" s="242" t="n"/>
      <c r="C336" s="242" t="n"/>
      <c r="D336" s="242" t="n"/>
      <c r="E336" s="242" t="n"/>
      <c r="F336" s="148" t="n"/>
      <c r="G336" s="228" t="n"/>
      <c r="H336" s="236" t="n"/>
      <c r="I336" s="122" t="n"/>
      <c r="J336" s="240" t="n"/>
      <c r="K336" s="240" t="n"/>
      <c r="L336" s="241" t="n"/>
      <c r="M336" s="122" t="n"/>
      <c r="N336" s="241" t="n"/>
      <c r="O336" s="122" t="n"/>
      <c r="P336" s="240" t="n"/>
      <c r="Q336" s="240" t="n"/>
      <c r="R336" s="240" t="n"/>
      <c r="S336" s="240" t="n"/>
      <c r="T336" s="241" t="n"/>
      <c r="U336" s="243" t="n"/>
      <c r="V336" s="229" t="n"/>
      <c r="W336" s="242" t="n"/>
      <c r="X336" s="242" t="n"/>
      <c r="Y336" s="185">
        <f>VLOOKUP(F335,'DATA BASE'!A:I,2,FALSE)</f>
        <v/>
      </c>
      <c r="Z336" s="230" t="n"/>
      <c r="AA336" s="231" t="n"/>
      <c r="AB336" s="232">
        <f>IFERROR(VLOOKUP(F335,'DATA BASE'!A:I,4,FALSE),"")</f>
        <v/>
      </c>
      <c r="AC336" s="230" t="n"/>
      <c r="AD336" s="231" t="n"/>
      <c r="AE336" s="232">
        <f>IFERROR(VLOOKUP(F335,'DATA BASE'!A:I,5,FALSE),"")</f>
        <v/>
      </c>
      <c r="AF336" s="231" t="n"/>
      <c r="AG336" s="232">
        <f>IFERROR(VLOOKUP(F335,'DATA BASE'!A:I,7,FALSE),"")</f>
        <v/>
      </c>
      <c r="AH336" s="230" t="n"/>
      <c r="AI336" s="231" t="n"/>
      <c r="AJ336" s="238" t="n"/>
      <c r="AK336" s="239" t="n"/>
    </row>
    <row r="337" ht="15.5" customHeight="1" s="7">
      <c r="A337" s="157" t="n"/>
      <c r="B337" s="158" t="n"/>
      <c r="C337" s="159" t="n"/>
      <c r="D337" s="159" t="n"/>
      <c r="E337" s="159" t="n"/>
      <c r="F337" s="148" t="n"/>
      <c r="G337" s="228" t="n"/>
      <c r="H337" s="236" t="n"/>
      <c r="I337" s="122" t="n"/>
      <c r="J337" s="240" t="n"/>
      <c r="K337" s="240" t="n"/>
      <c r="L337" s="241" t="n"/>
      <c r="M337" s="138" t="n"/>
      <c r="N337" s="241" t="n"/>
      <c r="O337" s="122" t="n"/>
      <c r="P337" s="240" t="n"/>
      <c r="Q337" s="240" t="n"/>
      <c r="R337" s="240" t="n"/>
      <c r="S337" s="240" t="n"/>
      <c r="T337" s="241" t="n"/>
      <c r="U337" s="146" t="n"/>
      <c r="V337" s="227" t="n"/>
      <c r="W337" s="159" t="n"/>
      <c r="X337" s="159" t="n"/>
      <c r="Y337" s="185" t="inlineStr">
        <is>
          <t>DAVID WILDNER</t>
        </is>
      </c>
      <c r="Z337" s="230" t="n"/>
      <c r="AA337" s="231" t="n"/>
      <c r="AB337" s="232">
        <f>IFERROR(VLOOKUP(F337,'DATA BASE'!A:I,3,FALSE),"")</f>
        <v/>
      </c>
      <c r="AC337" s="230" t="n"/>
      <c r="AD337" s="231" t="n"/>
      <c r="AE337" s="233">
        <f>IFERROR(VLOOKUP(F337,'DATA BASE'!A:I,9,FALSE),"")</f>
        <v/>
      </c>
      <c r="AF337" s="231" t="n"/>
      <c r="AG337" s="232">
        <f>IFERROR(VLOOKUP(F337,'DATA BASE'!A:I,6,FALSE),"")</f>
        <v/>
      </c>
      <c r="AH337" s="230" t="n"/>
      <c r="AI337" s="231" t="n"/>
      <c r="AJ337" s="234">
        <f>IFERROR(VLOOKUP(F337,'DATA BASE'!A:I,8,FALSE),"")</f>
        <v/>
      </c>
      <c r="AK337" s="235" t="n"/>
    </row>
    <row r="338" ht="15.5" customHeight="1" s="7">
      <c r="A338" s="242" t="n"/>
      <c r="B338" s="242" t="n"/>
      <c r="C338" s="242" t="n"/>
      <c r="D338" s="242" t="n"/>
      <c r="E338" s="242" t="n"/>
      <c r="F338" s="148" t="n"/>
      <c r="G338" s="228" t="n"/>
      <c r="H338" s="236" t="n"/>
      <c r="I338" s="122" t="n"/>
      <c r="J338" s="240" t="n"/>
      <c r="K338" s="240" t="n"/>
      <c r="L338" s="241" t="n"/>
      <c r="M338" s="122" t="n"/>
      <c r="N338" s="241" t="n"/>
      <c r="O338" s="122" t="n"/>
      <c r="P338" s="240" t="n"/>
      <c r="Q338" s="240" t="n"/>
      <c r="R338" s="240" t="n"/>
      <c r="S338" s="240" t="n"/>
      <c r="T338" s="241" t="n"/>
      <c r="U338" s="243" t="n"/>
      <c r="V338" s="229" t="n"/>
      <c r="W338" s="242" t="n"/>
      <c r="X338" s="242" t="n"/>
      <c r="Y338" s="185">
        <f>VLOOKUP(F337,'DATA BASE'!A:I,2,FALSE)</f>
        <v/>
      </c>
      <c r="Z338" s="230" t="n"/>
      <c r="AA338" s="231" t="n"/>
      <c r="AB338" s="232">
        <f>IFERROR(VLOOKUP(F337,'DATA BASE'!A:I,4,FALSE),"")</f>
        <v/>
      </c>
      <c r="AC338" s="230" t="n"/>
      <c r="AD338" s="231" t="n"/>
      <c r="AE338" s="232">
        <f>IFERROR(VLOOKUP(F337,'DATA BASE'!A:I,5,FALSE),"")</f>
        <v/>
      </c>
      <c r="AF338" s="231" t="n"/>
      <c r="AG338" s="232">
        <f>IFERROR(VLOOKUP(F337,'DATA BASE'!A:I,7,FALSE),"")</f>
        <v/>
      </c>
      <c r="AH338" s="230" t="n"/>
      <c r="AI338" s="231" t="n"/>
      <c r="AJ338" s="238" t="n"/>
      <c r="AK338" s="239" t="n"/>
    </row>
    <row r="339" ht="15.5" customHeight="1" s="7">
      <c r="A339" s="157" t="n"/>
      <c r="B339" s="158" t="n"/>
      <c r="C339" s="159" t="n"/>
      <c r="D339" s="159" t="n"/>
      <c r="E339" s="159" t="n"/>
      <c r="F339" s="148" t="n"/>
      <c r="G339" s="228" t="n"/>
      <c r="H339" s="236" t="n"/>
      <c r="I339" s="122" t="n"/>
      <c r="J339" s="240" t="n"/>
      <c r="K339" s="240" t="n"/>
      <c r="L339" s="241" t="n"/>
      <c r="M339" s="138" t="n"/>
      <c r="N339" s="241" t="n"/>
      <c r="O339" s="122" t="n"/>
      <c r="P339" s="240" t="n"/>
      <c r="Q339" s="240" t="n"/>
      <c r="R339" s="240" t="n"/>
      <c r="S339" s="240" t="n"/>
      <c r="T339" s="241" t="n"/>
      <c r="U339" s="146" t="n"/>
      <c r="V339" s="227" t="n"/>
      <c r="W339" s="159" t="n"/>
      <c r="X339" s="159" t="n"/>
      <c r="Y339" s="185" t="inlineStr">
        <is>
          <t>DAVID WILDNER</t>
        </is>
      </c>
      <c r="Z339" s="230" t="n"/>
      <c r="AA339" s="231" t="n"/>
      <c r="AB339" s="232">
        <f>IFERROR(VLOOKUP(F339,'DATA BASE'!A:I,3,FALSE),"")</f>
        <v/>
      </c>
      <c r="AC339" s="230" t="n"/>
      <c r="AD339" s="231" t="n"/>
      <c r="AE339" s="233">
        <f>IFERROR(VLOOKUP(F339,'DATA BASE'!A:I,9,FALSE),"")</f>
        <v/>
      </c>
      <c r="AF339" s="231" t="n"/>
      <c r="AG339" s="232">
        <f>IFERROR(VLOOKUP(F339,'DATA BASE'!A:I,6,FALSE),"")</f>
        <v/>
      </c>
      <c r="AH339" s="230" t="n"/>
      <c r="AI339" s="231" t="n"/>
      <c r="AJ339" s="234">
        <f>IFERROR(VLOOKUP(F339,'DATA BASE'!A:I,8,FALSE),"")</f>
        <v/>
      </c>
      <c r="AK339" s="235" t="n"/>
    </row>
    <row r="340" ht="15.5" customHeight="1" s="7">
      <c r="A340" s="242" t="n"/>
      <c r="B340" s="242" t="n"/>
      <c r="C340" s="242" t="n"/>
      <c r="D340" s="242" t="n"/>
      <c r="E340" s="242" t="n"/>
      <c r="F340" s="148" t="n"/>
      <c r="G340" s="228" t="n"/>
      <c r="H340" s="236" t="n"/>
      <c r="I340" s="122" t="n"/>
      <c r="J340" s="240" t="n"/>
      <c r="K340" s="240" t="n"/>
      <c r="L340" s="241" t="n"/>
      <c r="M340" s="122" t="n"/>
      <c r="N340" s="241" t="n"/>
      <c r="O340" s="122" t="n"/>
      <c r="P340" s="240" t="n"/>
      <c r="Q340" s="240" t="n"/>
      <c r="R340" s="240" t="n"/>
      <c r="S340" s="240" t="n"/>
      <c r="T340" s="241" t="n"/>
      <c r="U340" s="243" t="n"/>
      <c r="V340" s="229" t="n"/>
      <c r="W340" s="242" t="n"/>
      <c r="X340" s="242" t="n"/>
      <c r="Y340" s="185">
        <f>VLOOKUP(F339,'DATA BASE'!A:I,2,FALSE)</f>
        <v/>
      </c>
      <c r="Z340" s="230" t="n"/>
      <c r="AA340" s="231" t="n"/>
      <c r="AB340" s="232">
        <f>IFERROR(VLOOKUP(F339,'DATA BASE'!A:I,4,FALSE),"")</f>
        <v/>
      </c>
      <c r="AC340" s="230" t="n"/>
      <c r="AD340" s="231" t="n"/>
      <c r="AE340" s="232">
        <f>IFERROR(VLOOKUP(F339,'DATA BASE'!A:I,5,FALSE),"")</f>
        <v/>
      </c>
      <c r="AF340" s="231" t="n"/>
      <c r="AG340" s="232">
        <f>IFERROR(VLOOKUP(F339,'DATA BASE'!A:I,7,FALSE),"")</f>
        <v/>
      </c>
      <c r="AH340" s="230" t="n"/>
      <c r="AI340" s="231" t="n"/>
      <c r="AJ340" s="238" t="n"/>
      <c r="AK340" s="239" t="n"/>
    </row>
    <row r="341" ht="15.5" customHeight="1" s="7">
      <c r="A341" s="157" t="n"/>
      <c r="B341" s="158" t="n"/>
      <c r="C341" s="159" t="n"/>
      <c r="D341" s="159" t="n"/>
      <c r="E341" s="159" t="n"/>
      <c r="F341" s="148" t="n"/>
      <c r="G341" s="228" t="n"/>
      <c r="H341" s="236" t="n"/>
      <c r="I341" s="122" t="n"/>
      <c r="J341" s="240" t="n"/>
      <c r="K341" s="240" t="n"/>
      <c r="L341" s="241" t="n"/>
      <c r="M341" s="138" t="n"/>
      <c r="N341" s="241" t="n"/>
      <c r="O341" s="122" t="n"/>
      <c r="P341" s="240" t="n"/>
      <c r="Q341" s="240" t="n"/>
      <c r="R341" s="240" t="n"/>
      <c r="S341" s="240" t="n"/>
      <c r="T341" s="241" t="n"/>
      <c r="U341" s="146" t="n"/>
      <c r="V341" s="227" t="n"/>
      <c r="W341" s="159" t="n"/>
      <c r="X341" s="159" t="n"/>
      <c r="Y341" s="185" t="inlineStr">
        <is>
          <t>DAVID WILDNER</t>
        </is>
      </c>
      <c r="Z341" s="230" t="n"/>
      <c r="AA341" s="231" t="n"/>
      <c r="AB341" s="232">
        <f>IFERROR(VLOOKUP(F341,'DATA BASE'!A:I,3,FALSE),"")</f>
        <v/>
      </c>
      <c r="AC341" s="230" t="n"/>
      <c r="AD341" s="231" t="n"/>
      <c r="AE341" s="233">
        <f>IFERROR(VLOOKUP(F341,'DATA BASE'!A:I,9,FALSE),"")</f>
        <v/>
      </c>
      <c r="AF341" s="231" t="n"/>
      <c r="AG341" s="232">
        <f>IFERROR(VLOOKUP(F341,'DATA BASE'!A:I,6,FALSE),"")</f>
        <v/>
      </c>
      <c r="AH341" s="230" t="n"/>
      <c r="AI341" s="231" t="n"/>
      <c r="AJ341" s="234">
        <f>IFERROR(VLOOKUP(F341,'DATA BASE'!A:I,8,FALSE),"")</f>
        <v/>
      </c>
      <c r="AK341" s="235" t="n"/>
    </row>
    <row r="342" ht="15.5" customHeight="1" s="7">
      <c r="A342" s="242" t="n"/>
      <c r="B342" s="242" t="n"/>
      <c r="C342" s="242" t="n"/>
      <c r="D342" s="242" t="n"/>
      <c r="E342" s="242" t="n"/>
      <c r="F342" s="148" t="n"/>
      <c r="G342" s="228" t="n"/>
      <c r="H342" s="236" t="n"/>
      <c r="I342" s="122" t="n"/>
      <c r="J342" s="240" t="n"/>
      <c r="K342" s="240" t="n"/>
      <c r="L342" s="241" t="n"/>
      <c r="M342" s="122" t="n"/>
      <c r="N342" s="241" t="n"/>
      <c r="O342" s="122" t="n"/>
      <c r="P342" s="240" t="n"/>
      <c r="Q342" s="240" t="n"/>
      <c r="R342" s="240" t="n"/>
      <c r="S342" s="240" t="n"/>
      <c r="T342" s="241" t="n"/>
      <c r="U342" s="243" t="n"/>
      <c r="V342" s="229" t="n"/>
      <c r="W342" s="242" t="n"/>
      <c r="X342" s="242" t="n"/>
      <c r="Y342" s="185">
        <f>VLOOKUP(F341,'DATA BASE'!A:I,2,FALSE)</f>
        <v/>
      </c>
      <c r="Z342" s="230" t="n"/>
      <c r="AA342" s="231" t="n"/>
      <c r="AB342" s="232">
        <f>IFERROR(VLOOKUP(F341,'DATA BASE'!A:I,4,FALSE),"")</f>
        <v/>
      </c>
      <c r="AC342" s="230" t="n"/>
      <c r="AD342" s="231" t="n"/>
      <c r="AE342" s="232">
        <f>IFERROR(VLOOKUP(F341,'DATA BASE'!A:I,5,FALSE),"")</f>
        <v/>
      </c>
      <c r="AF342" s="231" t="n"/>
      <c r="AG342" s="232">
        <f>IFERROR(VLOOKUP(F341,'DATA BASE'!A:I,7,FALSE),"")</f>
        <v/>
      </c>
      <c r="AH342" s="230" t="n"/>
      <c r="AI342" s="231" t="n"/>
      <c r="AJ342" s="238" t="n"/>
      <c r="AK342" s="239" t="n"/>
    </row>
    <row r="343" ht="15.5" customHeight="1" s="7">
      <c r="A343" s="157" t="n"/>
      <c r="B343" s="158" t="n"/>
      <c r="C343" s="159" t="n"/>
      <c r="D343" s="159" t="n"/>
      <c r="E343" s="159" t="n"/>
      <c r="F343" s="148" t="n"/>
      <c r="G343" s="228" t="n"/>
      <c r="H343" s="236" t="n"/>
      <c r="I343" s="122" t="n"/>
      <c r="J343" s="240" t="n"/>
      <c r="K343" s="240" t="n"/>
      <c r="L343" s="241" t="n"/>
      <c r="M343" s="138" t="n"/>
      <c r="N343" s="241" t="n"/>
      <c r="O343" s="122" t="n"/>
      <c r="P343" s="240" t="n"/>
      <c r="Q343" s="240" t="n"/>
      <c r="R343" s="240" t="n"/>
      <c r="S343" s="240" t="n"/>
      <c r="T343" s="241" t="n"/>
      <c r="U343" s="146" t="n"/>
      <c r="V343" s="227" t="n"/>
      <c r="W343" s="159" t="n"/>
      <c r="X343" s="159" t="n"/>
      <c r="Y343" s="185" t="inlineStr">
        <is>
          <t>DAVID WILDNER</t>
        </is>
      </c>
      <c r="Z343" s="230" t="n"/>
      <c r="AA343" s="231" t="n"/>
      <c r="AB343" s="232">
        <f>IFERROR(VLOOKUP(F343,'DATA BASE'!A:I,3,FALSE),"")</f>
        <v/>
      </c>
      <c r="AC343" s="230" t="n"/>
      <c r="AD343" s="231" t="n"/>
      <c r="AE343" s="233">
        <f>IFERROR(VLOOKUP(F343,'DATA BASE'!A:I,9,FALSE),"")</f>
        <v/>
      </c>
      <c r="AF343" s="231" t="n"/>
      <c r="AG343" s="232">
        <f>IFERROR(VLOOKUP(F343,'DATA BASE'!A:I,6,FALSE),"")</f>
        <v/>
      </c>
      <c r="AH343" s="230" t="n"/>
      <c r="AI343" s="231" t="n"/>
      <c r="AJ343" s="234">
        <f>IFERROR(VLOOKUP(F343,'DATA BASE'!A:I,8,FALSE),"")</f>
        <v/>
      </c>
      <c r="AK343" s="235" t="n"/>
    </row>
    <row r="344" ht="15.5" customHeight="1" s="7">
      <c r="A344" s="242" t="n"/>
      <c r="B344" s="242" t="n"/>
      <c r="C344" s="242" t="n"/>
      <c r="D344" s="242" t="n"/>
      <c r="E344" s="242" t="n"/>
      <c r="F344" s="148" t="n"/>
      <c r="G344" s="228" t="n"/>
      <c r="H344" s="236" t="n"/>
      <c r="I344" s="122" t="n"/>
      <c r="J344" s="240" t="n"/>
      <c r="K344" s="240" t="n"/>
      <c r="L344" s="241" t="n"/>
      <c r="M344" s="122" t="n"/>
      <c r="N344" s="241" t="n"/>
      <c r="O344" s="122" t="n"/>
      <c r="P344" s="240" t="n"/>
      <c r="Q344" s="240" t="n"/>
      <c r="R344" s="240" t="n"/>
      <c r="S344" s="240" t="n"/>
      <c r="T344" s="241" t="n"/>
      <c r="U344" s="243" t="n"/>
      <c r="V344" s="229" t="n"/>
      <c r="W344" s="242" t="n"/>
      <c r="X344" s="242" t="n"/>
      <c r="Y344" s="185">
        <f>VLOOKUP(F343,'DATA BASE'!A:I,2,FALSE)</f>
        <v/>
      </c>
      <c r="Z344" s="230" t="n"/>
      <c r="AA344" s="231" t="n"/>
      <c r="AB344" s="232">
        <f>IFERROR(VLOOKUP(F343,'DATA BASE'!A:I,4,FALSE),"")</f>
        <v/>
      </c>
      <c r="AC344" s="230" t="n"/>
      <c r="AD344" s="231" t="n"/>
      <c r="AE344" s="232">
        <f>IFERROR(VLOOKUP(F343,'DATA BASE'!A:I,5,FALSE),"")</f>
        <v/>
      </c>
      <c r="AF344" s="231" t="n"/>
      <c r="AG344" s="232">
        <f>IFERROR(VLOOKUP(F343,'DATA BASE'!A:I,7,FALSE),"")</f>
        <v/>
      </c>
      <c r="AH344" s="230" t="n"/>
      <c r="AI344" s="231" t="n"/>
      <c r="AJ344" s="238" t="n"/>
      <c r="AK344" s="239" t="n"/>
    </row>
    <row r="345" ht="15.5" customHeight="1" s="7">
      <c r="A345" s="157" t="n"/>
      <c r="B345" s="158" t="n"/>
      <c r="C345" s="159" t="n"/>
      <c r="D345" s="159" t="n"/>
      <c r="E345" s="159" t="n"/>
      <c r="F345" s="148" t="n"/>
      <c r="G345" s="228" t="n"/>
      <c r="H345" s="236" t="n"/>
      <c r="I345" s="122" t="n"/>
      <c r="J345" s="240" t="n"/>
      <c r="K345" s="240" t="n"/>
      <c r="L345" s="241" t="n"/>
      <c r="M345" s="138" t="n"/>
      <c r="N345" s="241" t="n"/>
      <c r="O345" s="122" t="n"/>
      <c r="P345" s="240" t="n"/>
      <c r="Q345" s="240" t="n"/>
      <c r="R345" s="240" t="n"/>
      <c r="S345" s="240" t="n"/>
      <c r="T345" s="241" t="n"/>
      <c r="U345" s="146" t="n"/>
      <c r="V345" s="227" t="n"/>
      <c r="W345" s="159" t="n"/>
      <c r="X345" s="159" t="n"/>
      <c r="Y345" s="185" t="inlineStr">
        <is>
          <t>DAVID WILDNER</t>
        </is>
      </c>
      <c r="Z345" s="230" t="n"/>
      <c r="AA345" s="231" t="n"/>
      <c r="AB345" s="232">
        <f>IFERROR(VLOOKUP(F345,'DATA BASE'!A:I,3,FALSE),"")</f>
        <v/>
      </c>
      <c r="AC345" s="230" t="n"/>
      <c r="AD345" s="231" t="n"/>
      <c r="AE345" s="233">
        <f>IFERROR(VLOOKUP(F345,'DATA BASE'!A:I,9,FALSE),"")</f>
        <v/>
      </c>
      <c r="AF345" s="231" t="n"/>
      <c r="AG345" s="232">
        <f>IFERROR(VLOOKUP(F345,'DATA BASE'!A:I,6,FALSE),"")</f>
        <v/>
      </c>
      <c r="AH345" s="230" t="n"/>
      <c r="AI345" s="231" t="n"/>
      <c r="AJ345" s="234">
        <f>IFERROR(VLOOKUP(F345,'DATA BASE'!A:I,8,FALSE),"")</f>
        <v/>
      </c>
      <c r="AK345" s="235" t="n"/>
    </row>
    <row r="346" ht="15.5" customHeight="1" s="7">
      <c r="A346" s="242" t="n"/>
      <c r="B346" s="242" t="n"/>
      <c r="C346" s="242" t="n"/>
      <c r="D346" s="242" t="n"/>
      <c r="E346" s="242" t="n"/>
      <c r="F346" s="148" t="n"/>
      <c r="G346" s="228" t="n"/>
      <c r="H346" s="236" t="n"/>
      <c r="I346" s="122" t="n"/>
      <c r="J346" s="240" t="n"/>
      <c r="K346" s="240" t="n"/>
      <c r="L346" s="241" t="n"/>
      <c r="M346" s="122" t="n"/>
      <c r="N346" s="241" t="n"/>
      <c r="O346" s="122" t="n"/>
      <c r="P346" s="240" t="n"/>
      <c r="Q346" s="240" t="n"/>
      <c r="R346" s="240" t="n"/>
      <c r="S346" s="240" t="n"/>
      <c r="T346" s="241" t="n"/>
      <c r="U346" s="243" t="n"/>
      <c r="V346" s="229" t="n"/>
      <c r="W346" s="242" t="n"/>
      <c r="X346" s="242" t="n"/>
      <c r="Y346" s="185">
        <f>VLOOKUP(F345,'DATA BASE'!A:I,2,FALSE)</f>
        <v/>
      </c>
      <c r="Z346" s="230" t="n"/>
      <c r="AA346" s="231" t="n"/>
      <c r="AB346" s="232">
        <f>IFERROR(VLOOKUP(F345,'DATA BASE'!A:I,4,FALSE),"")</f>
        <v/>
      </c>
      <c r="AC346" s="230" t="n"/>
      <c r="AD346" s="231" t="n"/>
      <c r="AE346" s="232">
        <f>IFERROR(VLOOKUP(F345,'DATA BASE'!A:I,5,FALSE),"")</f>
        <v/>
      </c>
      <c r="AF346" s="231" t="n"/>
      <c r="AG346" s="232">
        <f>IFERROR(VLOOKUP(F345,'DATA BASE'!A:I,7,FALSE),"")</f>
        <v/>
      </c>
      <c r="AH346" s="230" t="n"/>
      <c r="AI346" s="231" t="n"/>
      <c r="AJ346" s="238" t="n"/>
      <c r="AK346" s="239" t="n"/>
    </row>
    <row r="347" ht="15.5" customHeight="1" s="7">
      <c r="A347" s="157" t="n"/>
      <c r="B347" s="158" t="n"/>
      <c r="C347" s="159" t="n"/>
      <c r="D347" s="159" t="n"/>
      <c r="E347" s="159" t="n"/>
      <c r="F347" s="148" t="n"/>
      <c r="G347" s="228" t="n"/>
      <c r="H347" s="236" t="n"/>
      <c r="I347" s="122" t="n"/>
      <c r="J347" s="240" t="n"/>
      <c r="K347" s="240" t="n"/>
      <c r="L347" s="241" t="n"/>
      <c r="M347" s="138" t="n"/>
      <c r="N347" s="241" t="n"/>
      <c r="O347" s="122" t="n"/>
      <c r="P347" s="240" t="n"/>
      <c r="Q347" s="240" t="n"/>
      <c r="R347" s="240" t="n"/>
      <c r="S347" s="240" t="n"/>
      <c r="T347" s="241" t="n"/>
      <c r="U347" s="146" t="n"/>
      <c r="V347" s="227" t="n"/>
      <c r="W347" s="159" t="n"/>
      <c r="X347" s="159" t="n"/>
      <c r="Y347" s="185" t="inlineStr">
        <is>
          <t>DAVID WILDNER</t>
        </is>
      </c>
      <c r="Z347" s="230" t="n"/>
      <c r="AA347" s="231" t="n"/>
      <c r="AB347" s="232">
        <f>IFERROR(VLOOKUP(F347,'DATA BASE'!A:I,3,FALSE),"")</f>
        <v/>
      </c>
      <c r="AC347" s="230" t="n"/>
      <c r="AD347" s="231" t="n"/>
      <c r="AE347" s="233">
        <f>IFERROR(VLOOKUP(F347,'DATA BASE'!A:I,9,FALSE),"")</f>
        <v/>
      </c>
      <c r="AF347" s="231" t="n"/>
      <c r="AG347" s="232">
        <f>IFERROR(VLOOKUP(F347,'DATA BASE'!A:I,6,FALSE),"")</f>
        <v/>
      </c>
      <c r="AH347" s="230" t="n"/>
      <c r="AI347" s="231" t="n"/>
      <c r="AJ347" s="234">
        <f>IFERROR(VLOOKUP(F347,'DATA BASE'!A:I,8,FALSE),"")</f>
        <v/>
      </c>
      <c r="AK347" s="235" t="n"/>
    </row>
    <row r="348" ht="15.5" customHeight="1" s="7">
      <c r="A348" s="242" t="n"/>
      <c r="B348" s="242" t="n"/>
      <c r="C348" s="242" t="n"/>
      <c r="D348" s="242" t="n"/>
      <c r="E348" s="242" t="n"/>
      <c r="F348" s="148" t="n"/>
      <c r="G348" s="228" t="n"/>
      <c r="H348" s="236" t="n"/>
      <c r="I348" s="122" t="n"/>
      <c r="J348" s="240" t="n"/>
      <c r="K348" s="240" t="n"/>
      <c r="L348" s="241" t="n"/>
      <c r="M348" s="122" t="n"/>
      <c r="N348" s="241" t="n"/>
      <c r="O348" s="122" t="n"/>
      <c r="P348" s="240" t="n"/>
      <c r="Q348" s="240" t="n"/>
      <c r="R348" s="240" t="n"/>
      <c r="S348" s="240" t="n"/>
      <c r="T348" s="241" t="n"/>
      <c r="U348" s="243" t="n"/>
      <c r="V348" s="229" t="n"/>
      <c r="W348" s="242" t="n"/>
      <c r="X348" s="242" t="n"/>
      <c r="Y348" s="185">
        <f>VLOOKUP(F347,'DATA BASE'!A:I,2,FALSE)</f>
        <v/>
      </c>
      <c r="Z348" s="230" t="n"/>
      <c r="AA348" s="231" t="n"/>
      <c r="AB348" s="232">
        <f>IFERROR(VLOOKUP(F347,'DATA BASE'!A:I,4,FALSE),"")</f>
        <v/>
      </c>
      <c r="AC348" s="230" t="n"/>
      <c r="AD348" s="231" t="n"/>
      <c r="AE348" s="232">
        <f>IFERROR(VLOOKUP(F347,'DATA BASE'!A:I,5,FALSE),"")</f>
        <v/>
      </c>
      <c r="AF348" s="231" t="n"/>
      <c r="AG348" s="232">
        <f>IFERROR(VLOOKUP(F347,'DATA BASE'!A:I,7,FALSE),"")</f>
        <v/>
      </c>
      <c r="AH348" s="230" t="n"/>
      <c r="AI348" s="231" t="n"/>
      <c r="AJ348" s="238" t="n"/>
      <c r="AK348" s="239" t="n"/>
    </row>
    <row r="349" ht="15.5" customHeight="1" s="7">
      <c r="A349" s="157" t="n"/>
      <c r="B349" s="158" t="n"/>
      <c r="C349" s="159" t="n"/>
      <c r="D349" s="159" t="n"/>
      <c r="E349" s="159" t="n"/>
      <c r="F349" s="148" t="n"/>
      <c r="G349" s="228" t="n"/>
      <c r="H349" s="236" t="n"/>
      <c r="I349" s="122" t="n"/>
      <c r="J349" s="240" t="n"/>
      <c r="K349" s="240" t="n"/>
      <c r="L349" s="241" t="n"/>
      <c r="M349" s="138" t="n"/>
      <c r="N349" s="241" t="n"/>
      <c r="O349" s="122" t="n"/>
      <c r="P349" s="240" t="n"/>
      <c r="Q349" s="240" t="n"/>
      <c r="R349" s="240" t="n"/>
      <c r="S349" s="240" t="n"/>
      <c r="T349" s="241" t="n"/>
      <c r="U349" s="146" t="n"/>
      <c r="V349" s="227" t="n"/>
      <c r="W349" s="159" t="n"/>
      <c r="X349" s="159" t="n"/>
      <c r="Y349" s="185" t="inlineStr">
        <is>
          <t>DAVID WILDNER</t>
        </is>
      </c>
      <c r="Z349" s="230" t="n"/>
      <c r="AA349" s="231" t="n"/>
      <c r="AB349" s="232">
        <f>IFERROR(VLOOKUP(F349,'DATA BASE'!A:I,3,FALSE),"")</f>
        <v/>
      </c>
      <c r="AC349" s="230" t="n"/>
      <c r="AD349" s="231" t="n"/>
      <c r="AE349" s="233">
        <f>IFERROR(VLOOKUP(F349,'DATA BASE'!A:I,9,FALSE),"")</f>
        <v/>
      </c>
      <c r="AF349" s="231" t="n"/>
      <c r="AG349" s="232">
        <f>IFERROR(VLOOKUP(F349,'DATA BASE'!A:I,6,FALSE),"")</f>
        <v/>
      </c>
      <c r="AH349" s="230" t="n"/>
      <c r="AI349" s="231" t="n"/>
      <c r="AJ349" s="234">
        <f>IFERROR(VLOOKUP(F349,'DATA BASE'!A:I,8,FALSE),"")</f>
        <v/>
      </c>
      <c r="AK349" s="235" t="n"/>
    </row>
    <row r="350" ht="15.5" customHeight="1" s="7">
      <c r="A350" s="242" t="n"/>
      <c r="B350" s="242" t="n"/>
      <c r="C350" s="242" t="n"/>
      <c r="D350" s="242" t="n"/>
      <c r="E350" s="242" t="n"/>
      <c r="F350" s="148" t="n"/>
      <c r="G350" s="228" t="n"/>
      <c r="H350" s="236" t="n"/>
      <c r="I350" s="122" t="n"/>
      <c r="J350" s="240" t="n"/>
      <c r="K350" s="240" t="n"/>
      <c r="L350" s="241" t="n"/>
      <c r="M350" s="122" t="n"/>
      <c r="N350" s="241" t="n"/>
      <c r="O350" s="122" t="n"/>
      <c r="P350" s="240" t="n"/>
      <c r="Q350" s="240" t="n"/>
      <c r="R350" s="240" t="n"/>
      <c r="S350" s="240" t="n"/>
      <c r="T350" s="241" t="n"/>
      <c r="U350" s="243" t="n"/>
      <c r="V350" s="229" t="n"/>
      <c r="W350" s="242" t="n"/>
      <c r="X350" s="242" t="n"/>
      <c r="Y350" s="185">
        <f>VLOOKUP(F349,'DATA BASE'!A:I,2,FALSE)</f>
        <v/>
      </c>
      <c r="Z350" s="230" t="n"/>
      <c r="AA350" s="231" t="n"/>
      <c r="AB350" s="232">
        <f>IFERROR(VLOOKUP(F349,'DATA BASE'!A:I,4,FALSE),"")</f>
        <v/>
      </c>
      <c r="AC350" s="230" t="n"/>
      <c r="AD350" s="231" t="n"/>
      <c r="AE350" s="232">
        <f>IFERROR(VLOOKUP(F349,'DATA BASE'!A:I,5,FALSE),"")</f>
        <v/>
      </c>
      <c r="AF350" s="231" t="n"/>
      <c r="AG350" s="232">
        <f>IFERROR(VLOOKUP(F349,'DATA BASE'!A:I,7,FALSE),"")</f>
        <v/>
      </c>
      <c r="AH350" s="230" t="n"/>
      <c r="AI350" s="231" t="n"/>
      <c r="AJ350" s="238" t="n"/>
      <c r="AK350" s="239" t="n"/>
    </row>
    <row r="351" ht="15.5" customHeight="1" s="7">
      <c r="A351" s="157" t="n"/>
      <c r="B351" s="158" t="n"/>
      <c r="C351" s="159" t="n"/>
      <c r="D351" s="159" t="n"/>
      <c r="E351" s="159" t="n"/>
      <c r="F351" s="148" t="n"/>
      <c r="G351" s="228" t="n"/>
      <c r="H351" s="236" t="n"/>
      <c r="I351" s="122" t="n"/>
      <c r="J351" s="240" t="n"/>
      <c r="K351" s="240" t="n"/>
      <c r="L351" s="241" t="n"/>
      <c r="M351" s="138" t="n"/>
      <c r="N351" s="241" t="n"/>
      <c r="O351" s="122" t="n"/>
      <c r="P351" s="240" t="n"/>
      <c r="Q351" s="240" t="n"/>
      <c r="R351" s="240" t="n"/>
      <c r="S351" s="240" t="n"/>
      <c r="T351" s="241" t="n"/>
      <c r="U351" s="146" t="n"/>
      <c r="V351" s="227" t="n"/>
      <c r="W351" s="159" t="n"/>
      <c r="X351" s="159" t="n"/>
      <c r="Y351" s="185" t="inlineStr">
        <is>
          <t>DAVID WILDNER</t>
        </is>
      </c>
      <c r="Z351" s="230" t="n"/>
      <c r="AA351" s="231" t="n"/>
      <c r="AB351" s="232">
        <f>IFERROR(VLOOKUP(F351,'DATA BASE'!A:I,3,FALSE),"")</f>
        <v/>
      </c>
      <c r="AC351" s="230" t="n"/>
      <c r="AD351" s="231" t="n"/>
      <c r="AE351" s="233">
        <f>IFERROR(VLOOKUP(F351,'DATA BASE'!A:I,9,FALSE),"")</f>
        <v/>
      </c>
      <c r="AF351" s="231" t="n"/>
      <c r="AG351" s="232">
        <f>IFERROR(VLOOKUP(F351,'DATA BASE'!A:I,6,FALSE),"")</f>
        <v/>
      </c>
      <c r="AH351" s="230" t="n"/>
      <c r="AI351" s="231" t="n"/>
      <c r="AJ351" s="234">
        <f>IFERROR(VLOOKUP(F351,'DATA BASE'!A:I,8,FALSE),"")</f>
        <v/>
      </c>
      <c r="AK351" s="235" t="n"/>
    </row>
    <row r="352" ht="15.5" customHeight="1" s="7">
      <c r="A352" s="242" t="n"/>
      <c r="B352" s="242" t="n"/>
      <c r="C352" s="242" t="n"/>
      <c r="D352" s="242" t="n"/>
      <c r="E352" s="242" t="n"/>
      <c r="F352" s="148" t="n"/>
      <c r="G352" s="228" t="n"/>
      <c r="H352" s="236" t="n"/>
      <c r="I352" s="122" t="n"/>
      <c r="J352" s="240" t="n"/>
      <c r="K352" s="240" t="n"/>
      <c r="L352" s="241" t="n"/>
      <c r="M352" s="122" t="n"/>
      <c r="N352" s="241" t="n"/>
      <c r="O352" s="122" t="n"/>
      <c r="P352" s="240" t="n"/>
      <c r="Q352" s="240" t="n"/>
      <c r="R352" s="240" t="n"/>
      <c r="S352" s="240" t="n"/>
      <c r="T352" s="241" t="n"/>
      <c r="U352" s="243" t="n"/>
      <c r="V352" s="229" t="n"/>
      <c r="W352" s="242" t="n"/>
      <c r="X352" s="242" t="n"/>
      <c r="Y352" s="185">
        <f>VLOOKUP(F351,'DATA BASE'!A:I,2,FALSE)</f>
        <v/>
      </c>
      <c r="Z352" s="230" t="n"/>
      <c r="AA352" s="231" t="n"/>
      <c r="AB352" s="232">
        <f>IFERROR(VLOOKUP(F351,'DATA BASE'!A:I,4,FALSE),"")</f>
        <v/>
      </c>
      <c r="AC352" s="230" t="n"/>
      <c r="AD352" s="231" t="n"/>
      <c r="AE352" s="232">
        <f>IFERROR(VLOOKUP(F351,'DATA BASE'!A:I,5,FALSE),"")</f>
        <v/>
      </c>
      <c r="AF352" s="231" t="n"/>
      <c r="AG352" s="232">
        <f>IFERROR(VLOOKUP(F351,'DATA BASE'!A:I,7,FALSE),"")</f>
        <v/>
      </c>
      <c r="AH352" s="230" t="n"/>
      <c r="AI352" s="231" t="n"/>
      <c r="AJ352" s="238" t="n"/>
      <c r="AK352" s="239" t="n"/>
    </row>
    <row r="353" ht="15.5" customHeight="1" s="7">
      <c r="A353" s="157" t="n"/>
      <c r="B353" s="158" t="n"/>
      <c r="C353" s="159" t="n"/>
      <c r="D353" s="159" t="n"/>
      <c r="E353" s="159" t="n"/>
      <c r="F353" s="148" t="n"/>
      <c r="G353" s="228" t="n"/>
      <c r="H353" s="236" t="n"/>
      <c r="I353" s="122" t="n"/>
      <c r="J353" s="240" t="n"/>
      <c r="K353" s="240" t="n"/>
      <c r="L353" s="241" t="n"/>
      <c r="M353" s="138" t="n"/>
      <c r="N353" s="241" t="n"/>
      <c r="O353" s="122" t="n"/>
      <c r="P353" s="240" t="n"/>
      <c r="Q353" s="240" t="n"/>
      <c r="R353" s="240" t="n"/>
      <c r="S353" s="240" t="n"/>
      <c r="T353" s="241" t="n"/>
      <c r="U353" s="146" t="n"/>
      <c r="V353" s="227" t="n"/>
      <c r="W353" s="159" t="n"/>
      <c r="X353" s="159" t="n"/>
      <c r="Y353" s="185" t="inlineStr">
        <is>
          <t>DAVID WILDNER</t>
        </is>
      </c>
      <c r="Z353" s="230" t="n"/>
      <c r="AA353" s="231" t="n"/>
      <c r="AB353" s="232">
        <f>IFERROR(VLOOKUP(F353,'DATA BASE'!A:I,3,FALSE),"")</f>
        <v/>
      </c>
      <c r="AC353" s="230" t="n"/>
      <c r="AD353" s="231" t="n"/>
      <c r="AE353" s="233">
        <f>IFERROR(VLOOKUP(F353,'DATA BASE'!A:I,9,FALSE),"")</f>
        <v/>
      </c>
      <c r="AF353" s="231" t="n"/>
      <c r="AG353" s="232">
        <f>IFERROR(VLOOKUP(F353,'DATA BASE'!A:I,6,FALSE),"")</f>
        <v/>
      </c>
      <c r="AH353" s="230" t="n"/>
      <c r="AI353" s="231" t="n"/>
      <c r="AJ353" s="234">
        <f>IFERROR(VLOOKUP(F353,'DATA BASE'!A:I,8,FALSE),"")</f>
        <v/>
      </c>
      <c r="AK353" s="235" t="n"/>
    </row>
    <row r="354" ht="15.5" customHeight="1" s="7">
      <c r="A354" s="242" t="n"/>
      <c r="B354" s="242" t="n"/>
      <c r="C354" s="242" t="n"/>
      <c r="D354" s="242" t="n"/>
      <c r="E354" s="242" t="n"/>
      <c r="F354" s="148" t="n"/>
      <c r="G354" s="228" t="n"/>
      <c r="H354" s="236" t="n"/>
      <c r="I354" s="122" t="n"/>
      <c r="J354" s="240" t="n"/>
      <c r="K354" s="240" t="n"/>
      <c r="L354" s="241" t="n"/>
      <c r="M354" s="122" t="n"/>
      <c r="N354" s="241" t="n"/>
      <c r="O354" s="122" t="n"/>
      <c r="P354" s="240" t="n"/>
      <c r="Q354" s="240" t="n"/>
      <c r="R354" s="240" t="n"/>
      <c r="S354" s="240" t="n"/>
      <c r="T354" s="241" t="n"/>
      <c r="U354" s="243" t="n"/>
      <c r="V354" s="229" t="n"/>
      <c r="W354" s="242" t="n"/>
      <c r="X354" s="242" t="n"/>
      <c r="Y354" s="185">
        <f>VLOOKUP(F353,'DATA BASE'!A:I,2,FALSE)</f>
        <v/>
      </c>
      <c r="Z354" s="230" t="n"/>
      <c r="AA354" s="231" t="n"/>
      <c r="AB354" s="232">
        <f>IFERROR(VLOOKUP(F353,'DATA BASE'!A:I,4,FALSE),"")</f>
        <v/>
      </c>
      <c r="AC354" s="230" t="n"/>
      <c r="AD354" s="231" t="n"/>
      <c r="AE354" s="232">
        <f>IFERROR(VLOOKUP(F353,'DATA BASE'!A:I,5,FALSE),"")</f>
        <v/>
      </c>
      <c r="AF354" s="231" t="n"/>
      <c r="AG354" s="232">
        <f>IFERROR(VLOOKUP(F353,'DATA BASE'!A:I,7,FALSE),"")</f>
        <v/>
      </c>
      <c r="AH354" s="230" t="n"/>
      <c r="AI354" s="231" t="n"/>
      <c r="AJ354" s="238" t="n"/>
      <c r="AK354" s="239" t="n"/>
    </row>
    <row r="355" ht="15.5" customHeight="1" s="7">
      <c r="A355" s="157" t="n"/>
      <c r="B355" s="158" t="n"/>
      <c r="C355" s="159" t="n"/>
      <c r="D355" s="159" t="n"/>
      <c r="E355" s="159" t="n"/>
      <c r="F355" s="148" t="n"/>
      <c r="G355" s="228" t="n"/>
      <c r="H355" s="236" t="n"/>
      <c r="I355" s="122" t="n"/>
      <c r="J355" s="240" t="n"/>
      <c r="K355" s="240" t="n"/>
      <c r="L355" s="241" t="n"/>
      <c r="M355" s="138" t="n"/>
      <c r="N355" s="241" t="n"/>
      <c r="O355" s="122" t="n"/>
      <c r="P355" s="240" t="n"/>
      <c r="Q355" s="240" t="n"/>
      <c r="R355" s="240" t="n"/>
      <c r="S355" s="240" t="n"/>
      <c r="T355" s="241" t="n"/>
      <c r="U355" s="146" t="n"/>
      <c r="V355" s="227" t="n"/>
      <c r="W355" s="159" t="n"/>
      <c r="X355" s="159" t="n"/>
      <c r="Y355" s="185" t="inlineStr">
        <is>
          <t>DAVID WILDNER</t>
        </is>
      </c>
      <c r="Z355" s="230" t="n"/>
      <c r="AA355" s="231" t="n"/>
      <c r="AB355" s="232">
        <f>IFERROR(VLOOKUP(F355,'DATA BASE'!A:I,3,FALSE),"")</f>
        <v/>
      </c>
      <c r="AC355" s="230" t="n"/>
      <c r="AD355" s="231" t="n"/>
      <c r="AE355" s="233">
        <f>IFERROR(VLOOKUP(F355,'DATA BASE'!A:I,9,FALSE),"")</f>
        <v/>
      </c>
      <c r="AF355" s="231" t="n"/>
      <c r="AG355" s="232">
        <f>IFERROR(VLOOKUP(F355,'DATA BASE'!A:I,6,FALSE),"")</f>
        <v/>
      </c>
      <c r="AH355" s="230" t="n"/>
      <c r="AI355" s="231" t="n"/>
      <c r="AJ355" s="234">
        <f>IFERROR(VLOOKUP(F355,'DATA BASE'!A:I,8,FALSE),"")</f>
        <v/>
      </c>
      <c r="AK355" s="235" t="n"/>
    </row>
    <row r="356" ht="15.5" customHeight="1" s="7">
      <c r="A356" s="242" t="n"/>
      <c r="B356" s="242" t="n"/>
      <c r="C356" s="242" t="n"/>
      <c r="D356" s="242" t="n"/>
      <c r="E356" s="242" t="n"/>
      <c r="F356" s="148" t="n"/>
      <c r="G356" s="228" t="n"/>
      <c r="H356" s="236" t="n"/>
      <c r="I356" s="122" t="n"/>
      <c r="J356" s="240" t="n"/>
      <c r="K356" s="240" t="n"/>
      <c r="L356" s="241" t="n"/>
      <c r="M356" s="122" t="n"/>
      <c r="N356" s="241" t="n"/>
      <c r="O356" s="122" t="n"/>
      <c r="P356" s="240" t="n"/>
      <c r="Q356" s="240" t="n"/>
      <c r="R356" s="240" t="n"/>
      <c r="S356" s="240" t="n"/>
      <c r="T356" s="241" t="n"/>
      <c r="U356" s="243" t="n"/>
      <c r="V356" s="229" t="n"/>
      <c r="W356" s="242" t="n"/>
      <c r="X356" s="242" t="n"/>
      <c r="Y356" s="185">
        <f>VLOOKUP(F355,'DATA BASE'!A:I,2,FALSE)</f>
        <v/>
      </c>
      <c r="Z356" s="230" t="n"/>
      <c r="AA356" s="231" t="n"/>
      <c r="AB356" s="232">
        <f>IFERROR(VLOOKUP(F355,'DATA BASE'!A:I,4,FALSE),"")</f>
        <v/>
      </c>
      <c r="AC356" s="230" t="n"/>
      <c r="AD356" s="231" t="n"/>
      <c r="AE356" s="232">
        <f>IFERROR(VLOOKUP(F355,'DATA BASE'!A:I,5,FALSE),"")</f>
        <v/>
      </c>
      <c r="AF356" s="231" t="n"/>
      <c r="AG356" s="232">
        <f>IFERROR(VLOOKUP(F355,'DATA BASE'!A:I,7,FALSE),"")</f>
        <v/>
      </c>
      <c r="AH356" s="230" t="n"/>
      <c r="AI356" s="231" t="n"/>
      <c r="AJ356" s="238" t="n"/>
      <c r="AK356" s="239" t="n"/>
    </row>
    <row r="357" ht="15.5" customHeight="1" s="7">
      <c r="A357" s="157" t="n"/>
      <c r="B357" s="158" t="n"/>
      <c r="C357" s="159" t="n"/>
      <c r="D357" s="159" t="n"/>
      <c r="E357" s="159" t="n"/>
      <c r="F357" s="148" t="n"/>
      <c r="G357" s="228" t="n"/>
      <c r="H357" s="236" t="n"/>
      <c r="I357" s="122" t="n"/>
      <c r="J357" s="240" t="n"/>
      <c r="K357" s="240" t="n"/>
      <c r="L357" s="241" t="n"/>
      <c r="M357" s="138" t="n"/>
      <c r="N357" s="241" t="n"/>
      <c r="O357" s="122" t="n"/>
      <c r="P357" s="240" t="n"/>
      <c r="Q357" s="240" t="n"/>
      <c r="R357" s="240" t="n"/>
      <c r="S357" s="240" t="n"/>
      <c r="T357" s="241" t="n"/>
      <c r="U357" s="146" t="n"/>
      <c r="V357" s="227" t="n"/>
      <c r="W357" s="159" t="n"/>
      <c r="X357" s="159" t="n"/>
      <c r="Y357" s="185" t="inlineStr">
        <is>
          <t>DAVID WILDNER</t>
        </is>
      </c>
      <c r="Z357" s="230" t="n"/>
      <c r="AA357" s="231" t="n"/>
      <c r="AB357" s="232">
        <f>IFERROR(VLOOKUP(F357,'DATA BASE'!A:I,3,FALSE),"")</f>
        <v/>
      </c>
      <c r="AC357" s="230" t="n"/>
      <c r="AD357" s="231" t="n"/>
      <c r="AE357" s="233">
        <f>IFERROR(VLOOKUP(F357,'DATA BASE'!A:I,9,FALSE),"")</f>
        <v/>
      </c>
      <c r="AF357" s="231" t="n"/>
      <c r="AG357" s="232">
        <f>IFERROR(VLOOKUP(F357,'DATA BASE'!A:I,6,FALSE),"")</f>
        <v/>
      </c>
      <c r="AH357" s="230" t="n"/>
      <c r="AI357" s="231" t="n"/>
      <c r="AJ357" s="234">
        <f>IFERROR(VLOOKUP(F357,'DATA BASE'!A:I,8,FALSE),"")</f>
        <v/>
      </c>
      <c r="AK357" s="235" t="n"/>
    </row>
    <row r="358" ht="15.5" customHeight="1" s="7">
      <c r="A358" s="242" t="n"/>
      <c r="B358" s="242" t="n"/>
      <c r="C358" s="242" t="n"/>
      <c r="D358" s="242" t="n"/>
      <c r="E358" s="242" t="n"/>
      <c r="F358" s="148" t="n"/>
      <c r="G358" s="228" t="n"/>
      <c r="H358" s="236" t="n"/>
      <c r="I358" s="122" t="n"/>
      <c r="J358" s="240" t="n"/>
      <c r="K358" s="240" t="n"/>
      <c r="L358" s="241" t="n"/>
      <c r="M358" s="122" t="n"/>
      <c r="N358" s="241" t="n"/>
      <c r="O358" s="122" t="n"/>
      <c r="P358" s="240" t="n"/>
      <c r="Q358" s="240" t="n"/>
      <c r="R358" s="240" t="n"/>
      <c r="S358" s="240" t="n"/>
      <c r="T358" s="241" t="n"/>
      <c r="U358" s="243" t="n"/>
      <c r="V358" s="229" t="n"/>
      <c r="W358" s="242" t="n"/>
      <c r="X358" s="242" t="n"/>
      <c r="Y358" s="185">
        <f>VLOOKUP(F357,'DATA BASE'!A:I,2,FALSE)</f>
        <v/>
      </c>
      <c r="Z358" s="230" t="n"/>
      <c r="AA358" s="231" t="n"/>
      <c r="AB358" s="232">
        <f>IFERROR(VLOOKUP(F357,'DATA BASE'!A:I,4,FALSE),"")</f>
        <v/>
      </c>
      <c r="AC358" s="230" t="n"/>
      <c r="AD358" s="231" t="n"/>
      <c r="AE358" s="232">
        <f>IFERROR(VLOOKUP(F357,'DATA BASE'!A:I,5,FALSE),"")</f>
        <v/>
      </c>
      <c r="AF358" s="231" t="n"/>
      <c r="AG358" s="232">
        <f>IFERROR(VLOOKUP(F357,'DATA BASE'!A:I,7,FALSE),"")</f>
        <v/>
      </c>
      <c r="AH358" s="230" t="n"/>
      <c r="AI358" s="231" t="n"/>
      <c r="AJ358" s="238" t="n"/>
      <c r="AK358" s="239" t="n"/>
    </row>
    <row r="359" ht="15.5" customHeight="1" s="7">
      <c r="A359" s="157" t="n"/>
      <c r="B359" s="158" t="n"/>
      <c r="C359" s="159" t="n"/>
      <c r="D359" s="159" t="n"/>
      <c r="E359" s="159" t="n"/>
      <c r="F359" s="148" t="n"/>
      <c r="G359" s="228" t="n"/>
      <c r="H359" s="236" t="n"/>
      <c r="I359" s="122" t="n"/>
      <c r="J359" s="240" t="n"/>
      <c r="K359" s="240" t="n"/>
      <c r="L359" s="241" t="n"/>
      <c r="M359" s="138" t="n"/>
      <c r="N359" s="241" t="n"/>
      <c r="O359" s="122" t="n"/>
      <c r="P359" s="240" t="n"/>
      <c r="Q359" s="240" t="n"/>
      <c r="R359" s="240" t="n"/>
      <c r="S359" s="240" t="n"/>
      <c r="T359" s="241" t="n"/>
      <c r="U359" s="146" t="n"/>
      <c r="V359" s="227" t="n"/>
      <c r="W359" s="159" t="n"/>
      <c r="X359" s="159" t="n"/>
      <c r="Y359" s="185" t="inlineStr">
        <is>
          <t>DAVID WILDNER</t>
        </is>
      </c>
      <c r="Z359" s="230" t="n"/>
      <c r="AA359" s="231" t="n"/>
      <c r="AB359" s="232">
        <f>IFERROR(VLOOKUP(F359,'DATA BASE'!A:I,3,FALSE),"")</f>
        <v/>
      </c>
      <c r="AC359" s="230" t="n"/>
      <c r="AD359" s="231" t="n"/>
      <c r="AE359" s="233">
        <f>IFERROR(VLOOKUP(F359,'DATA BASE'!A:I,9,FALSE),"")</f>
        <v/>
      </c>
      <c r="AF359" s="231" t="n"/>
      <c r="AG359" s="232">
        <f>IFERROR(VLOOKUP(F359,'DATA BASE'!A:I,6,FALSE),"")</f>
        <v/>
      </c>
      <c r="AH359" s="230" t="n"/>
      <c r="AI359" s="231" t="n"/>
      <c r="AJ359" s="234">
        <f>IFERROR(VLOOKUP(F359,'DATA BASE'!A:I,8,FALSE),"")</f>
        <v/>
      </c>
      <c r="AK359" s="235" t="n"/>
    </row>
    <row r="360" ht="15.5" customHeight="1" s="7">
      <c r="A360" s="242" t="n"/>
      <c r="B360" s="242" t="n"/>
      <c r="C360" s="242" t="n"/>
      <c r="D360" s="242" t="n"/>
      <c r="E360" s="242" t="n"/>
      <c r="F360" s="148" t="n"/>
      <c r="G360" s="228" t="n"/>
      <c r="H360" s="236" t="n"/>
      <c r="I360" s="122" t="n"/>
      <c r="J360" s="240" t="n"/>
      <c r="K360" s="240" t="n"/>
      <c r="L360" s="241" t="n"/>
      <c r="M360" s="122" t="n"/>
      <c r="N360" s="241" t="n"/>
      <c r="O360" s="122" t="n"/>
      <c r="P360" s="240" t="n"/>
      <c r="Q360" s="240" t="n"/>
      <c r="R360" s="240" t="n"/>
      <c r="S360" s="240" t="n"/>
      <c r="T360" s="241" t="n"/>
      <c r="U360" s="243" t="n"/>
      <c r="V360" s="229" t="n"/>
      <c r="W360" s="242" t="n"/>
      <c r="X360" s="242" t="n"/>
      <c r="Y360" s="185">
        <f>VLOOKUP(F359,'DATA BASE'!A:I,2,FALSE)</f>
        <v/>
      </c>
      <c r="Z360" s="230" t="n"/>
      <c r="AA360" s="231" t="n"/>
      <c r="AB360" s="232">
        <f>IFERROR(VLOOKUP(F359,'DATA BASE'!A:I,4,FALSE),"")</f>
        <v/>
      </c>
      <c r="AC360" s="230" t="n"/>
      <c r="AD360" s="231" t="n"/>
      <c r="AE360" s="232">
        <f>IFERROR(VLOOKUP(F359,'DATA BASE'!A:I,5,FALSE),"")</f>
        <v/>
      </c>
      <c r="AF360" s="231" t="n"/>
      <c r="AG360" s="232">
        <f>IFERROR(VLOOKUP(F359,'DATA BASE'!A:I,7,FALSE),"")</f>
        <v/>
      </c>
      <c r="AH360" s="230" t="n"/>
      <c r="AI360" s="231" t="n"/>
      <c r="AJ360" s="238" t="n"/>
      <c r="AK360" s="239" t="n"/>
    </row>
    <row r="361" ht="15.5" customHeight="1" s="7">
      <c r="A361" s="157" t="n"/>
      <c r="B361" s="158" t="n"/>
      <c r="C361" s="159" t="n"/>
      <c r="D361" s="159" t="n"/>
      <c r="E361" s="159" t="n"/>
      <c r="F361" s="148" t="n"/>
      <c r="G361" s="228" t="n"/>
      <c r="H361" s="236" t="n"/>
      <c r="I361" s="122" t="n"/>
      <c r="J361" s="240" t="n"/>
      <c r="K361" s="240" t="n"/>
      <c r="L361" s="241" t="n"/>
      <c r="M361" s="138" t="n"/>
      <c r="N361" s="241" t="n"/>
      <c r="O361" s="122" t="n"/>
      <c r="P361" s="240" t="n"/>
      <c r="Q361" s="240" t="n"/>
      <c r="R361" s="240" t="n"/>
      <c r="S361" s="240" t="n"/>
      <c r="T361" s="241" t="n"/>
      <c r="U361" s="146" t="n"/>
      <c r="V361" s="227" t="n"/>
      <c r="W361" s="159" t="n"/>
      <c r="X361" s="159" t="n"/>
      <c r="Y361" s="185" t="inlineStr">
        <is>
          <t>DAVID WILDNER</t>
        </is>
      </c>
      <c r="Z361" s="230" t="n"/>
      <c r="AA361" s="231" t="n"/>
      <c r="AB361" s="232">
        <f>IFERROR(VLOOKUP(F361,'DATA BASE'!A:I,3,FALSE),"")</f>
        <v/>
      </c>
      <c r="AC361" s="230" t="n"/>
      <c r="AD361" s="231" t="n"/>
      <c r="AE361" s="233">
        <f>IFERROR(VLOOKUP(F361,'DATA BASE'!A:I,9,FALSE),"")</f>
        <v/>
      </c>
      <c r="AF361" s="231" t="n"/>
      <c r="AG361" s="232">
        <f>IFERROR(VLOOKUP(F361,'DATA BASE'!A:I,6,FALSE),"")</f>
        <v/>
      </c>
      <c r="AH361" s="230" t="n"/>
      <c r="AI361" s="231" t="n"/>
      <c r="AJ361" s="234">
        <f>IFERROR(VLOOKUP(F361,'DATA BASE'!A:I,8,FALSE),"")</f>
        <v/>
      </c>
      <c r="AK361" s="235" t="n"/>
    </row>
    <row r="362" ht="15.5" customHeight="1" s="7">
      <c r="A362" s="242" t="n"/>
      <c r="B362" s="242" t="n"/>
      <c r="C362" s="242" t="n"/>
      <c r="D362" s="242" t="n"/>
      <c r="E362" s="242" t="n"/>
      <c r="F362" s="148" t="n"/>
      <c r="G362" s="228" t="n"/>
      <c r="H362" s="236" t="n"/>
      <c r="I362" s="122" t="n"/>
      <c r="J362" s="240" t="n"/>
      <c r="K362" s="240" t="n"/>
      <c r="L362" s="241" t="n"/>
      <c r="M362" s="122" t="n"/>
      <c r="N362" s="241" t="n"/>
      <c r="O362" s="122" t="n"/>
      <c r="P362" s="240" t="n"/>
      <c r="Q362" s="240" t="n"/>
      <c r="R362" s="240" t="n"/>
      <c r="S362" s="240" t="n"/>
      <c r="T362" s="241" t="n"/>
      <c r="U362" s="243" t="n"/>
      <c r="V362" s="229" t="n"/>
      <c r="W362" s="242" t="n"/>
      <c r="X362" s="242" t="n"/>
      <c r="Y362" s="185">
        <f>VLOOKUP(F361,'DATA BASE'!A:I,2,FALSE)</f>
        <v/>
      </c>
      <c r="Z362" s="230" t="n"/>
      <c r="AA362" s="231" t="n"/>
      <c r="AB362" s="232">
        <f>IFERROR(VLOOKUP(F361,'DATA BASE'!A:I,4,FALSE),"")</f>
        <v/>
      </c>
      <c r="AC362" s="230" t="n"/>
      <c r="AD362" s="231" t="n"/>
      <c r="AE362" s="232">
        <f>IFERROR(VLOOKUP(F361,'DATA BASE'!A:I,5,FALSE),"")</f>
        <v/>
      </c>
      <c r="AF362" s="231" t="n"/>
      <c r="AG362" s="232">
        <f>IFERROR(VLOOKUP(F361,'DATA BASE'!A:I,7,FALSE),"")</f>
        <v/>
      </c>
      <c r="AH362" s="230" t="n"/>
      <c r="AI362" s="231" t="n"/>
      <c r="AJ362" s="238" t="n"/>
      <c r="AK362" s="239" t="n"/>
    </row>
    <row r="363" ht="15.5" customHeight="1" s="7">
      <c r="A363" s="157" t="n"/>
      <c r="B363" s="158" t="n"/>
      <c r="C363" s="159" t="n"/>
      <c r="D363" s="159" t="n"/>
      <c r="E363" s="159" t="n"/>
      <c r="F363" s="148" t="n"/>
      <c r="G363" s="228" t="n"/>
      <c r="H363" s="236" t="n"/>
      <c r="I363" s="122" t="n"/>
      <c r="J363" s="240" t="n"/>
      <c r="K363" s="240" t="n"/>
      <c r="L363" s="241" t="n"/>
      <c r="M363" s="138" t="n"/>
      <c r="N363" s="241" t="n"/>
      <c r="O363" s="122" t="n"/>
      <c r="P363" s="240" t="n"/>
      <c r="Q363" s="240" t="n"/>
      <c r="R363" s="240" t="n"/>
      <c r="S363" s="240" t="n"/>
      <c r="T363" s="241" t="n"/>
      <c r="U363" s="146" t="n"/>
      <c r="V363" s="227" t="n"/>
      <c r="W363" s="159" t="n"/>
      <c r="X363" s="159" t="n"/>
      <c r="Y363" s="185" t="inlineStr">
        <is>
          <t>DAVID WILDNER</t>
        </is>
      </c>
      <c r="Z363" s="230" t="n"/>
      <c r="AA363" s="231" t="n"/>
      <c r="AB363" s="232">
        <f>IFERROR(VLOOKUP(F363,'DATA BASE'!A:I,3,FALSE),"")</f>
        <v/>
      </c>
      <c r="AC363" s="230" t="n"/>
      <c r="AD363" s="231" t="n"/>
      <c r="AE363" s="233">
        <f>IFERROR(VLOOKUP(F363,'DATA BASE'!A:I,9,FALSE),"")</f>
        <v/>
      </c>
      <c r="AF363" s="231" t="n"/>
      <c r="AG363" s="232">
        <f>IFERROR(VLOOKUP(F363,'DATA BASE'!A:I,6,FALSE),"")</f>
        <v/>
      </c>
      <c r="AH363" s="230" t="n"/>
      <c r="AI363" s="231" t="n"/>
      <c r="AJ363" s="234">
        <f>IFERROR(VLOOKUP(F363,'DATA BASE'!A:I,8,FALSE),"")</f>
        <v/>
      </c>
      <c r="AK363" s="235" t="n"/>
    </row>
    <row r="364" ht="15.5" customHeight="1" s="7">
      <c r="A364" s="242" t="n"/>
      <c r="B364" s="242" t="n"/>
      <c r="C364" s="242" t="n"/>
      <c r="D364" s="242" t="n"/>
      <c r="E364" s="242" t="n"/>
      <c r="F364" s="148" t="n"/>
      <c r="G364" s="228" t="n"/>
      <c r="H364" s="236" t="n"/>
      <c r="I364" s="122" t="n"/>
      <c r="J364" s="240" t="n"/>
      <c r="K364" s="240" t="n"/>
      <c r="L364" s="241" t="n"/>
      <c r="M364" s="122" t="n"/>
      <c r="N364" s="241" t="n"/>
      <c r="O364" s="122" t="n"/>
      <c r="P364" s="240" t="n"/>
      <c r="Q364" s="240" t="n"/>
      <c r="R364" s="240" t="n"/>
      <c r="S364" s="240" t="n"/>
      <c r="T364" s="241" t="n"/>
      <c r="U364" s="243" t="n"/>
      <c r="V364" s="229" t="n"/>
      <c r="W364" s="242" t="n"/>
      <c r="X364" s="242" t="n"/>
      <c r="Y364" s="185">
        <f>VLOOKUP(F363,'DATA BASE'!A:I,2,FALSE)</f>
        <v/>
      </c>
      <c r="Z364" s="230" t="n"/>
      <c r="AA364" s="231" t="n"/>
      <c r="AB364" s="232">
        <f>IFERROR(VLOOKUP(F363,'DATA BASE'!A:I,4,FALSE),"")</f>
        <v/>
      </c>
      <c r="AC364" s="230" t="n"/>
      <c r="AD364" s="231" t="n"/>
      <c r="AE364" s="232">
        <f>IFERROR(VLOOKUP(F363,'DATA BASE'!A:I,5,FALSE),"")</f>
        <v/>
      </c>
      <c r="AF364" s="231" t="n"/>
      <c r="AG364" s="232">
        <f>IFERROR(VLOOKUP(F363,'DATA BASE'!A:I,7,FALSE),"")</f>
        <v/>
      </c>
      <c r="AH364" s="230" t="n"/>
      <c r="AI364" s="231" t="n"/>
      <c r="AJ364" s="238" t="n"/>
      <c r="AK364" s="239" t="n"/>
    </row>
    <row r="365" ht="15.5" customHeight="1" s="7">
      <c r="A365" s="157" t="n"/>
      <c r="B365" s="158" t="n"/>
      <c r="C365" s="159" t="n"/>
      <c r="D365" s="159" t="n"/>
      <c r="E365" s="159" t="n"/>
      <c r="F365" s="148" t="n"/>
      <c r="G365" s="228" t="n"/>
      <c r="H365" s="236" t="n"/>
      <c r="I365" s="122" t="n"/>
      <c r="J365" s="240" t="n"/>
      <c r="K365" s="240" t="n"/>
      <c r="L365" s="241" t="n"/>
      <c r="M365" s="138" t="n"/>
      <c r="N365" s="241" t="n"/>
      <c r="O365" s="122" t="n"/>
      <c r="P365" s="240" t="n"/>
      <c r="Q365" s="240" t="n"/>
      <c r="R365" s="240" t="n"/>
      <c r="S365" s="240" t="n"/>
      <c r="T365" s="241" t="n"/>
      <c r="U365" s="146" t="n"/>
      <c r="V365" s="227" t="n"/>
      <c r="W365" s="159" t="n"/>
      <c r="X365" s="159" t="n"/>
      <c r="Y365" s="185" t="inlineStr">
        <is>
          <t>DAVID WILDNER</t>
        </is>
      </c>
      <c r="Z365" s="230" t="n"/>
      <c r="AA365" s="231" t="n"/>
      <c r="AB365" s="232">
        <f>IFERROR(VLOOKUP(F365,'DATA BASE'!A:I,3,FALSE),"")</f>
        <v/>
      </c>
      <c r="AC365" s="230" t="n"/>
      <c r="AD365" s="231" t="n"/>
      <c r="AE365" s="233">
        <f>IFERROR(VLOOKUP(F365,'DATA BASE'!A:I,9,FALSE),"")</f>
        <v/>
      </c>
      <c r="AF365" s="231" t="n"/>
      <c r="AG365" s="232">
        <f>IFERROR(VLOOKUP(F365,'DATA BASE'!A:I,6,FALSE),"")</f>
        <v/>
      </c>
      <c r="AH365" s="230" t="n"/>
      <c r="AI365" s="231" t="n"/>
      <c r="AJ365" s="234">
        <f>IFERROR(VLOOKUP(F365,'DATA BASE'!A:I,8,FALSE),"")</f>
        <v/>
      </c>
      <c r="AK365" s="235" t="n"/>
    </row>
    <row r="366" ht="15.5" customHeight="1" s="7">
      <c r="A366" s="242" t="n"/>
      <c r="B366" s="242" t="n"/>
      <c r="C366" s="242" t="n"/>
      <c r="D366" s="242" t="n"/>
      <c r="E366" s="242" t="n"/>
      <c r="F366" s="148" t="n"/>
      <c r="G366" s="228" t="n"/>
      <c r="H366" s="236" t="n"/>
      <c r="I366" s="122" t="n"/>
      <c r="J366" s="240" t="n"/>
      <c r="K366" s="240" t="n"/>
      <c r="L366" s="241" t="n"/>
      <c r="M366" s="122" t="n"/>
      <c r="N366" s="241" t="n"/>
      <c r="O366" s="122" t="n"/>
      <c r="P366" s="240" t="n"/>
      <c r="Q366" s="240" t="n"/>
      <c r="R366" s="240" t="n"/>
      <c r="S366" s="240" t="n"/>
      <c r="T366" s="241" t="n"/>
      <c r="U366" s="243" t="n"/>
      <c r="V366" s="229" t="n"/>
      <c r="W366" s="242" t="n"/>
      <c r="X366" s="242" t="n"/>
      <c r="Y366" s="185">
        <f>VLOOKUP(F365,'DATA BASE'!A:I,2,FALSE)</f>
        <v/>
      </c>
      <c r="Z366" s="230" t="n"/>
      <c r="AA366" s="231" t="n"/>
      <c r="AB366" s="232">
        <f>IFERROR(VLOOKUP(F365,'DATA BASE'!A:I,4,FALSE),"")</f>
        <v/>
      </c>
      <c r="AC366" s="230" t="n"/>
      <c r="AD366" s="231" t="n"/>
      <c r="AE366" s="232">
        <f>IFERROR(VLOOKUP(F365,'DATA BASE'!A:I,5,FALSE),"")</f>
        <v/>
      </c>
      <c r="AF366" s="231" t="n"/>
      <c r="AG366" s="232">
        <f>IFERROR(VLOOKUP(F365,'DATA BASE'!A:I,7,FALSE),"")</f>
        <v/>
      </c>
      <c r="AH366" s="230" t="n"/>
      <c r="AI366" s="231" t="n"/>
      <c r="AJ366" s="238" t="n"/>
      <c r="AK366" s="239" t="n"/>
    </row>
    <row r="367" ht="15.5" customHeight="1" s="7">
      <c r="A367" s="157" t="n"/>
      <c r="B367" s="158" t="n"/>
      <c r="C367" s="159" t="n"/>
      <c r="D367" s="159" t="n"/>
      <c r="E367" s="159" t="n"/>
      <c r="F367" s="148" t="n"/>
      <c r="G367" s="228" t="n"/>
      <c r="H367" s="236" t="n"/>
      <c r="I367" s="122" t="n"/>
      <c r="J367" s="240" t="n"/>
      <c r="K367" s="240" t="n"/>
      <c r="L367" s="241" t="n"/>
      <c r="M367" s="138" t="n"/>
      <c r="N367" s="241" t="n"/>
      <c r="O367" s="122" t="n"/>
      <c r="P367" s="240" t="n"/>
      <c r="Q367" s="240" t="n"/>
      <c r="R367" s="240" t="n"/>
      <c r="S367" s="240" t="n"/>
      <c r="T367" s="241" t="n"/>
      <c r="U367" s="146" t="n"/>
      <c r="V367" s="227" t="n"/>
      <c r="W367" s="159" t="n"/>
      <c r="X367" s="159" t="n"/>
      <c r="Y367" s="185" t="inlineStr">
        <is>
          <t>DAVID WILDNER</t>
        </is>
      </c>
      <c r="Z367" s="230" t="n"/>
      <c r="AA367" s="231" t="n"/>
      <c r="AB367" s="232">
        <f>IFERROR(VLOOKUP(F367,'DATA BASE'!A:I,3,FALSE),"")</f>
        <v/>
      </c>
      <c r="AC367" s="230" t="n"/>
      <c r="AD367" s="231" t="n"/>
      <c r="AE367" s="233">
        <f>IFERROR(VLOOKUP(F367,'DATA BASE'!A:I,9,FALSE),"")</f>
        <v/>
      </c>
      <c r="AF367" s="231" t="n"/>
      <c r="AG367" s="232">
        <f>IFERROR(VLOOKUP(F367,'DATA BASE'!A:I,6,FALSE),"")</f>
        <v/>
      </c>
      <c r="AH367" s="230" t="n"/>
      <c r="AI367" s="231" t="n"/>
      <c r="AJ367" s="234">
        <f>IFERROR(VLOOKUP(F367,'DATA BASE'!A:I,8,FALSE),"")</f>
        <v/>
      </c>
      <c r="AK367" s="235" t="n"/>
    </row>
    <row r="368" ht="15.5" customHeight="1" s="7">
      <c r="A368" s="242" t="n"/>
      <c r="B368" s="242" t="n"/>
      <c r="C368" s="242" t="n"/>
      <c r="D368" s="242" t="n"/>
      <c r="E368" s="242" t="n"/>
      <c r="F368" s="148" t="n"/>
      <c r="G368" s="228" t="n"/>
      <c r="H368" s="236" t="n"/>
      <c r="I368" s="122" t="n"/>
      <c r="J368" s="240" t="n"/>
      <c r="K368" s="240" t="n"/>
      <c r="L368" s="241" t="n"/>
      <c r="M368" s="122" t="n"/>
      <c r="N368" s="241" t="n"/>
      <c r="O368" s="122" t="n"/>
      <c r="P368" s="240" t="n"/>
      <c r="Q368" s="240" t="n"/>
      <c r="R368" s="240" t="n"/>
      <c r="S368" s="240" t="n"/>
      <c r="T368" s="241" t="n"/>
      <c r="U368" s="243" t="n"/>
      <c r="V368" s="229" t="n"/>
      <c r="W368" s="242" t="n"/>
      <c r="X368" s="242" t="n"/>
      <c r="Y368" s="185">
        <f>VLOOKUP(F367,'DATA BASE'!A:I,2,FALSE)</f>
        <v/>
      </c>
      <c r="Z368" s="230" t="n"/>
      <c r="AA368" s="231" t="n"/>
      <c r="AB368" s="232">
        <f>IFERROR(VLOOKUP(F367,'DATA BASE'!A:I,4,FALSE),"")</f>
        <v/>
      </c>
      <c r="AC368" s="230" t="n"/>
      <c r="AD368" s="231" t="n"/>
      <c r="AE368" s="232">
        <f>IFERROR(VLOOKUP(F367,'DATA BASE'!A:I,5,FALSE),"")</f>
        <v/>
      </c>
      <c r="AF368" s="231" t="n"/>
      <c r="AG368" s="232">
        <f>IFERROR(VLOOKUP(F367,'DATA BASE'!A:I,7,FALSE),"")</f>
        <v/>
      </c>
      <c r="AH368" s="230" t="n"/>
      <c r="AI368" s="231" t="n"/>
      <c r="AJ368" s="238" t="n"/>
      <c r="AK368" s="239" t="n"/>
    </row>
    <row r="369" ht="15.5" customHeight="1" s="7">
      <c r="A369" s="157" t="n"/>
      <c r="B369" s="158" t="n"/>
      <c r="C369" s="159" t="n"/>
      <c r="D369" s="159" t="n"/>
      <c r="E369" s="159" t="n"/>
      <c r="F369" s="148" t="n"/>
      <c r="G369" s="228" t="n"/>
      <c r="H369" s="236" t="n"/>
      <c r="I369" s="122" t="n"/>
      <c r="J369" s="240" t="n"/>
      <c r="K369" s="240" t="n"/>
      <c r="L369" s="241" t="n"/>
      <c r="M369" s="138" t="n"/>
      <c r="N369" s="241" t="n"/>
      <c r="O369" s="122" t="n"/>
      <c r="P369" s="240" t="n"/>
      <c r="Q369" s="240" t="n"/>
      <c r="R369" s="240" t="n"/>
      <c r="S369" s="240" t="n"/>
      <c r="T369" s="241" t="n"/>
      <c r="U369" s="146" t="n"/>
      <c r="V369" s="227" t="n"/>
      <c r="W369" s="159" t="n"/>
      <c r="X369" s="159" t="n"/>
      <c r="Y369" s="185" t="inlineStr">
        <is>
          <t>DAVID WILDNER</t>
        </is>
      </c>
      <c r="Z369" s="230" t="n"/>
      <c r="AA369" s="231" t="n"/>
      <c r="AB369" s="232">
        <f>IFERROR(VLOOKUP(F369,'DATA BASE'!A:I,3,FALSE),"")</f>
        <v/>
      </c>
      <c r="AC369" s="230" t="n"/>
      <c r="AD369" s="231" t="n"/>
      <c r="AE369" s="233">
        <f>IFERROR(VLOOKUP(F369,'DATA BASE'!A:I,9,FALSE),"")</f>
        <v/>
      </c>
      <c r="AF369" s="231" t="n"/>
      <c r="AG369" s="232">
        <f>IFERROR(VLOOKUP(F369,'DATA BASE'!A:I,6,FALSE),"")</f>
        <v/>
      </c>
      <c r="AH369" s="230" t="n"/>
      <c r="AI369" s="231" t="n"/>
      <c r="AJ369" s="234">
        <f>IFERROR(VLOOKUP(F369,'DATA BASE'!A:I,8,FALSE),"")</f>
        <v/>
      </c>
      <c r="AK369" s="235" t="n"/>
    </row>
    <row r="370" ht="15.5" customHeight="1" s="7">
      <c r="A370" s="242" t="n"/>
      <c r="B370" s="242" t="n"/>
      <c r="C370" s="242" t="n"/>
      <c r="D370" s="242" t="n"/>
      <c r="E370" s="242" t="n"/>
      <c r="F370" s="148" t="n"/>
      <c r="G370" s="228" t="n"/>
      <c r="H370" s="236" t="n"/>
      <c r="I370" s="122" t="n"/>
      <c r="J370" s="240" t="n"/>
      <c r="K370" s="240" t="n"/>
      <c r="L370" s="241" t="n"/>
      <c r="M370" s="122" t="n"/>
      <c r="N370" s="241" t="n"/>
      <c r="O370" s="122" t="n"/>
      <c r="P370" s="240" t="n"/>
      <c r="Q370" s="240" t="n"/>
      <c r="R370" s="240" t="n"/>
      <c r="S370" s="240" t="n"/>
      <c r="T370" s="241" t="n"/>
      <c r="U370" s="243" t="n"/>
      <c r="V370" s="229" t="n"/>
      <c r="W370" s="242" t="n"/>
      <c r="X370" s="242" t="n"/>
      <c r="Y370" s="185">
        <f>VLOOKUP(F369,'DATA BASE'!A:I,2,FALSE)</f>
        <v/>
      </c>
      <c r="Z370" s="230" t="n"/>
      <c r="AA370" s="231" t="n"/>
      <c r="AB370" s="232">
        <f>IFERROR(VLOOKUP(F369,'DATA BASE'!A:I,4,FALSE),"")</f>
        <v/>
      </c>
      <c r="AC370" s="230" t="n"/>
      <c r="AD370" s="231" t="n"/>
      <c r="AE370" s="232">
        <f>IFERROR(VLOOKUP(F369,'DATA BASE'!A:I,5,FALSE),"")</f>
        <v/>
      </c>
      <c r="AF370" s="231" t="n"/>
      <c r="AG370" s="232">
        <f>IFERROR(VLOOKUP(F369,'DATA BASE'!A:I,7,FALSE),"")</f>
        <v/>
      </c>
      <c r="AH370" s="230" t="n"/>
      <c r="AI370" s="231" t="n"/>
      <c r="AJ370" s="238" t="n"/>
      <c r="AK370" s="239" t="n"/>
    </row>
    <row r="371" ht="15.5" customHeight="1" s="7">
      <c r="A371" s="157" t="n"/>
      <c r="B371" s="158" t="n"/>
      <c r="C371" s="159" t="n"/>
      <c r="D371" s="159" t="n"/>
      <c r="E371" s="159" t="n"/>
      <c r="F371" s="148" t="n"/>
      <c r="G371" s="228" t="n"/>
      <c r="H371" s="236" t="n"/>
      <c r="I371" s="122" t="n"/>
      <c r="J371" s="240" t="n"/>
      <c r="K371" s="240" t="n"/>
      <c r="L371" s="241" t="n"/>
      <c r="M371" s="138" t="n"/>
      <c r="N371" s="241" t="n"/>
      <c r="O371" s="122" t="n"/>
      <c r="P371" s="240" t="n"/>
      <c r="Q371" s="240" t="n"/>
      <c r="R371" s="240" t="n"/>
      <c r="S371" s="240" t="n"/>
      <c r="T371" s="241" t="n"/>
      <c r="U371" s="146" t="n"/>
      <c r="V371" s="227" t="n"/>
      <c r="W371" s="159" t="n"/>
      <c r="X371" s="159" t="n"/>
      <c r="Y371" s="185" t="inlineStr">
        <is>
          <t>DAVID WILDNER</t>
        </is>
      </c>
      <c r="Z371" s="230" t="n"/>
      <c r="AA371" s="231" t="n"/>
      <c r="AB371" s="232">
        <f>IFERROR(VLOOKUP(F371,'DATA BASE'!A:I,3,FALSE),"")</f>
        <v/>
      </c>
      <c r="AC371" s="230" t="n"/>
      <c r="AD371" s="231" t="n"/>
      <c r="AE371" s="233">
        <f>IFERROR(VLOOKUP(F371,'DATA BASE'!A:I,9,FALSE),"")</f>
        <v/>
      </c>
      <c r="AF371" s="231" t="n"/>
      <c r="AG371" s="232">
        <f>IFERROR(VLOOKUP(F371,'DATA BASE'!A:I,6,FALSE),"")</f>
        <v/>
      </c>
      <c r="AH371" s="230" t="n"/>
      <c r="AI371" s="231" t="n"/>
      <c r="AJ371" s="234">
        <f>IFERROR(VLOOKUP(F371,'DATA BASE'!A:I,8,FALSE),"")</f>
        <v/>
      </c>
      <c r="AK371" s="235" t="n"/>
    </row>
    <row r="372" ht="15.5" customHeight="1" s="7">
      <c r="A372" s="242" t="n"/>
      <c r="B372" s="242" t="n"/>
      <c r="C372" s="242" t="n"/>
      <c r="D372" s="242" t="n"/>
      <c r="E372" s="242" t="n"/>
      <c r="F372" s="148" t="n"/>
      <c r="G372" s="228" t="n"/>
      <c r="H372" s="236" t="n"/>
      <c r="I372" s="122" t="n"/>
      <c r="J372" s="240" t="n"/>
      <c r="K372" s="240" t="n"/>
      <c r="L372" s="241" t="n"/>
      <c r="M372" s="122" t="n"/>
      <c r="N372" s="241" t="n"/>
      <c r="O372" s="122" t="n"/>
      <c r="P372" s="240" t="n"/>
      <c r="Q372" s="240" t="n"/>
      <c r="R372" s="240" t="n"/>
      <c r="S372" s="240" t="n"/>
      <c r="T372" s="241" t="n"/>
      <c r="U372" s="243" t="n"/>
      <c r="V372" s="229" t="n"/>
      <c r="W372" s="242" t="n"/>
      <c r="X372" s="242" t="n"/>
      <c r="Y372" s="185">
        <f>VLOOKUP(F371,'DATA BASE'!A:I,2,FALSE)</f>
        <v/>
      </c>
      <c r="Z372" s="230" t="n"/>
      <c r="AA372" s="231" t="n"/>
      <c r="AB372" s="232">
        <f>IFERROR(VLOOKUP(F371,'DATA BASE'!A:I,4,FALSE),"")</f>
        <v/>
      </c>
      <c r="AC372" s="230" t="n"/>
      <c r="AD372" s="231" t="n"/>
      <c r="AE372" s="232">
        <f>IFERROR(VLOOKUP(F371,'DATA BASE'!A:I,5,FALSE),"")</f>
        <v/>
      </c>
      <c r="AF372" s="231" t="n"/>
      <c r="AG372" s="232">
        <f>IFERROR(VLOOKUP(F371,'DATA BASE'!A:I,7,FALSE),"")</f>
        <v/>
      </c>
      <c r="AH372" s="230" t="n"/>
      <c r="AI372" s="231" t="n"/>
      <c r="AJ372" s="238" t="n"/>
      <c r="AK372" s="239" t="n"/>
    </row>
    <row r="373" ht="15.5" customHeight="1" s="7">
      <c r="A373" s="157" t="n"/>
      <c r="B373" s="158" t="n"/>
      <c r="C373" s="159" t="n"/>
      <c r="D373" s="159" t="n"/>
      <c r="E373" s="159" t="n"/>
      <c r="F373" s="148" t="n"/>
      <c r="G373" s="228" t="n"/>
      <c r="H373" s="236" t="n"/>
      <c r="I373" s="122" t="n"/>
      <c r="J373" s="240" t="n"/>
      <c r="K373" s="240" t="n"/>
      <c r="L373" s="241" t="n"/>
      <c r="M373" s="138" t="n"/>
      <c r="N373" s="241" t="n"/>
      <c r="O373" s="122" t="n"/>
      <c r="P373" s="240" t="n"/>
      <c r="Q373" s="240" t="n"/>
      <c r="R373" s="240" t="n"/>
      <c r="S373" s="240" t="n"/>
      <c r="T373" s="241" t="n"/>
      <c r="U373" s="146" t="n"/>
      <c r="V373" s="227" t="n"/>
      <c r="W373" s="159" t="n"/>
      <c r="X373" s="159" t="n"/>
      <c r="Y373" s="185" t="inlineStr">
        <is>
          <t>DAVID WILDNER</t>
        </is>
      </c>
      <c r="Z373" s="230" t="n"/>
      <c r="AA373" s="231" t="n"/>
      <c r="AB373" s="232">
        <f>IFERROR(VLOOKUP(F373,'DATA BASE'!A:I,3,FALSE),"")</f>
        <v/>
      </c>
      <c r="AC373" s="230" t="n"/>
      <c r="AD373" s="231" t="n"/>
      <c r="AE373" s="233">
        <f>IFERROR(VLOOKUP(F373,'DATA BASE'!A:I,9,FALSE),"")</f>
        <v/>
      </c>
      <c r="AF373" s="231" t="n"/>
      <c r="AG373" s="232">
        <f>IFERROR(VLOOKUP(F373,'DATA BASE'!A:I,6,FALSE),"")</f>
        <v/>
      </c>
      <c r="AH373" s="230" t="n"/>
      <c r="AI373" s="231" t="n"/>
      <c r="AJ373" s="234">
        <f>IFERROR(VLOOKUP(F373,'DATA BASE'!A:I,8,FALSE),"")</f>
        <v/>
      </c>
      <c r="AK373" s="235" t="n"/>
    </row>
    <row r="374" ht="15.5" customHeight="1" s="7">
      <c r="A374" s="242" t="n"/>
      <c r="B374" s="242" t="n"/>
      <c r="C374" s="242" t="n"/>
      <c r="D374" s="242" t="n"/>
      <c r="E374" s="242" t="n"/>
      <c r="F374" s="148" t="n"/>
      <c r="G374" s="228" t="n"/>
      <c r="H374" s="236" t="n"/>
      <c r="I374" s="122" t="n"/>
      <c r="J374" s="240" t="n"/>
      <c r="K374" s="240" t="n"/>
      <c r="L374" s="241" t="n"/>
      <c r="M374" s="122" t="n"/>
      <c r="N374" s="241" t="n"/>
      <c r="O374" s="122" t="n"/>
      <c r="P374" s="240" t="n"/>
      <c r="Q374" s="240" t="n"/>
      <c r="R374" s="240" t="n"/>
      <c r="S374" s="240" t="n"/>
      <c r="T374" s="241" t="n"/>
      <c r="U374" s="243" t="n"/>
      <c r="V374" s="229" t="n"/>
      <c r="W374" s="242" t="n"/>
      <c r="X374" s="242" t="n"/>
      <c r="Y374" s="185">
        <f>VLOOKUP(F373,'DATA BASE'!A:I,2,FALSE)</f>
        <v/>
      </c>
      <c r="Z374" s="230" t="n"/>
      <c r="AA374" s="231" t="n"/>
      <c r="AB374" s="232">
        <f>IFERROR(VLOOKUP(F373,'DATA BASE'!A:I,4,FALSE),"")</f>
        <v/>
      </c>
      <c r="AC374" s="230" t="n"/>
      <c r="AD374" s="231" t="n"/>
      <c r="AE374" s="232">
        <f>IFERROR(VLOOKUP(F373,'DATA BASE'!A:I,5,FALSE),"")</f>
        <v/>
      </c>
      <c r="AF374" s="231" t="n"/>
      <c r="AG374" s="232">
        <f>IFERROR(VLOOKUP(F373,'DATA BASE'!A:I,7,FALSE),"")</f>
        <v/>
      </c>
      <c r="AH374" s="230" t="n"/>
      <c r="AI374" s="231" t="n"/>
      <c r="AJ374" s="238" t="n"/>
      <c r="AK374" s="239" t="n"/>
    </row>
    <row r="375" ht="15.5" customHeight="1" s="7">
      <c r="A375" s="157" t="n"/>
      <c r="B375" s="158" t="n"/>
      <c r="C375" s="159" t="n"/>
      <c r="D375" s="159" t="n"/>
      <c r="E375" s="159" t="n"/>
      <c r="F375" s="148" t="n"/>
      <c r="G375" s="228" t="n"/>
      <c r="H375" s="236" t="n"/>
      <c r="I375" s="122" t="n"/>
      <c r="J375" s="240" t="n"/>
      <c r="K375" s="240" t="n"/>
      <c r="L375" s="241" t="n"/>
      <c r="M375" s="138" t="n"/>
      <c r="N375" s="241" t="n"/>
      <c r="O375" s="122" t="n"/>
      <c r="P375" s="240" t="n"/>
      <c r="Q375" s="240" t="n"/>
      <c r="R375" s="240" t="n"/>
      <c r="S375" s="240" t="n"/>
      <c r="T375" s="241" t="n"/>
      <c r="U375" s="146" t="n"/>
      <c r="V375" s="227" t="n"/>
      <c r="W375" s="159" t="n"/>
      <c r="X375" s="159" t="n"/>
      <c r="Y375" s="185" t="inlineStr">
        <is>
          <t>DAVID WILDNER</t>
        </is>
      </c>
      <c r="Z375" s="230" t="n"/>
      <c r="AA375" s="231" t="n"/>
      <c r="AB375" s="232">
        <f>IFERROR(VLOOKUP(F375,'DATA BASE'!A:I,3,FALSE),"")</f>
        <v/>
      </c>
      <c r="AC375" s="230" t="n"/>
      <c r="AD375" s="231" t="n"/>
      <c r="AE375" s="233">
        <f>IFERROR(VLOOKUP(F375,'DATA BASE'!A:I,9,FALSE),"")</f>
        <v/>
      </c>
      <c r="AF375" s="231" t="n"/>
      <c r="AG375" s="232">
        <f>IFERROR(VLOOKUP(F375,'DATA BASE'!A:I,6,FALSE),"")</f>
        <v/>
      </c>
      <c r="AH375" s="230" t="n"/>
      <c r="AI375" s="231" t="n"/>
      <c r="AJ375" s="234">
        <f>IFERROR(VLOOKUP(F375,'DATA BASE'!A:I,8,FALSE),"")</f>
        <v/>
      </c>
      <c r="AK375" s="235" t="n"/>
    </row>
    <row r="376" ht="15.5" customHeight="1" s="7">
      <c r="A376" s="242" t="n"/>
      <c r="B376" s="242" t="n"/>
      <c r="C376" s="242" t="n"/>
      <c r="D376" s="242" t="n"/>
      <c r="E376" s="242" t="n"/>
      <c r="F376" s="148" t="n"/>
      <c r="G376" s="228" t="n"/>
      <c r="H376" s="236" t="n"/>
      <c r="I376" s="122" t="n"/>
      <c r="J376" s="240" t="n"/>
      <c r="K376" s="240" t="n"/>
      <c r="L376" s="241" t="n"/>
      <c r="M376" s="122" t="n"/>
      <c r="N376" s="241" t="n"/>
      <c r="O376" s="122" t="n"/>
      <c r="P376" s="240" t="n"/>
      <c r="Q376" s="240" t="n"/>
      <c r="R376" s="240" t="n"/>
      <c r="S376" s="240" t="n"/>
      <c r="T376" s="241" t="n"/>
      <c r="U376" s="243" t="n"/>
      <c r="V376" s="229" t="n"/>
      <c r="W376" s="242" t="n"/>
      <c r="X376" s="242" t="n"/>
      <c r="Y376" s="185">
        <f>VLOOKUP(F375,'DATA BASE'!A:I,2,FALSE)</f>
        <v/>
      </c>
      <c r="Z376" s="230" t="n"/>
      <c r="AA376" s="231" t="n"/>
      <c r="AB376" s="232">
        <f>IFERROR(VLOOKUP(F375,'DATA BASE'!A:I,4,FALSE),"")</f>
        <v/>
      </c>
      <c r="AC376" s="230" t="n"/>
      <c r="AD376" s="231" t="n"/>
      <c r="AE376" s="232">
        <f>IFERROR(VLOOKUP(F375,'DATA BASE'!A:I,5,FALSE),"")</f>
        <v/>
      </c>
      <c r="AF376" s="231" t="n"/>
      <c r="AG376" s="232">
        <f>IFERROR(VLOOKUP(F375,'DATA BASE'!A:I,7,FALSE),"")</f>
        <v/>
      </c>
      <c r="AH376" s="230" t="n"/>
      <c r="AI376" s="231" t="n"/>
      <c r="AJ376" s="238" t="n"/>
      <c r="AK376" s="239" t="n"/>
    </row>
    <row r="377" ht="15.5" customHeight="1" s="7">
      <c r="A377" s="157" t="n"/>
      <c r="B377" s="158" t="n"/>
      <c r="C377" s="159" t="n"/>
      <c r="D377" s="159" t="n"/>
      <c r="E377" s="159" t="n"/>
      <c r="F377" s="148" t="n"/>
      <c r="G377" s="228" t="n"/>
      <c r="H377" s="236" t="n"/>
      <c r="I377" s="122" t="n"/>
      <c r="J377" s="240" t="n"/>
      <c r="K377" s="240" t="n"/>
      <c r="L377" s="241" t="n"/>
      <c r="M377" s="138" t="n"/>
      <c r="N377" s="241" t="n"/>
      <c r="O377" s="122" t="n"/>
      <c r="P377" s="240" t="n"/>
      <c r="Q377" s="240" t="n"/>
      <c r="R377" s="240" t="n"/>
      <c r="S377" s="240" t="n"/>
      <c r="T377" s="241" t="n"/>
      <c r="U377" s="146" t="n"/>
      <c r="V377" s="227" t="n"/>
      <c r="W377" s="159" t="n"/>
      <c r="X377" s="159" t="n"/>
      <c r="Y377" s="185" t="inlineStr">
        <is>
          <t>DAVID WILDNER</t>
        </is>
      </c>
      <c r="Z377" s="230" t="n"/>
      <c r="AA377" s="231" t="n"/>
      <c r="AB377" s="232">
        <f>IFERROR(VLOOKUP(F377,'DATA BASE'!A:I,3,FALSE),"")</f>
        <v/>
      </c>
      <c r="AC377" s="230" t="n"/>
      <c r="AD377" s="231" t="n"/>
      <c r="AE377" s="233">
        <f>IFERROR(VLOOKUP(F377,'DATA BASE'!A:I,9,FALSE),"")</f>
        <v/>
      </c>
      <c r="AF377" s="231" t="n"/>
      <c r="AG377" s="232">
        <f>IFERROR(VLOOKUP(F377,'DATA BASE'!A:I,6,FALSE),"")</f>
        <v/>
      </c>
      <c r="AH377" s="230" t="n"/>
      <c r="AI377" s="231" t="n"/>
      <c r="AJ377" s="234">
        <f>IFERROR(VLOOKUP(F377,'DATA BASE'!A:I,8,FALSE),"")</f>
        <v/>
      </c>
      <c r="AK377" s="235" t="n"/>
    </row>
    <row r="378" ht="15.5" customHeight="1" s="7">
      <c r="A378" s="242" t="n"/>
      <c r="B378" s="242" t="n"/>
      <c r="C378" s="242" t="n"/>
      <c r="D378" s="242" t="n"/>
      <c r="E378" s="242" t="n"/>
      <c r="F378" s="148" t="n"/>
      <c r="G378" s="228" t="n"/>
      <c r="H378" s="236" t="n"/>
      <c r="I378" s="122" t="n"/>
      <c r="J378" s="240" t="n"/>
      <c r="K378" s="240" t="n"/>
      <c r="L378" s="241" t="n"/>
      <c r="M378" s="122" t="n"/>
      <c r="N378" s="241" t="n"/>
      <c r="O378" s="122" t="n"/>
      <c r="P378" s="240" t="n"/>
      <c r="Q378" s="240" t="n"/>
      <c r="R378" s="240" t="n"/>
      <c r="S378" s="240" t="n"/>
      <c r="T378" s="241" t="n"/>
      <c r="U378" s="243" t="n"/>
      <c r="V378" s="229" t="n"/>
      <c r="W378" s="242" t="n"/>
      <c r="X378" s="242" t="n"/>
      <c r="Y378" s="185">
        <f>VLOOKUP(F377,'DATA BASE'!A:I,2,FALSE)</f>
        <v/>
      </c>
      <c r="Z378" s="230" t="n"/>
      <c r="AA378" s="231" t="n"/>
      <c r="AB378" s="232">
        <f>IFERROR(VLOOKUP(F377,'DATA BASE'!A:I,4,FALSE),"")</f>
        <v/>
      </c>
      <c r="AC378" s="230" t="n"/>
      <c r="AD378" s="231" t="n"/>
      <c r="AE378" s="232">
        <f>IFERROR(VLOOKUP(F377,'DATA BASE'!A:I,5,FALSE),"")</f>
        <v/>
      </c>
      <c r="AF378" s="231" t="n"/>
      <c r="AG378" s="232">
        <f>IFERROR(VLOOKUP(F377,'DATA BASE'!A:I,7,FALSE),"")</f>
        <v/>
      </c>
      <c r="AH378" s="230" t="n"/>
      <c r="AI378" s="231" t="n"/>
      <c r="AJ378" s="238" t="n"/>
      <c r="AK378" s="239" t="n"/>
    </row>
    <row r="379" ht="15.5" customHeight="1" s="7">
      <c r="A379" s="157" t="n"/>
      <c r="B379" s="158" t="n"/>
      <c r="C379" s="159" t="n"/>
      <c r="D379" s="159" t="n"/>
      <c r="E379" s="159" t="n"/>
      <c r="F379" s="148" t="n"/>
      <c r="G379" s="228" t="n"/>
      <c r="H379" s="236" t="n"/>
      <c r="I379" s="122" t="n"/>
      <c r="J379" s="240" t="n"/>
      <c r="K379" s="240" t="n"/>
      <c r="L379" s="241" t="n"/>
      <c r="M379" s="138" t="n"/>
      <c r="N379" s="241" t="n"/>
      <c r="O379" s="122" t="n"/>
      <c r="P379" s="240" t="n"/>
      <c r="Q379" s="240" t="n"/>
      <c r="R379" s="240" t="n"/>
      <c r="S379" s="240" t="n"/>
      <c r="T379" s="241" t="n"/>
      <c r="U379" s="146" t="n"/>
      <c r="V379" s="227" t="n"/>
      <c r="W379" s="159" t="n"/>
      <c r="X379" s="159" t="n"/>
      <c r="Y379" s="185" t="inlineStr">
        <is>
          <t>DAVID WILDNER</t>
        </is>
      </c>
      <c r="Z379" s="230" t="n"/>
      <c r="AA379" s="231" t="n"/>
      <c r="AB379" s="232">
        <f>IFERROR(VLOOKUP(F379,'DATA BASE'!A:I,3,FALSE),"")</f>
        <v/>
      </c>
      <c r="AC379" s="230" t="n"/>
      <c r="AD379" s="231" t="n"/>
      <c r="AE379" s="233">
        <f>IFERROR(VLOOKUP(F379,'DATA BASE'!A:I,9,FALSE),"")</f>
        <v/>
      </c>
      <c r="AF379" s="231" t="n"/>
      <c r="AG379" s="232">
        <f>IFERROR(VLOOKUP(F379,'DATA BASE'!A:I,6,FALSE),"")</f>
        <v/>
      </c>
      <c r="AH379" s="230" t="n"/>
      <c r="AI379" s="231" t="n"/>
      <c r="AJ379" s="234">
        <f>IFERROR(VLOOKUP(F379,'DATA BASE'!A:I,8,FALSE),"")</f>
        <v/>
      </c>
      <c r="AK379" s="235" t="n"/>
    </row>
    <row r="380" ht="15.5" customHeight="1" s="7">
      <c r="A380" s="242" t="n"/>
      <c r="B380" s="242" t="n"/>
      <c r="C380" s="242" t="n"/>
      <c r="D380" s="242" t="n"/>
      <c r="E380" s="242" t="n"/>
      <c r="F380" s="148" t="n"/>
      <c r="G380" s="228" t="n"/>
      <c r="H380" s="236" t="n"/>
      <c r="I380" s="122" t="n"/>
      <c r="J380" s="240" t="n"/>
      <c r="K380" s="240" t="n"/>
      <c r="L380" s="241" t="n"/>
      <c r="M380" s="122" t="n"/>
      <c r="N380" s="241" t="n"/>
      <c r="O380" s="122" t="n"/>
      <c r="P380" s="240" t="n"/>
      <c r="Q380" s="240" t="n"/>
      <c r="R380" s="240" t="n"/>
      <c r="S380" s="240" t="n"/>
      <c r="T380" s="241" t="n"/>
      <c r="U380" s="243" t="n"/>
      <c r="V380" s="229" t="n"/>
      <c r="W380" s="242" t="n"/>
      <c r="X380" s="242" t="n"/>
      <c r="Y380" s="185">
        <f>VLOOKUP(F379,'DATA BASE'!A:I,2,FALSE)</f>
        <v/>
      </c>
      <c r="Z380" s="230" t="n"/>
      <c r="AA380" s="231" t="n"/>
      <c r="AB380" s="232">
        <f>IFERROR(VLOOKUP(F379,'DATA BASE'!A:I,4,FALSE),"")</f>
        <v/>
      </c>
      <c r="AC380" s="230" t="n"/>
      <c r="AD380" s="231" t="n"/>
      <c r="AE380" s="232">
        <f>IFERROR(VLOOKUP(F379,'DATA BASE'!A:I,5,FALSE),"")</f>
        <v/>
      </c>
      <c r="AF380" s="231" t="n"/>
      <c r="AG380" s="232">
        <f>IFERROR(VLOOKUP(F379,'DATA BASE'!A:I,7,FALSE),"")</f>
        <v/>
      </c>
      <c r="AH380" s="230" t="n"/>
      <c r="AI380" s="231" t="n"/>
      <c r="AJ380" s="238" t="n"/>
      <c r="AK380" s="239" t="n"/>
    </row>
    <row r="381" ht="15.5" customHeight="1" s="7">
      <c r="A381" s="157" t="n"/>
      <c r="B381" s="158" t="n"/>
      <c r="C381" s="159" t="n"/>
      <c r="D381" s="159" t="n"/>
      <c r="E381" s="159" t="n"/>
      <c r="F381" s="148" t="n"/>
      <c r="G381" s="228" t="n"/>
      <c r="H381" s="236" t="n"/>
      <c r="I381" s="122" t="n"/>
      <c r="J381" s="240" t="n"/>
      <c r="K381" s="240" t="n"/>
      <c r="L381" s="241" t="n"/>
      <c r="M381" s="138" t="n"/>
      <c r="N381" s="241" t="n"/>
      <c r="O381" s="122" t="n"/>
      <c r="P381" s="240" t="n"/>
      <c r="Q381" s="240" t="n"/>
      <c r="R381" s="240" t="n"/>
      <c r="S381" s="240" t="n"/>
      <c r="T381" s="241" t="n"/>
      <c r="U381" s="146" t="n"/>
      <c r="V381" s="227" t="n"/>
      <c r="W381" s="159" t="n"/>
      <c r="X381" s="159" t="n"/>
      <c r="Y381" s="185" t="inlineStr">
        <is>
          <t>DAVID WILDNER</t>
        </is>
      </c>
      <c r="Z381" s="230" t="n"/>
      <c r="AA381" s="231" t="n"/>
      <c r="AB381" s="232">
        <f>IFERROR(VLOOKUP(F381,'DATA BASE'!A:I,3,FALSE),"")</f>
        <v/>
      </c>
      <c r="AC381" s="230" t="n"/>
      <c r="AD381" s="231" t="n"/>
      <c r="AE381" s="233">
        <f>IFERROR(VLOOKUP(F381,'DATA BASE'!A:I,9,FALSE),"")</f>
        <v/>
      </c>
      <c r="AF381" s="231" t="n"/>
      <c r="AG381" s="232">
        <f>IFERROR(VLOOKUP(F381,'DATA BASE'!A:I,6,FALSE),"")</f>
        <v/>
      </c>
      <c r="AH381" s="230" t="n"/>
      <c r="AI381" s="231" t="n"/>
      <c r="AJ381" s="234">
        <f>IFERROR(VLOOKUP(F381,'DATA BASE'!A:I,8,FALSE),"")</f>
        <v/>
      </c>
      <c r="AK381" s="235" t="n"/>
    </row>
    <row r="382" ht="15.5" customHeight="1" s="7">
      <c r="A382" s="242" t="n"/>
      <c r="B382" s="242" t="n"/>
      <c r="C382" s="242" t="n"/>
      <c r="D382" s="242" t="n"/>
      <c r="E382" s="242" t="n"/>
      <c r="F382" s="148" t="n"/>
      <c r="G382" s="228" t="n"/>
      <c r="H382" s="236" t="n"/>
      <c r="I382" s="122" t="n"/>
      <c r="J382" s="240" t="n"/>
      <c r="K382" s="240" t="n"/>
      <c r="L382" s="241" t="n"/>
      <c r="M382" s="122" t="n"/>
      <c r="N382" s="241" t="n"/>
      <c r="O382" s="122" t="n"/>
      <c r="P382" s="240" t="n"/>
      <c r="Q382" s="240" t="n"/>
      <c r="R382" s="240" t="n"/>
      <c r="S382" s="240" t="n"/>
      <c r="T382" s="241" t="n"/>
      <c r="U382" s="243" t="n"/>
      <c r="V382" s="229" t="n"/>
      <c r="W382" s="242" t="n"/>
      <c r="X382" s="242" t="n"/>
      <c r="Y382" s="185">
        <f>VLOOKUP(F381,'DATA BASE'!A:I,2,FALSE)</f>
        <v/>
      </c>
      <c r="Z382" s="230" t="n"/>
      <c r="AA382" s="231" t="n"/>
      <c r="AB382" s="232">
        <f>IFERROR(VLOOKUP(F381,'DATA BASE'!A:I,4,FALSE),"")</f>
        <v/>
      </c>
      <c r="AC382" s="230" t="n"/>
      <c r="AD382" s="231" t="n"/>
      <c r="AE382" s="232">
        <f>IFERROR(VLOOKUP(F381,'DATA BASE'!A:I,5,FALSE),"")</f>
        <v/>
      </c>
      <c r="AF382" s="231" t="n"/>
      <c r="AG382" s="232">
        <f>IFERROR(VLOOKUP(F381,'DATA BASE'!A:I,7,FALSE),"")</f>
        <v/>
      </c>
      <c r="AH382" s="230" t="n"/>
      <c r="AI382" s="231" t="n"/>
      <c r="AJ382" s="238" t="n"/>
      <c r="AK382" s="239" t="n"/>
    </row>
    <row r="383" ht="15.5" customHeight="1" s="7">
      <c r="A383" s="157" t="n"/>
      <c r="B383" s="158" t="n"/>
      <c r="C383" s="159" t="n"/>
      <c r="D383" s="159" t="n"/>
      <c r="E383" s="159" t="n"/>
      <c r="F383" s="148" t="n"/>
      <c r="G383" s="228" t="n"/>
      <c r="H383" s="236" t="n"/>
      <c r="I383" s="122" t="n"/>
      <c r="J383" s="240" t="n"/>
      <c r="K383" s="240" t="n"/>
      <c r="L383" s="241" t="n"/>
      <c r="M383" s="138" t="n"/>
      <c r="N383" s="241" t="n"/>
      <c r="O383" s="122" t="n"/>
      <c r="P383" s="240" t="n"/>
      <c r="Q383" s="240" t="n"/>
      <c r="R383" s="240" t="n"/>
      <c r="S383" s="240" t="n"/>
      <c r="T383" s="241" t="n"/>
      <c r="U383" s="146" t="n"/>
      <c r="V383" s="227" t="n"/>
      <c r="W383" s="159" t="n"/>
      <c r="X383" s="159" t="n"/>
      <c r="Y383" s="185" t="inlineStr">
        <is>
          <t>DAVID WILDNER</t>
        </is>
      </c>
      <c r="Z383" s="230" t="n"/>
      <c r="AA383" s="231" t="n"/>
      <c r="AB383" s="232">
        <f>IFERROR(VLOOKUP(F383,'DATA BASE'!A:I,3,FALSE),"")</f>
        <v/>
      </c>
      <c r="AC383" s="230" t="n"/>
      <c r="AD383" s="231" t="n"/>
      <c r="AE383" s="233">
        <f>IFERROR(VLOOKUP(F383,'DATA BASE'!A:I,9,FALSE),"")</f>
        <v/>
      </c>
      <c r="AF383" s="231" t="n"/>
      <c r="AG383" s="232">
        <f>IFERROR(VLOOKUP(F383,'DATA BASE'!A:I,6,FALSE),"")</f>
        <v/>
      </c>
      <c r="AH383" s="230" t="n"/>
      <c r="AI383" s="231" t="n"/>
      <c r="AJ383" s="234">
        <f>IFERROR(VLOOKUP(F383,'DATA BASE'!A:I,8,FALSE),"")</f>
        <v/>
      </c>
      <c r="AK383" s="235" t="n"/>
    </row>
    <row r="384" ht="15.5" customHeight="1" s="7">
      <c r="A384" s="242" t="n"/>
      <c r="B384" s="242" t="n"/>
      <c r="C384" s="242" t="n"/>
      <c r="D384" s="242" t="n"/>
      <c r="E384" s="242" t="n"/>
      <c r="F384" s="148" t="n"/>
      <c r="G384" s="228" t="n"/>
      <c r="H384" s="236" t="n"/>
      <c r="I384" s="122" t="n"/>
      <c r="J384" s="240" t="n"/>
      <c r="K384" s="240" t="n"/>
      <c r="L384" s="241" t="n"/>
      <c r="M384" s="122" t="n"/>
      <c r="N384" s="241" t="n"/>
      <c r="O384" s="122" t="n"/>
      <c r="P384" s="240" t="n"/>
      <c r="Q384" s="240" t="n"/>
      <c r="R384" s="240" t="n"/>
      <c r="S384" s="240" t="n"/>
      <c r="T384" s="241" t="n"/>
      <c r="U384" s="243" t="n"/>
      <c r="V384" s="229" t="n"/>
      <c r="W384" s="242" t="n"/>
      <c r="X384" s="242" t="n"/>
      <c r="Y384" s="185">
        <f>VLOOKUP(F383,'DATA BASE'!A:I,2,FALSE)</f>
        <v/>
      </c>
      <c r="Z384" s="230" t="n"/>
      <c r="AA384" s="231" t="n"/>
      <c r="AB384" s="232">
        <f>IFERROR(VLOOKUP(F383,'DATA BASE'!A:I,4,FALSE),"")</f>
        <v/>
      </c>
      <c r="AC384" s="230" t="n"/>
      <c r="AD384" s="231" t="n"/>
      <c r="AE384" s="232">
        <f>IFERROR(VLOOKUP(F383,'DATA BASE'!A:I,5,FALSE),"")</f>
        <v/>
      </c>
      <c r="AF384" s="231" t="n"/>
      <c r="AG384" s="232">
        <f>IFERROR(VLOOKUP(F383,'DATA BASE'!A:I,7,FALSE),"")</f>
        <v/>
      </c>
      <c r="AH384" s="230" t="n"/>
      <c r="AI384" s="231" t="n"/>
      <c r="AJ384" s="238" t="n"/>
      <c r="AK384" s="239" t="n"/>
    </row>
    <row r="385" ht="15.5" customHeight="1" s="7">
      <c r="A385" s="157" t="n"/>
      <c r="B385" s="158" t="n"/>
      <c r="C385" s="159" t="n"/>
      <c r="D385" s="159" t="n"/>
      <c r="E385" s="159" t="n"/>
      <c r="F385" s="148" t="n"/>
      <c r="G385" s="228" t="n"/>
      <c r="H385" s="236" t="n"/>
      <c r="I385" s="122" t="n"/>
      <c r="J385" s="240" t="n"/>
      <c r="K385" s="240" t="n"/>
      <c r="L385" s="241" t="n"/>
      <c r="M385" s="138" t="n"/>
      <c r="N385" s="241" t="n"/>
      <c r="O385" s="122" t="n"/>
      <c r="P385" s="240" t="n"/>
      <c r="Q385" s="240" t="n"/>
      <c r="R385" s="240" t="n"/>
      <c r="S385" s="240" t="n"/>
      <c r="T385" s="241" t="n"/>
      <c r="U385" s="146" t="n"/>
      <c r="V385" s="227" t="n"/>
      <c r="W385" s="159" t="n"/>
      <c r="X385" s="159" t="n"/>
      <c r="Y385" s="185" t="inlineStr">
        <is>
          <t>DAVID WILDNER</t>
        </is>
      </c>
      <c r="Z385" s="230" t="n"/>
      <c r="AA385" s="231" t="n"/>
      <c r="AB385" s="232">
        <f>IFERROR(VLOOKUP(F385,'DATA BASE'!A:I,3,FALSE),"")</f>
        <v/>
      </c>
      <c r="AC385" s="230" t="n"/>
      <c r="AD385" s="231" t="n"/>
      <c r="AE385" s="233">
        <f>IFERROR(VLOOKUP(F385,'DATA BASE'!A:I,9,FALSE),"")</f>
        <v/>
      </c>
      <c r="AF385" s="231" t="n"/>
      <c r="AG385" s="232">
        <f>IFERROR(VLOOKUP(F385,'DATA BASE'!A:I,6,FALSE),"")</f>
        <v/>
      </c>
      <c r="AH385" s="230" t="n"/>
      <c r="AI385" s="231" t="n"/>
      <c r="AJ385" s="234">
        <f>IFERROR(VLOOKUP(F385,'DATA BASE'!A:I,8,FALSE),"")</f>
        <v/>
      </c>
      <c r="AK385" s="235" t="n"/>
    </row>
    <row r="386" ht="15.5" customHeight="1" s="7">
      <c r="A386" s="242" t="n"/>
      <c r="B386" s="242" t="n"/>
      <c r="C386" s="242" t="n"/>
      <c r="D386" s="242" t="n"/>
      <c r="E386" s="242" t="n"/>
      <c r="F386" s="148" t="n"/>
      <c r="G386" s="228" t="n"/>
      <c r="H386" s="236" t="n"/>
      <c r="I386" s="122" t="n"/>
      <c r="J386" s="240" t="n"/>
      <c r="K386" s="240" t="n"/>
      <c r="L386" s="241" t="n"/>
      <c r="M386" s="122" t="n"/>
      <c r="N386" s="241" t="n"/>
      <c r="O386" s="122" t="n"/>
      <c r="P386" s="240" t="n"/>
      <c r="Q386" s="240" t="n"/>
      <c r="R386" s="240" t="n"/>
      <c r="S386" s="240" t="n"/>
      <c r="T386" s="241" t="n"/>
      <c r="U386" s="243" t="n"/>
      <c r="V386" s="229" t="n"/>
      <c r="W386" s="242" t="n"/>
      <c r="X386" s="242" t="n"/>
      <c r="Y386" s="185">
        <f>VLOOKUP(F385,'DATA BASE'!A:I,2,FALSE)</f>
        <v/>
      </c>
      <c r="Z386" s="230" t="n"/>
      <c r="AA386" s="231" t="n"/>
      <c r="AB386" s="232">
        <f>IFERROR(VLOOKUP(F385,'DATA BASE'!A:I,4,FALSE),"")</f>
        <v/>
      </c>
      <c r="AC386" s="230" t="n"/>
      <c r="AD386" s="231" t="n"/>
      <c r="AE386" s="232">
        <f>IFERROR(VLOOKUP(F385,'DATA BASE'!A:I,5,FALSE),"")</f>
        <v/>
      </c>
      <c r="AF386" s="231" t="n"/>
      <c r="AG386" s="232">
        <f>IFERROR(VLOOKUP(F385,'DATA BASE'!A:I,7,FALSE),"")</f>
        <v/>
      </c>
      <c r="AH386" s="230" t="n"/>
      <c r="AI386" s="231" t="n"/>
      <c r="AJ386" s="238" t="n"/>
      <c r="AK386" s="239" t="n"/>
    </row>
    <row r="387" ht="15.5" customHeight="1" s="7">
      <c r="A387" s="157" t="n"/>
      <c r="B387" s="158" t="n"/>
      <c r="C387" s="159" t="n"/>
      <c r="D387" s="159" t="n"/>
      <c r="E387" s="159" t="n"/>
      <c r="F387" s="148" t="n"/>
      <c r="G387" s="228" t="n"/>
      <c r="H387" s="236" t="n"/>
      <c r="I387" s="122" t="n"/>
      <c r="J387" s="240" t="n"/>
      <c r="K387" s="240" t="n"/>
      <c r="L387" s="241" t="n"/>
      <c r="M387" s="138" t="n"/>
      <c r="N387" s="241" t="n"/>
      <c r="O387" s="122" t="n"/>
      <c r="P387" s="240" t="n"/>
      <c r="Q387" s="240" t="n"/>
      <c r="R387" s="240" t="n"/>
      <c r="S387" s="240" t="n"/>
      <c r="T387" s="241" t="n"/>
      <c r="U387" s="146" t="n"/>
      <c r="V387" s="227" t="n"/>
      <c r="W387" s="159" t="n"/>
      <c r="X387" s="159" t="n"/>
      <c r="Y387" s="185" t="inlineStr">
        <is>
          <t>DAVID WILDNER</t>
        </is>
      </c>
      <c r="Z387" s="230" t="n"/>
      <c r="AA387" s="231" t="n"/>
      <c r="AB387" s="232">
        <f>IFERROR(VLOOKUP(F387,'DATA BASE'!A:I,3,FALSE),"")</f>
        <v/>
      </c>
      <c r="AC387" s="230" t="n"/>
      <c r="AD387" s="231" t="n"/>
      <c r="AE387" s="233">
        <f>IFERROR(VLOOKUP(F387,'DATA BASE'!A:I,9,FALSE),"")</f>
        <v/>
      </c>
      <c r="AF387" s="231" t="n"/>
      <c r="AG387" s="232">
        <f>IFERROR(VLOOKUP(F387,'DATA BASE'!A:I,6,FALSE),"")</f>
        <v/>
      </c>
      <c r="AH387" s="230" t="n"/>
      <c r="AI387" s="231" t="n"/>
      <c r="AJ387" s="234">
        <f>IFERROR(VLOOKUP(F387,'DATA BASE'!A:I,8,FALSE),"")</f>
        <v/>
      </c>
      <c r="AK387" s="235" t="n"/>
    </row>
    <row r="388" ht="15.5" customHeight="1" s="7">
      <c r="A388" s="242" t="n"/>
      <c r="B388" s="242" t="n"/>
      <c r="C388" s="242" t="n"/>
      <c r="D388" s="242" t="n"/>
      <c r="E388" s="242" t="n"/>
      <c r="F388" s="148" t="n"/>
      <c r="G388" s="228" t="n"/>
      <c r="H388" s="236" t="n"/>
      <c r="I388" s="122" t="n"/>
      <c r="J388" s="240" t="n"/>
      <c r="K388" s="240" t="n"/>
      <c r="L388" s="241" t="n"/>
      <c r="M388" s="122" t="n"/>
      <c r="N388" s="241" t="n"/>
      <c r="O388" s="122" t="n"/>
      <c r="P388" s="240" t="n"/>
      <c r="Q388" s="240" t="n"/>
      <c r="R388" s="240" t="n"/>
      <c r="S388" s="240" t="n"/>
      <c r="T388" s="241" t="n"/>
      <c r="U388" s="243" t="n"/>
      <c r="V388" s="229" t="n"/>
      <c r="W388" s="242" t="n"/>
      <c r="X388" s="242" t="n"/>
      <c r="Y388" s="185">
        <f>VLOOKUP(F387,'DATA BASE'!A:I,2,FALSE)</f>
        <v/>
      </c>
      <c r="Z388" s="230" t="n"/>
      <c r="AA388" s="231" t="n"/>
      <c r="AB388" s="232">
        <f>IFERROR(VLOOKUP(F387,'DATA BASE'!A:I,4,FALSE),"")</f>
        <v/>
      </c>
      <c r="AC388" s="230" t="n"/>
      <c r="AD388" s="231" t="n"/>
      <c r="AE388" s="232">
        <f>IFERROR(VLOOKUP(F387,'DATA BASE'!A:I,5,FALSE),"")</f>
        <v/>
      </c>
      <c r="AF388" s="231" t="n"/>
      <c r="AG388" s="232">
        <f>IFERROR(VLOOKUP(F387,'DATA BASE'!A:I,7,FALSE),"")</f>
        <v/>
      </c>
      <c r="AH388" s="230" t="n"/>
      <c r="AI388" s="231" t="n"/>
      <c r="AJ388" s="238" t="n"/>
      <c r="AK388" s="239" t="n"/>
    </row>
    <row r="389" ht="15.5" customHeight="1" s="7">
      <c r="A389" s="157" t="n"/>
      <c r="B389" s="158" t="n"/>
      <c r="C389" s="159" t="n"/>
      <c r="D389" s="159" t="n"/>
      <c r="E389" s="159" t="n"/>
      <c r="F389" s="148" t="n"/>
      <c r="G389" s="228" t="n"/>
      <c r="H389" s="236" t="n"/>
      <c r="I389" s="122" t="n"/>
      <c r="J389" s="240" t="n"/>
      <c r="K389" s="240" t="n"/>
      <c r="L389" s="241" t="n"/>
      <c r="M389" s="138" t="n"/>
      <c r="N389" s="241" t="n"/>
      <c r="O389" s="122" t="n"/>
      <c r="P389" s="240" t="n"/>
      <c r="Q389" s="240" t="n"/>
      <c r="R389" s="240" t="n"/>
      <c r="S389" s="240" t="n"/>
      <c r="T389" s="241" t="n"/>
      <c r="U389" s="146" t="n"/>
      <c r="V389" s="227" t="n"/>
      <c r="W389" s="159" t="n"/>
      <c r="X389" s="159" t="n"/>
      <c r="Y389" s="185" t="inlineStr">
        <is>
          <t>DAVID WILDNER</t>
        </is>
      </c>
      <c r="Z389" s="230" t="n"/>
      <c r="AA389" s="231" t="n"/>
      <c r="AB389" s="232">
        <f>IFERROR(VLOOKUP(F389,'DATA BASE'!A:I,3,FALSE),"")</f>
        <v/>
      </c>
      <c r="AC389" s="230" t="n"/>
      <c r="AD389" s="231" t="n"/>
      <c r="AE389" s="233">
        <f>IFERROR(VLOOKUP(F389,'DATA BASE'!A:I,9,FALSE),"")</f>
        <v/>
      </c>
      <c r="AF389" s="231" t="n"/>
      <c r="AG389" s="232">
        <f>IFERROR(VLOOKUP(F389,'DATA BASE'!A:I,6,FALSE),"")</f>
        <v/>
      </c>
      <c r="AH389" s="230" t="n"/>
      <c r="AI389" s="231" t="n"/>
      <c r="AJ389" s="234">
        <f>IFERROR(VLOOKUP(F389,'DATA BASE'!A:I,8,FALSE),"")</f>
        <v/>
      </c>
      <c r="AK389" s="235" t="n"/>
    </row>
    <row r="390" ht="15.5" customHeight="1" s="7">
      <c r="A390" s="242" t="n"/>
      <c r="B390" s="242" t="n"/>
      <c r="C390" s="242" t="n"/>
      <c r="D390" s="242" t="n"/>
      <c r="E390" s="242" t="n"/>
      <c r="F390" s="148" t="n"/>
      <c r="G390" s="228" t="n"/>
      <c r="H390" s="236" t="n"/>
      <c r="I390" s="122" t="n"/>
      <c r="J390" s="240" t="n"/>
      <c r="K390" s="240" t="n"/>
      <c r="L390" s="241" t="n"/>
      <c r="M390" s="122" t="n"/>
      <c r="N390" s="241" t="n"/>
      <c r="O390" s="122" t="n"/>
      <c r="P390" s="240" t="n"/>
      <c r="Q390" s="240" t="n"/>
      <c r="R390" s="240" t="n"/>
      <c r="S390" s="240" t="n"/>
      <c r="T390" s="241" t="n"/>
      <c r="U390" s="243" t="n"/>
      <c r="V390" s="229" t="n"/>
      <c r="W390" s="242" t="n"/>
      <c r="X390" s="242" t="n"/>
      <c r="Y390" s="185">
        <f>VLOOKUP(F389,'DATA BASE'!A:I,2,FALSE)</f>
        <v/>
      </c>
      <c r="Z390" s="230" t="n"/>
      <c r="AA390" s="231" t="n"/>
      <c r="AB390" s="232">
        <f>IFERROR(VLOOKUP(F389,'DATA BASE'!A:I,4,FALSE),"")</f>
        <v/>
      </c>
      <c r="AC390" s="230" t="n"/>
      <c r="AD390" s="231" t="n"/>
      <c r="AE390" s="232">
        <f>IFERROR(VLOOKUP(F389,'DATA BASE'!A:I,5,FALSE),"")</f>
        <v/>
      </c>
      <c r="AF390" s="231" t="n"/>
      <c r="AG390" s="232">
        <f>IFERROR(VLOOKUP(F389,'DATA BASE'!A:I,7,FALSE),"")</f>
        <v/>
      </c>
      <c r="AH390" s="230" t="n"/>
      <c r="AI390" s="231" t="n"/>
      <c r="AJ390" s="238" t="n"/>
      <c r="AK390" s="239" t="n"/>
    </row>
    <row r="391" ht="15.5" customHeight="1" s="7">
      <c r="A391" s="157" t="n"/>
      <c r="B391" s="158" t="n"/>
      <c r="C391" s="159" t="n"/>
      <c r="D391" s="159" t="n"/>
      <c r="E391" s="159" t="n"/>
      <c r="F391" s="148" t="n"/>
      <c r="G391" s="228" t="n"/>
      <c r="H391" s="236" t="n"/>
      <c r="I391" s="122" t="n"/>
      <c r="J391" s="240" t="n"/>
      <c r="K391" s="240" t="n"/>
      <c r="L391" s="241" t="n"/>
      <c r="M391" s="138" t="n"/>
      <c r="N391" s="241" t="n"/>
      <c r="O391" s="122" t="n"/>
      <c r="P391" s="240" t="n"/>
      <c r="Q391" s="240" t="n"/>
      <c r="R391" s="240" t="n"/>
      <c r="S391" s="240" t="n"/>
      <c r="T391" s="241" t="n"/>
      <c r="U391" s="146" t="n"/>
      <c r="V391" s="227" t="n"/>
      <c r="W391" s="159" t="n"/>
      <c r="X391" s="159" t="n"/>
      <c r="Y391" s="185" t="inlineStr">
        <is>
          <t>DAVID WILDNER</t>
        </is>
      </c>
      <c r="Z391" s="230" t="n"/>
      <c r="AA391" s="231" t="n"/>
      <c r="AB391" s="232">
        <f>IFERROR(VLOOKUP(F391,'DATA BASE'!A:I,3,FALSE),"")</f>
        <v/>
      </c>
      <c r="AC391" s="230" t="n"/>
      <c r="AD391" s="231" t="n"/>
      <c r="AE391" s="233">
        <f>IFERROR(VLOOKUP(F391,'DATA BASE'!A:I,9,FALSE),"")</f>
        <v/>
      </c>
      <c r="AF391" s="231" t="n"/>
      <c r="AG391" s="232">
        <f>IFERROR(VLOOKUP(F391,'DATA BASE'!A:I,6,FALSE),"")</f>
        <v/>
      </c>
      <c r="AH391" s="230" t="n"/>
      <c r="AI391" s="231" t="n"/>
      <c r="AJ391" s="234">
        <f>IFERROR(VLOOKUP(F391,'DATA BASE'!A:I,8,FALSE),"")</f>
        <v/>
      </c>
      <c r="AK391" s="235" t="n"/>
    </row>
    <row r="392" ht="15.5" customHeight="1" s="7">
      <c r="A392" s="242" t="n"/>
      <c r="B392" s="242" t="n"/>
      <c r="C392" s="242" t="n"/>
      <c r="D392" s="242" t="n"/>
      <c r="E392" s="242" t="n"/>
      <c r="F392" s="148" t="n"/>
      <c r="G392" s="228" t="n"/>
      <c r="H392" s="236" t="n"/>
      <c r="I392" s="122" t="n"/>
      <c r="J392" s="240" t="n"/>
      <c r="K392" s="240" t="n"/>
      <c r="L392" s="241" t="n"/>
      <c r="M392" s="122" t="n"/>
      <c r="N392" s="241" t="n"/>
      <c r="O392" s="122" t="n"/>
      <c r="P392" s="240" t="n"/>
      <c r="Q392" s="240" t="n"/>
      <c r="R392" s="240" t="n"/>
      <c r="S392" s="240" t="n"/>
      <c r="T392" s="241" t="n"/>
      <c r="U392" s="243" t="n"/>
      <c r="V392" s="229" t="n"/>
      <c r="W392" s="242" t="n"/>
      <c r="X392" s="242" t="n"/>
      <c r="Y392" s="185">
        <f>VLOOKUP(F391,'DATA BASE'!A:I,2,FALSE)</f>
        <v/>
      </c>
      <c r="Z392" s="230" t="n"/>
      <c r="AA392" s="231" t="n"/>
      <c r="AB392" s="232">
        <f>IFERROR(VLOOKUP(F391,'DATA BASE'!A:I,4,FALSE),"")</f>
        <v/>
      </c>
      <c r="AC392" s="230" t="n"/>
      <c r="AD392" s="231" t="n"/>
      <c r="AE392" s="232">
        <f>IFERROR(VLOOKUP(F391,'DATA BASE'!A:I,5,FALSE),"")</f>
        <v/>
      </c>
      <c r="AF392" s="231" t="n"/>
      <c r="AG392" s="232">
        <f>IFERROR(VLOOKUP(F391,'DATA BASE'!A:I,7,FALSE),"")</f>
        <v/>
      </c>
      <c r="AH392" s="230" t="n"/>
      <c r="AI392" s="231" t="n"/>
      <c r="AJ392" s="238" t="n"/>
      <c r="AK392" s="239" t="n"/>
    </row>
    <row r="393" ht="15.5" customHeight="1" s="7">
      <c r="A393" s="157" t="n"/>
      <c r="B393" s="158" t="n"/>
      <c r="C393" s="159" t="n"/>
      <c r="D393" s="159" t="n"/>
      <c r="E393" s="159" t="n"/>
      <c r="F393" s="148" t="n"/>
      <c r="G393" s="228" t="n"/>
      <c r="H393" s="236" t="n"/>
      <c r="I393" s="122" t="n"/>
      <c r="J393" s="240" t="n"/>
      <c r="K393" s="240" t="n"/>
      <c r="L393" s="241" t="n"/>
      <c r="M393" s="138" t="n"/>
      <c r="N393" s="241" t="n"/>
      <c r="O393" s="122" t="n"/>
      <c r="P393" s="240" t="n"/>
      <c r="Q393" s="240" t="n"/>
      <c r="R393" s="240" t="n"/>
      <c r="S393" s="240" t="n"/>
      <c r="T393" s="241" t="n"/>
      <c r="U393" s="146" t="n"/>
      <c r="V393" s="227" t="n"/>
      <c r="W393" s="159" t="n"/>
      <c r="X393" s="159" t="n"/>
      <c r="Y393" s="185" t="inlineStr">
        <is>
          <t>DAVID WILDNER</t>
        </is>
      </c>
      <c r="Z393" s="230" t="n"/>
      <c r="AA393" s="231" t="n"/>
      <c r="AB393" s="232">
        <f>IFERROR(VLOOKUP(F393,'DATA BASE'!A:I,3,FALSE),"")</f>
        <v/>
      </c>
      <c r="AC393" s="230" t="n"/>
      <c r="AD393" s="231" t="n"/>
      <c r="AE393" s="233">
        <f>IFERROR(VLOOKUP(F393,'DATA BASE'!A:I,9,FALSE),"")</f>
        <v/>
      </c>
      <c r="AF393" s="231" t="n"/>
      <c r="AG393" s="232">
        <f>IFERROR(VLOOKUP(F393,'DATA BASE'!A:I,6,FALSE),"")</f>
        <v/>
      </c>
      <c r="AH393" s="230" t="n"/>
      <c r="AI393" s="231" t="n"/>
      <c r="AJ393" s="234">
        <f>IFERROR(VLOOKUP(F393,'DATA BASE'!A:I,8,FALSE),"")</f>
        <v/>
      </c>
      <c r="AK393" s="235" t="n"/>
    </row>
    <row r="394" ht="15.5" customHeight="1" s="7">
      <c r="A394" s="242" t="n"/>
      <c r="B394" s="242" t="n"/>
      <c r="C394" s="242" t="n"/>
      <c r="D394" s="242" t="n"/>
      <c r="E394" s="242" t="n"/>
      <c r="F394" s="148" t="n"/>
      <c r="G394" s="228" t="n"/>
      <c r="H394" s="236" t="n"/>
      <c r="I394" s="122" t="n"/>
      <c r="J394" s="240" t="n"/>
      <c r="K394" s="240" t="n"/>
      <c r="L394" s="241" t="n"/>
      <c r="M394" s="122" t="n"/>
      <c r="N394" s="241" t="n"/>
      <c r="O394" s="122" t="n"/>
      <c r="P394" s="240" t="n"/>
      <c r="Q394" s="240" t="n"/>
      <c r="R394" s="240" t="n"/>
      <c r="S394" s="240" t="n"/>
      <c r="T394" s="241" t="n"/>
      <c r="U394" s="243" t="n"/>
      <c r="V394" s="229" t="n"/>
      <c r="W394" s="242" t="n"/>
      <c r="X394" s="242" t="n"/>
      <c r="Y394" s="185">
        <f>VLOOKUP(F393,'DATA BASE'!A:I,2,FALSE)</f>
        <v/>
      </c>
      <c r="Z394" s="230" t="n"/>
      <c r="AA394" s="231" t="n"/>
      <c r="AB394" s="232">
        <f>IFERROR(VLOOKUP(F393,'DATA BASE'!A:I,4,FALSE),"")</f>
        <v/>
      </c>
      <c r="AC394" s="230" t="n"/>
      <c r="AD394" s="231" t="n"/>
      <c r="AE394" s="232">
        <f>IFERROR(VLOOKUP(F393,'DATA BASE'!A:I,5,FALSE),"")</f>
        <v/>
      </c>
      <c r="AF394" s="231" t="n"/>
      <c r="AG394" s="232">
        <f>IFERROR(VLOOKUP(F393,'DATA BASE'!A:I,7,FALSE),"")</f>
        <v/>
      </c>
      <c r="AH394" s="230" t="n"/>
      <c r="AI394" s="231" t="n"/>
      <c r="AJ394" s="238" t="n"/>
      <c r="AK394" s="239" t="n"/>
    </row>
    <row r="395" ht="15.5" customHeight="1" s="7">
      <c r="A395" s="157" t="n"/>
      <c r="B395" s="158" t="n"/>
      <c r="C395" s="159" t="n"/>
      <c r="D395" s="159" t="n"/>
      <c r="E395" s="159" t="n"/>
      <c r="F395" s="148" t="n"/>
      <c r="G395" s="228" t="n"/>
      <c r="H395" s="236" t="n"/>
      <c r="I395" s="122" t="n"/>
      <c r="J395" s="240" t="n"/>
      <c r="K395" s="240" t="n"/>
      <c r="L395" s="241" t="n"/>
      <c r="M395" s="138" t="n"/>
      <c r="N395" s="241" t="n"/>
      <c r="O395" s="122" t="n"/>
      <c r="P395" s="240" t="n"/>
      <c r="Q395" s="240" t="n"/>
      <c r="R395" s="240" t="n"/>
      <c r="S395" s="240" t="n"/>
      <c r="T395" s="241" t="n"/>
      <c r="U395" s="146" t="n"/>
      <c r="V395" s="227" t="n"/>
      <c r="W395" s="159" t="n"/>
      <c r="X395" s="159" t="n"/>
      <c r="Y395" s="185" t="inlineStr">
        <is>
          <t>DAVID WILDNER</t>
        </is>
      </c>
      <c r="Z395" s="230" t="n"/>
      <c r="AA395" s="231" t="n"/>
      <c r="AB395" s="232">
        <f>IFERROR(VLOOKUP(F395,'DATA BASE'!A:I,3,FALSE),"")</f>
        <v/>
      </c>
      <c r="AC395" s="230" t="n"/>
      <c r="AD395" s="231" t="n"/>
      <c r="AE395" s="233">
        <f>IFERROR(VLOOKUP(F395,'DATA BASE'!A:I,9,FALSE),"")</f>
        <v/>
      </c>
      <c r="AF395" s="231" t="n"/>
      <c r="AG395" s="232">
        <f>IFERROR(VLOOKUP(F395,'DATA BASE'!A:I,6,FALSE),"")</f>
        <v/>
      </c>
      <c r="AH395" s="230" t="n"/>
      <c r="AI395" s="231" t="n"/>
      <c r="AJ395" s="234">
        <f>IFERROR(VLOOKUP(F395,'DATA BASE'!A:I,8,FALSE),"")</f>
        <v/>
      </c>
      <c r="AK395" s="235" t="n"/>
    </row>
    <row r="396" ht="15.5" customHeight="1" s="7">
      <c r="A396" s="242" t="n"/>
      <c r="B396" s="242" t="n"/>
      <c r="C396" s="242" t="n"/>
      <c r="D396" s="242" t="n"/>
      <c r="E396" s="242" t="n"/>
      <c r="F396" s="148" t="n"/>
      <c r="G396" s="228" t="n"/>
      <c r="H396" s="236" t="n"/>
      <c r="I396" s="122" t="n"/>
      <c r="J396" s="240" t="n"/>
      <c r="K396" s="240" t="n"/>
      <c r="L396" s="241" t="n"/>
      <c r="M396" s="122" t="n"/>
      <c r="N396" s="241" t="n"/>
      <c r="O396" s="122" t="n"/>
      <c r="P396" s="240" t="n"/>
      <c r="Q396" s="240" t="n"/>
      <c r="R396" s="240" t="n"/>
      <c r="S396" s="240" t="n"/>
      <c r="T396" s="241" t="n"/>
      <c r="U396" s="243" t="n"/>
      <c r="V396" s="229" t="n"/>
      <c r="W396" s="242" t="n"/>
      <c r="X396" s="242" t="n"/>
      <c r="Y396" s="185">
        <f>VLOOKUP(F395,'DATA BASE'!A:I,2,FALSE)</f>
        <v/>
      </c>
      <c r="Z396" s="230" t="n"/>
      <c r="AA396" s="231" t="n"/>
      <c r="AB396" s="232">
        <f>IFERROR(VLOOKUP(F395,'DATA BASE'!A:I,4,FALSE),"")</f>
        <v/>
      </c>
      <c r="AC396" s="230" t="n"/>
      <c r="AD396" s="231" t="n"/>
      <c r="AE396" s="232">
        <f>IFERROR(VLOOKUP(F395,'DATA BASE'!A:I,5,FALSE),"")</f>
        <v/>
      </c>
      <c r="AF396" s="231" t="n"/>
      <c r="AG396" s="232">
        <f>IFERROR(VLOOKUP(F395,'DATA BASE'!A:I,7,FALSE),"")</f>
        <v/>
      </c>
      <c r="AH396" s="230" t="n"/>
      <c r="AI396" s="231" t="n"/>
      <c r="AJ396" s="238" t="n"/>
      <c r="AK396" s="239" t="n"/>
    </row>
    <row r="397" ht="15.5" customHeight="1" s="7">
      <c r="A397" s="157" t="n"/>
      <c r="B397" s="158" t="n"/>
      <c r="C397" s="159" t="n"/>
      <c r="D397" s="159" t="n"/>
      <c r="E397" s="159" t="n"/>
      <c r="F397" s="148" t="n"/>
      <c r="G397" s="228" t="n"/>
      <c r="H397" s="236" t="n"/>
      <c r="I397" s="122" t="n"/>
      <c r="J397" s="240" t="n"/>
      <c r="K397" s="240" t="n"/>
      <c r="L397" s="241" t="n"/>
      <c r="M397" s="138" t="n"/>
      <c r="N397" s="241" t="n"/>
      <c r="O397" s="122" t="n"/>
      <c r="P397" s="240" t="n"/>
      <c r="Q397" s="240" t="n"/>
      <c r="R397" s="240" t="n"/>
      <c r="S397" s="240" t="n"/>
      <c r="T397" s="241" t="n"/>
      <c r="U397" s="146" t="n"/>
      <c r="V397" s="227" t="n"/>
      <c r="W397" s="159" t="n"/>
      <c r="X397" s="159" t="n"/>
      <c r="Y397" s="185" t="inlineStr">
        <is>
          <t>DAVID WILDNER</t>
        </is>
      </c>
      <c r="Z397" s="230" t="n"/>
      <c r="AA397" s="231" t="n"/>
      <c r="AB397" s="232">
        <f>IFERROR(VLOOKUP(F397,'DATA BASE'!A:I,3,FALSE),"")</f>
        <v/>
      </c>
      <c r="AC397" s="230" t="n"/>
      <c r="AD397" s="231" t="n"/>
      <c r="AE397" s="233">
        <f>IFERROR(VLOOKUP(F397,'DATA BASE'!A:I,9,FALSE),"")</f>
        <v/>
      </c>
      <c r="AF397" s="231" t="n"/>
      <c r="AG397" s="232">
        <f>IFERROR(VLOOKUP(F397,'DATA BASE'!A:I,6,FALSE),"")</f>
        <v/>
      </c>
      <c r="AH397" s="230" t="n"/>
      <c r="AI397" s="231" t="n"/>
      <c r="AJ397" s="234">
        <f>IFERROR(VLOOKUP(F397,'DATA BASE'!A:I,8,FALSE),"")</f>
        <v/>
      </c>
      <c r="AK397" s="235" t="n"/>
    </row>
    <row r="398" ht="15.5" customHeight="1" s="7">
      <c r="A398" s="242" t="n"/>
      <c r="B398" s="242" t="n"/>
      <c r="C398" s="242" t="n"/>
      <c r="D398" s="242" t="n"/>
      <c r="E398" s="242" t="n"/>
      <c r="F398" s="148" t="n"/>
      <c r="G398" s="228" t="n"/>
      <c r="H398" s="236" t="n"/>
      <c r="I398" s="122" t="n"/>
      <c r="J398" s="240" t="n"/>
      <c r="K398" s="240" t="n"/>
      <c r="L398" s="241" t="n"/>
      <c r="M398" s="122" t="n"/>
      <c r="N398" s="241" t="n"/>
      <c r="O398" s="122" t="n"/>
      <c r="P398" s="240" t="n"/>
      <c r="Q398" s="240" t="n"/>
      <c r="R398" s="240" t="n"/>
      <c r="S398" s="240" t="n"/>
      <c r="T398" s="241" t="n"/>
      <c r="U398" s="243" t="n"/>
      <c r="V398" s="229" t="n"/>
      <c r="W398" s="242" t="n"/>
      <c r="X398" s="242" t="n"/>
      <c r="Y398" s="185">
        <f>VLOOKUP(F397,'DATA BASE'!A:I,2,FALSE)</f>
        <v/>
      </c>
      <c r="Z398" s="230" t="n"/>
      <c r="AA398" s="231" t="n"/>
      <c r="AB398" s="232">
        <f>IFERROR(VLOOKUP(F397,'DATA BASE'!A:I,4,FALSE),"")</f>
        <v/>
      </c>
      <c r="AC398" s="230" t="n"/>
      <c r="AD398" s="231" t="n"/>
      <c r="AE398" s="232">
        <f>IFERROR(VLOOKUP(F397,'DATA BASE'!A:I,5,FALSE),"")</f>
        <v/>
      </c>
      <c r="AF398" s="231" t="n"/>
      <c r="AG398" s="232">
        <f>IFERROR(VLOOKUP(F397,'DATA BASE'!A:I,7,FALSE),"")</f>
        <v/>
      </c>
      <c r="AH398" s="230" t="n"/>
      <c r="AI398" s="231" t="n"/>
      <c r="AJ398" s="238" t="n"/>
      <c r="AK398" s="239" t="n"/>
    </row>
    <row r="399" ht="15.5" customHeight="1" s="7">
      <c r="A399" s="157" t="n"/>
      <c r="B399" s="158" t="n"/>
      <c r="C399" s="159" t="n"/>
      <c r="D399" s="159" t="n"/>
      <c r="E399" s="159" t="n"/>
      <c r="F399" s="148" t="n"/>
      <c r="G399" s="228" t="n"/>
      <c r="H399" s="236" t="n"/>
      <c r="I399" s="122" t="n"/>
      <c r="J399" s="240" t="n"/>
      <c r="K399" s="240" t="n"/>
      <c r="L399" s="241" t="n"/>
      <c r="M399" s="138" t="n"/>
      <c r="N399" s="241" t="n"/>
      <c r="O399" s="122" t="n"/>
      <c r="P399" s="240" t="n"/>
      <c r="Q399" s="240" t="n"/>
      <c r="R399" s="240" t="n"/>
      <c r="S399" s="240" t="n"/>
      <c r="T399" s="241" t="n"/>
      <c r="U399" s="146" t="n"/>
      <c r="V399" s="227" t="n"/>
      <c r="W399" s="159" t="n"/>
      <c r="X399" s="159" t="n"/>
      <c r="Y399" s="185" t="inlineStr">
        <is>
          <t>DAVID WILDNER</t>
        </is>
      </c>
      <c r="Z399" s="230" t="n"/>
      <c r="AA399" s="231" t="n"/>
      <c r="AB399" s="232">
        <f>IFERROR(VLOOKUP(F399,'DATA BASE'!A:I,3,FALSE),"")</f>
        <v/>
      </c>
      <c r="AC399" s="230" t="n"/>
      <c r="AD399" s="231" t="n"/>
      <c r="AE399" s="233">
        <f>IFERROR(VLOOKUP(F399,'DATA BASE'!A:I,9,FALSE),"")</f>
        <v/>
      </c>
      <c r="AF399" s="231" t="n"/>
      <c r="AG399" s="232">
        <f>IFERROR(VLOOKUP(F399,'DATA BASE'!A:I,6,FALSE),"")</f>
        <v/>
      </c>
      <c r="AH399" s="230" t="n"/>
      <c r="AI399" s="231" t="n"/>
      <c r="AJ399" s="234">
        <f>IFERROR(VLOOKUP(F399,'DATA BASE'!A:I,8,FALSE),"")</f>
        <v/>
      </c>
      <c r="AK399" s="235" t="n"/>
    </row>
    <row r="400" ht="15.5" customHeight="1" s="7">
      <c r="A400" s="242" t="n"/>
      <c r="B400" s="242" t="n"/>
      <c r="C400" s="242" t="n"/>
      <c r="D400" s="242" t="n"/>
      <c r="E400" s="242" t="n"/>
      <c r="F400" s="148" t="n"/>
      <c r="G400" s="228" t="n"/>
      <c r="H400" s="236" t="n"/>
      <c r="I400" s="122" t="n"/>
      <c r="J400" s="240" t="n"/>
      <c r="K400" s="240" t="n"/>
      <c r="L400" s="241" t="n"/>
      <c r="M400" s="122" t="n"/>
      <c r="N400" s="241" t="n"/>
      <c r="O400" s="122" t="n"/>
      <c r="P400" s="240" t="n"/>
      <c r="Q400" s="240" t="n"/>
      <c r="R400" s="240" t="n"/>
      <c r="S400" s="240" t="n"/>
      <c r="T400" s="241" t="n"/>
      <c r="U400" s="243" t="n"/>
      <c r="V400" s="229" t="n"/>
      <c r="W400" s="242" t="n"/>
      <c r="X400" s="242" t="n"/>
      <c r="Y400" s="185">
        <f>VLOOKUP(F399,'DATA BASE'!A:I,2,FALSE)</f>
        <v/>
      </c>
      <c r="Z400" s="230" t="n"/>
      <c r="AA400" s="231" t="n"/>
      <c r="AB400" s="232">
        <f>IFERROR(VLOOKUP(F399,'DATA BASE'!A:I,4,FALSE),"")</f>
        <v/>
      </c>
      <c r="AC400" s="230" t="n"/>
      <c r="AD400" s="231" t="n"/>
      <c r="AE400" s="232">
        <f>IFERROR(VLOOKUP(F399,'DATA BASE'!A:I,5,FALSE),"")</f>
        <v/>
      </c>
      <c r="AF400" s="231" t="n"/>
      <c r="AG400" s="232">
        <f>IFERROR(VLOOKUP(F399,'DATA BASE'!A:I,7,FALSE),"")</f>
        <v/>
      </c>
      <c r="AH400" s="230" t="n"/>
      <c r="AI400" s="231" t="n"/>
      <c r="AJ400" s="238" t="n"/>
      <c r="AK400" s="239" t="n"/>
    </row>
    <row r="401" ht="15.5" customHeight="1" s="7">
      <c r="A401" s="157" t="n"/>
      <c r="B401" s="158" t="n"/>
      <c r="C401" s="159" t="n"/>
      <c r="D401" s="159" t="n"/>
      <c r="E401" s="159" t="n"/>
      <c r="F401" s="148" t="n"/>
      <c r="G401" s="228" t="n"/>
      <c r="H401" s="236" t="n"/>
      <c r="I401" s="122" t="n"/>
      <c r="J401" s="240" t="n"/>
      <c r="K401" s="240" t="n"/>
      <c r="L401" s="241" t="n"/>
      <c r="M401" s="138" t="n"/>
      <c r="N401" s="241" t="n"/>
      <c r="O401" s="122" t="n"/>
      <c r="P401" s="240" t="n"/>
      <c r="Q401" s="240" t="n"/>
      <c r="R401" s="240" t="n"/>
      <c r="S401" s="240" t="n"/>
      <c r="T401" s="241" t="n"/>
      <c r="U401" s="146" t="n"/>
      <c r="V401" s="227" t="n"/>
      <c r="W401" s="159" t="n"/>
      <c r="X401" s="159" t="n"/>
      <c r="Y401" s="185" t="inlineStr">
        <is>
          <t>DAVID WILDNER</t>
        </is>
      </c>
      <c r="Z401" s="230" t="n"/>
      <c r="AA401" s="231" t="n"/>
      <c r="AB401" s="232">
        <f>IFERROR(VLOOKUP(F401,'DATA BASE'!A:I,3,FALSE),"")</f>
        <v/>
      </c>
      <c r="AC401" s="230" t="n"/>
      <c r="AD401" s="231" t="n"/>
      <c r="AE401" s="233">
        <f>IFERROR(VLOOKUP(F401,'DATA BASE'!A:I,9,FALSE),"")</f>
        <v/>
      </c>
      <c r="AF401" s="231" t="n"/>
      <c r="AG401" s="232">
        <f>IFERROR(VLOOKUP(F401,'DATA BASE'!A:I,6,FALSE),"")</f>
        <v/>
      </c>
      <c r="AH401" s="230" t="n"/>
      <c r="AI401" s="231" t="n"/>
      <c r="AJ401" s="234">
        <f>IFERROR(VLOOKUP(F401,'DATA BASE'!A:I,8,FALSE),"")</f>
        <v/>
      </c>
      <c r="AK401" s="235" t="n"/>
    </row>
    <row r="402" ht="15.5" customHeight="1" s="7">
      <c r="A402" s="242" t="n"/>
      <c r="B402" s="242" t="n"/>
      <c r="C402" s="242" t="n"/>
      <c r="D402" s="242" t="n"/>
      <c r="E402" s="242" t="n"/>
      <c r="F402" s="148" t="n"/>
      <c r="G402" s="228" t="n"/>
      <c r="H402" s="236" t="n"/>
      <c r="I402" s="122" t="n"/>
      <c r="J402" s="240" t="n"/>
      <c r="K402" s="240" t="n"/>
      <c r="L402" s="241" t="n"/>
      <c r="M402" s="122" t="n"/>
      <c r="N402" s="241" t="n"/>
      <c r="O402" s="122" t="n"/>
      <c r="P402" s="240" t="n"/>
      <c r="Q402" s="240" t="n"/>
      <c r="R402" s="240" t="n"/>
      <c r="S402" s="240" t="n"/>
      <c r="T402" s="241" t="n"/>
      <c r="U402" s="243" t="n"/>
      <c r="V402" s="229" t="n"/>
      <c r="W402" s="242" t="n"/>
      <c r="X402" s="242" t="n"/>
      <c r="Y402" s="185">
        <f>VLOOKUP(F401,'DATA BASE'!A:I,2,FALSE)</f>
        <v/>
      </c>
      <c r="Z402" s="230" t="n"/>
      <c r="AA402" s="231" t="n"/>
      <c r="AB402" s="232">
        <f>IFERROR(VLOOKUP(F401,'DATA BASE'!A:I,4,FALSE),"")</f>
        <v/>
      </c>
      <c r="AC402" s="230" t="n"/>
      <c r="AD402" s="231" t="n"/>
      <c r="AE402" s="232">
        <f>IFERROR(VLOOKUP(F401,'DATA BASE'!A:I,5,FALSE),"")</f>
        <v/>
      </c>
      <c r="AF402" s="231" t="n"/>
      <c r="AG402" s="232">
        <f>IFERROR(VLOOKUP(F401,'DATA BASE'!A:I,7,FALSE),"")</f>
        <v/>
      </c>
      <c r="AH402" s="230" t="n"/>
      <c r="AI402" s="231" t="n"/>
      <c r="AJ402" s="238" t="n"/>
      <c r="AK402" s="239" t="n"/>
    </row>
    <row r="403" ht="15.5" customHeight="1" s="7">
      <c r="A403" s="157" t="n"/>
      <c r="B403" s="158" t="n"/>
      <c r="C403" s="159" t="n"/>
      <c r="D403" s="159" t="n"/>
      <c r="E403" s="159" t="n"/>
      <c r="F403" s="148" t="n"/>
      <c r="G403" s="228" t="n"/>
      <c r="H403" s="236" t="n"/>
      <c r="I403" s="122" t="n"/>
      <c r="J403" s="240" t="n"/>
      <c r="K403" s="240" t="n"/>
      <c r="L403" s="241" t="n"/>
      <c r="M403" s="138" t="n"/>
      <c r="N403" s="241" t="n"/>
      <c r="O403" s="122" t="n"/>
      <c r="P403" s="240" t="n"/>
      <c r="Q403" s="240" t="n"/>
      <c r="R403" s="240" t="n"/>
      <c r="S403" s="240" t="n"/>
      <c r="T403" s="241" t="n"/>
      <c r="U403" s="146" t="n"/>
      <c r="V403" s="227" t="n"/>
      <c r="W403" s="159" t="n"/>
      <c r="X403" s="159" t="n"/>
      <c r="Y403" s="185" t="inlineStr">
        <is>
          <t>DAVID WILDNER</t>
        </is>
      </c>
      <c r="Z403" s="230" t="n"/>
      <c r="AA403" s="231" t="n"/>
      <c r="AB403" s="232">
        <f>IFERROR(VLOOKUP(F403,'DATA BASE'!A:I,3,FALSE),"")</f>
        <v/>
      </c>
      <c r="AC403" s="230" t="n"/>
      <c r="AD403" s="231" t="n"/>
      <c r="AE403" s="233">
        <f>IFERROR(VLOOKUP(F403,'DATA BASE'!A:I,9,FALSE),"")</f>
        <v/>
      </c>
      <c r="AF403" s="231" t="n"/>
      <c r="AG403" s="232">
        <f>IFERROR(VLOOKUP(F403,'DATA BASE'!A:I,6,FALSE),"")</f>
        <v/>
      </c>
      <c r="AH403" s="230" t="n"/>
      <c r="AI403" s="231" t="n"/>
      <c r="AJ403" s="234">
        <f>IFERROR(VLOOKUP(F403,'DATA BASE'!A:I,8,FALSE),"")</f>
        <v/>
      </c>
      <c r="AK403" s="235" t="n"/>
    </row>
    <row r="404" ht="15.5" customHeight="1" s="7">
      <c r="A404" s="242" t="n"/>
      <c r="B404" s="242" t="n"/>
      <c r="C404" s="242" t="n"/>
      <c r="D404" s="242" t="n"/>
      <c r="E404" s="242" t="n"/>
      <c r="F404" s="148" t="n"/>
      <c r="G404" s="228" t="n"/>
      <c r="H404" s="236" t="n"/>
      <c r="I404" s="122" t="n"/>
      <c r="J404" s="240" t="n"/>
      <c r="K404" s="240" t="n"/>
      <c r="L404" s="241" t="n"/>
      <c r="M404" s="122" t="n"/>
      <c r="N404" s="241" t="n"/>
      <c r="O404" s="122" t="n"/>
      <c r="P404" s="240" t="n"/>
      <c r="Q404" s="240" t="n"/>
      <c r="R404" s="240" t="n"/>
      <c r="S404" s="240" t="n"/>
      <c r="T404" s="241" t="n"/>
      <c r="U404" s="243" t="n"/>
      <c r="V404" s="229" t="n"/>
      <c r="W404" s="242" t="n"/>
      <c r="X404" s="242" t="n"/>
      <c r="Y404" s="185">
        <f>VLOOKUP(F403,'DATA BASE'!A:I,2,FALSE)</f>
        <v/>
      </c>
      <c r="Z404" s="230" t="n"/>
      <c r="AA404" s="231" t="n"/>
      <c r="AB404" s="232">
        <f>IFERROR(VLOOKUP(F403,'DATA BASE'!A:I,4,FALSE),"")</f>
        <v/>
      </c>
      <c r="AC404" s="230" t="n"/>
      <c r="AD404" s="231" t="n"/>
      <c r="AE404" s="232">
        <f>IFERROR(VLOOKUP(F403,'DATA BASE'!A:I,5,FALSE),"")</f>
        <v/>
      </c>
      <c r="AF404" s="231" t="n"/>
      <c r="AG404" s="232">
        <f>IFERROR(VLOOKUP(F403,'DATA BASE'!A:I,7,FALSE),"")</f>
        <v/>
      </c>
      <c r="AH404" s="230" t="n"/>
      <c r="AI404" s="231" t="n"/>
      <c r="AJ404" s="238" t="n"/>
      <c r="AK404" s="239" t="n"/>
    </row>
    <row r="405" ht="15.5" customHeight="1" s="7">
      <c r="A405" s="157" t="n"/>
      <c r="B405" s="158" t="n"/>
      <c r="C405" s="159" t="n"/>
      <c r="D405" s="159" t="n"/>
      <c r="E405" s="159" t="n"/>
      <c r="F405" s="148" t="n"/>
      <c r="G405" s="228" t="n"/>
      <c r="H405" s="236" t="n"/>
      <c r="I405" s="122" t="n"/>
      <c r="J405" s="240" t="n"/>
      <c r="K405" s="240" t="n"/>
      <c r="L405" s="241" t="n"/>
      <c r="M405" s="138" t="n"/>
      <c r="N405" s="241" t="n"/>
      <c r="O405" s="122" t="n"/>
      <c r="P405" s="240" t="n"/>
      <c r="Q405" s="240" t="n"/>
      <c r="R405" s="240" t="n"/>
      <c r="S405" s="240" t="n"/>
      <c r="T405" s="241" t="n"/>
      <c r="U405" s="146" t="n"/>
      <c r="V405" s="227" t="n"/>
      <c r="W405" s="159" t="n"/>
      <c r="X405" s="159" t="n"/>
      <c r="Y405" s="185" t="inlineStr">
        <is>
          <t>DAVID WILDNER</t>
        </is>
      </c>
      <c r="Z405" s="230" t="n"/>
      <c r="AA405" s="231" t="n"/>
      <c r="AB405" s="232">
        <f>IFERROR(VLOOKUP(F405,'DATA BASE'!A:I,3,FALSE),"")</f>
        <v/>
      </c>
      <c r="AC405" s="230" t="n"/>
      <c r="AD405" s="231" t="n"/>
      <c r="AE405" s="233">
        <f>IFERROR(VLOOKUP(F405,'DATA BASE'!A:I,9,FALSE),"")</f>
        <v/>
      </c>
      <c r="AF405" s="231" t="n"/>
      <c r="AG405" s="232">
        <f>IFERROR(VLOOKUP(F405,'DATA BASE'!A:I,6,FALSE),"")</f>
        <v/>
      </c>
      <c r="AH405" s="230" t="n"/>
      <c r="AI405" s="231" t="n"/>
      <c r="AJ405" s="234">
        <f>IFERROR(VLOOKUP(F405,'DATA BASE'!A:I,8,FALSE),"")</f>
        <v/>
      </c>
      <c r="AK405" s="235" t="n"/>
    </row>
    <row r="406" ht="15.5" customHeight="1" s="7">
      <c r="A406" s="242" t="n"/>
      <c r="B406" s="242" t="n"/>
      <c r="C406" s="242" t="n"/>
      <c r="D406" s="242" t="n"/>
      <c r="E406" s="242" t="n"/>
      <c r="F406" s="148" t="n"/>
      <c r="G406" s="228" t="n"/>
      <c r="H406" s="236" t="n"/>
      <c r="I406" s="122" t="n"/>
      <c r="J406" s="240" t="n"/>
      <c r="K406" s="240" t="n"/>
      <c r="L406" s="241" t="n"/>
      <c r="M406" s="122" t="n"/>
      <c r="N406" s="241" t="n"/>
      <c r="O406" s="122" t="n"/>
      <c r="P406" s="240" t="n"/>
      <c r="Q406" s="240" t="n"/>
      <c r="R406" s="240" t="n"/>
      <c r="S406" s="240" t="n"/>
      <c r="T406" s="241" t="n"/>
      <c r="U406" s="243" t="n"/>
      <c r="V406" s="229" t="n"/>
      <c r="W406" s="242" t="n"/>
      <c r="X406" s="242" t="n"/>
      <c r="Y406" s="185">
        <f>VLOOKUP(F405,'DATA BASE'!A:I,2,FALSE)</f>
        <v/>
      </c>
      <c r="Z406" s="230" t="n"/>
      <c r="AA406" s="231" t="n"/>
      <c r="AB406" s="232">
        <f>IFERROR(VLOOKUP(F405,'DATA BASE'!A:I,4,FALSE),"")</f>
        <v/>
      </c>
      <c r="AC406" s="230" t="n"/>
      <c r="AD406" s="231" t="n"/>
      <c r="AE406" s="232">
        <f>IFERROR(VLOOKUP(F405,'DATA BASE'!A:I,5,FALSE),"")</f>
        <v/>
      </c>
      <c r="AF406" s="231" t="n"/>
      <c r="AG406" s="232">
        <f>IFERROR(VLOOKUP(F405,'DATA BASE'!A:I,7,FALSE),"")</f>
        <v/>
      </c>
      <c r="AH406" s="230" t="n"/>
      <c r="AI406" s="231" t="n"/>
      <c r="AJ406" s="238" t="n"/>
      <c r="AK406" s="239" t="n"/>
    </row>
    <row r="407" ht="15.5" customHeight="1" s="7">
      <c r="A407" s="157" t="n"/>
      <c r="B407" s="158" t="n"/>
      <c r="C407" s="159" t="n"/>
      <c r="D407" s="159" t="n"/>
      <c r="E407" s="159" t="n"/>
      <c r="F407" s="148" t="n"/>
      <c r="G407" s="228" t="n"/>
      <c r="H407" s="236" t="n"/>
      <c r="I407" s="122" t="n"/>
      <c r="J407" s="240" t="n"/>
      <c r="K407" s="240" t="n"/>
      <c r="L407" s="241" t="n"/>
      <c r="M407" s="138" t="n"/>
      <c r="N407" s="241" t="n"/>
      <c r="O407" s="122" t="n"/>
      <c r="P407" s="240" t="n"/>
      <c r="Q407" s="240" t="n"/>
      <c r="R407" s="240" t="n"/>
      <c r="S407" s="240" t="n"/>
      <c r="T407" s="241" t="n"/>
      <c r="U407" s="146" t="n"/>
      <c r="V407" s="227" t="n"/>
      <c r="W407" s="159" t="n"/>
      <c r="X407" s="159" t="n"/>
      <c r="Y407" s="185" t="inlineStr">
        <is>
          <t>DAVID WILDNER</t>
        </is>
      </c>
      <c r="Z407" s="230" t="n"/>
      <c r="AA407" s="231" t="n"/>
      <c r="AB407" s="232">
        <f>IFERROR(VLOOKUP(F407,'DATA BASE'!A:I,3,FALSE),"")</f>
        <v/>
      </c>
      <c r="AC407" s="230" t="n"/>
      <c r="AD407" s="231" t="n"/>
      <c r="AE407" s="233">
        <f>IFERROR(VLOOKUP(F407,'DATA BASE'!A:I,9,FALSE),"")</f>
        <v/>
      </c>
      <c r="AF407" s="231" t="n"/>
      <c r="AG407" s="232">
        <f>IFERROR(VLOOKUP(F407,'DATA BASE'!A:I,6,FALSE),"")</f>
        <v/>
      </c>
      <c r="AH407" s="230" t="n"/>
      <c r="AI407" s="231" t="n"/>
      <c r="AJ407" s="234">
        <f>IFERROR(VLOOKUP(F407,'DATA BASE'!A:I,8,FALSE),"")</f>
        <v/>
      </c>
      <c r="AK407" s="235" t="n"/>
    </row>
    <row r="408" ht="15.5" customHeight="1" s="7">
      <c r="A408" s="242" t="n"/>
      <c r="B408" s="242" t="n"/>
      <c r="C408" s="242" t="n"/>
      <c r="D408" s="242" t="n"/>
      <c r="E408" s="242" t="n"/>
      <c r="F408" s="148" t="n"/>
      <c r="G408" s="228" t="n"/>
      <c r="H408" s="236" t="n"/>
      <c r="I408" s="122" t="n"/>
      <c r="J408" s="240" t="n"/>
      <c r="K408" s="240" t="n"/>
      <c r="L408" s="241" t="n"/>
      <c r="M408" s="122" t="n"/>
      <c r="N408" s="241" t="n"/>
      <c r="O408" s="122" t="n"/>
      <c r="P408" s="240" t="n"/>
      <c r="Q408" s="240" t="n"/>
      <c r="R408" s="240" t="n"/>
      <c r="S408" s="240" t="n"/>
      <c r="T408" s="241" t="n"/>
      <c r="U408" s="243" t="n"/>
      <c r="V408" s="229" t="n"/>
      <c r="W408" s="242" t="n"/>
      <c r="X408" s="242" t="n"/>
      <c r="Y408" s="185">
        <f>VLOOKUP(F407,'DATA BASE'!A:I,2,FALSE)</f>
        <v/>
      </c>
      <c r="Z408" s="230" t="n"/>
      <c r="AA408" s="231" t="n"/>
      <c r="AB408" s="232">
        <f>IFERROR(VLOOKUP(F407,'DATA BASE'!A:I,4,FALSE),"")</f>
        <v/>
      </c>
      <c r="AC408" s="230" t="n"/>
      <c r="AD408" s="231" t="n"/>
      <c r="AE408" s="232">
        <f>IFERROR(VLOOKUP(F407,'DATA BASE'!A:I,5,FALSE),"")</f>
        <v/>
      </c>
      <c r="AF408" s="231" t="n"/>
      <c r="AG408" s="232">
        <f>IFERROR(VLOOKUP(F407,'DATA BASE'!A:I,7,FALSE),"")</f>
        <v/>
      </c>
      <c r="AH408" s="230" t="n"/>
      <c r="AI408" s="231" t="n"/>
      <c r="AJ408" s="238" t="n"/>
      <c r="AK408" s="239" t="n"/>
    </row>
    <row r="409" ht="15.5" customHeight="1" s="7">
      <c r="A409" s="157" t="n"/>
      <c r="B409" s="158" t="n"/>
      <c r="C409" s="159" t="n"/>
      <c r="D409" s="159" t="n"/>
      <c r="E409" s="159" t="n"/>
      <c r="F409" s="148" t="n"/>
      <c r="G409" s="228" t="n"/>
      <c r="H409" s="236" t="n"/>
      <c r="I409" s="122" t="n"/>
      <c r="J409" s="240" t="n"/>
      <c r="K409" s="240" t="n"/>
      <c r="L409" s="241" t="n"/>
      <c r="M409" s="138" t="n"/>
      <c r="N409" s="241" t="n"/>
      <c r="O409" s="122" t="n"/>
      <c r="P409" s="240" t="n"/>
      <c r="Q409" s="240" t="n"/>
      <c r="R409" s="240" t="n"/>
      <c r="S409" s="240" t="n"/>
      <c r="T409" s="241" t="n"/>
      <c r="U409" s="146" t="n"/>
      <c r="V409" s="227" t="n"/>
      <c r="W409" s="159" t="n"/>
      <c r="X409" s="159" t="n"/>
      <c r="Y409" s="185" t="inlineStr">
        <is>
          <t>DAVID WILDNER</t>
        </is>
      </c>
      <c r="Z409" s="230" t="n"/>
      <c r="AA409" s="231" t="n"/>
      <c r="AB409" s="232">
        <f>IFERROR(VLOOKUP(F409,'DATA BASE'!A:I,3,FALSE),"")</f>
        <v/>
      </c>
      <c r="AC409" s="230" t="n"/>
      <c r="AD409" s="231" t="n"/>
      <c r="AE409" s="233">
        <f>IFERROR(VLOOKUP(F409,'DATA BASE'!A:I,9,FALSE),"")</f>
        <v/>
      </c>
      <c r="AF409" s="231" t="n"/>
      <c r="AG409" s="232">
        <f>IFERROR(VLOOKUP(F409,'DATA BASE'!A:I,6,FALSE),"")</f>
        <v/>
      </c>
      <c r="AH409" s="230" t="n"/>
      <c r="AI409" s="231" t="n"/>
      <c r="AJ409" s="234">
        <f>IFERROR(VLOOKUP(F409,'DATA BASE'!A:I,8,FALSE),"")</f>
        <v/>
      </c>
      <c r="AK409" s="235" t="n"/>
    </row>
    <row r="410" ht="15.5" customHeight="1" s="7">
      <c r="A410" s="242" t="n"/>
      <c r="B410" s="242" t="n"/>
      <c r="C410" s="242" t="n"/>
      <c r="D410" s="242" t="n"/>
      <c r="E410" s="242" t="n"/>
      <c r="F410" s="148" t="n"/>
      <c r="G410" s="228" t="n"/>
      <c r="H410" s="236" t="n"/>
      <c r="I410" s="122" t="n"/>
      <c r="J410" s="240" t="n"/>
      <c r="K410" s="240" t="n"/>
      <c r="L410" s="241" t="n"/>
      <c r="M410" s="122" t="n"/>
      <c r="N410" s="241" t="n"/>
      <c r="O410" s="122" t="n"/>
      <c r="P410" s="240" t="n"/>
      <c r="Q410" s="240" t="n"/>
      <c r="R410" s="240" t="n"/>
      <c r="S410" s="240" t="n"/>
      <c r="T410" s="241" t="n"/>
      <c r="U410" s="243" t="n"/>
      <c r="V410" s="229" t="n"/>
      <c r="W410" s="242" t="n"/>
      <c r="X410" s="242" t="n"/>
      <c r="Y410" s="185">
        <f>VLOOKUP(F409,'DATA BASE'!A:I,2,FALSE)</f>
        <v/>
      </c>
      <c r="Z410" s="230" t="n"/>
      <c r="AA410" s="231" t="n"/>
      <c r="AB410" s="232">
        <f>IFERROR(VLOOKUP(F409,'DATA BASE'!A:I,4,FALSE),"")</f>
        <v/>
      </c>
      <c r="AC410" s="230" t="n"/>
      <c r="AD410" s="231" t="n"/>
      <c r="AE410" s="232">
        <f>IFERROR(VLOOKUP(F409,'DATA BASE'!A:I,5,FALSE),"")</f>
        <v/>
      </c>
      <c r="AF410" s="231" t="n"/>
      <c r="AG410" s="232">
        <f>IFERROR(VLOOKUP(F409,'DATA BASE'!A:I,7,FALSE),"")</f>
        <v/>
      </c>
      <c r="AH410" s="230" t="n"/>
      <c r="AI410" s="231" t="n"/>
      <c r="AJ410" s="238" t="n"/>
      <c r="AK410" s="239" t="n"/>
    </row>
  </sheetData>
  <sheetProtection selectLockedCells="0" selectUnlockedCells="0" algorithmName="SHA-512" sheet="1" objects="1" insertRows="1" insertHyperlinks="1" autoFilter="1" scenarios="1" formatColumns="1" deleteColumns="1" insertColumns="1" pivotTables="1" deleteRows="1" formatCells="1" saltValue="pxZMJrbvDFr26LVoqcViRA==" formatRows="1" sort="1" spinCount="100000" hashValue="kwMVk/nN3rAKE0fDdrBwZLOQ9T+U2kGND1Cl2r1E3Ai5+gN87SNITqRu3ld0nuMdqXlGRRiTcUnLHhI8e9e5EA=="/>
  <mergeCells count="5065">
    <mergeCell ref="B165:B166"/>
    <mergeCell ref="U297:V298"/>
    <mergeCell ref="M358:N358"/>
    <mergeCell ref="X279:X280"/>
    <mergeCell ref="D283:D284"/>
    <mergeCell ref="X393:X394"/>
    <mergeCell ref="U113:V114"/>
    <mergeCell ref="Y297:AA297"/>
    <mergeCell ref="M392:N392"/>
    <mergeCell ref="M386:N386"/>
    <mergeCell ref="I284:L284"/>
    <mergeCell ref="D153:D154"/>
    <mergeCell ref="D311:D312"/>
    <mergeCell ref="I110:L110"/>
    <mergeCell ref="W235:W236"/>
    <mergeCell ref="M229:N229"/>
    <mergeCell ref="M387:N387"/>
    <mergeCell ref="I279:L279"/>
    <mergeCell ref="I410:L410"/>
    <mergeCell ref="AJ147:AK148"/>
    <mergeCell ref="AJ261:AK262"/>
    <mergeCell ref="U167:V168"/>
    <mergeCell ref="Y48:AA48"/>
    <mergeCell ref="C203:C204"/>
    <mergeCell ref="AB42:AD42"/>
    <mergeCell ref="Y348:AA348"/>
    <mergeCell ref="F119:H119"/>
    <mergeCell ref="I32:L32"/>
    <mergeCell ref="I7:L7"/>
    <mergeCell ref="AJ163:AK164"/>
    <mergeCell ref="O352:T352"/>
    <mergeCell ref="Y43:AA43"/>
    <mergeCell ref="A171:A172"/>
    <mergeCell ref="O53:T53"/>
    <mergeCell ref="I332:L332"/>
    <mergeCell ref="I307:L307"/>
    <mergeCell ref="AB75:AD75"/>
    <mergeCell ref="O353:T353"/>
    <mergeCell ref="AB227:AD227"/>
    <mergeCell ref="AJ289:AK290"/>
    <mergeCell ref="Y59:AA59"/>
    <mergeCell ref="AB70:AD70"/>
    <mergeCell ref="W393:W394"/>
    <mergeCell ref="I60:L60"/>
    <mergeCell ref="I174:L174"/>
    <mergeCell ref="C257:C258"/>
    <mergeCell ref="F347:H347"/>
    <mergeCell ref="AJ305:AK306"/>
    <mergeCell ref="F341:H341"/>
    <mergeCell ref="I360:L360"/>
    <mergeCell ref="AE408:AF408"/>
    <mergeCell ref="AE103:AF103"/>
    <mergeCell ref="AE289:AF289"/>
    <mergeCell ref="Y112:AA112"/>
    <mergeCell ref="Y87:AA87"/>
    <mergeCell ref="AE403:AF403"/>
    <mergeCell ref="AG345:AI345"/>
    <mergeCell ref="AB123:AD123"/>
    <mergeCell ref="B193:B194"/>
    <mergeCell ref="I376:L376"/>
    <mergeCell ref="AG46:AI46"/>
    <mergeCell ref="AG40:AI40"/>
    <mergeCell ref="C285:C286"/>
    <mergeCell ref="AJ333:AK334"/>
    <mergeCell ref="F369:H369"/>
    <mergeCell ref="AG340:AI340"/>
    <mergeCell ref="AE305:AF305"/>
    <mergeCell ref="I371:L371"/>
    <mergeCell ref="AB297:AD297"/>
    <mergeCell ref="F370:H370"/>
    <mergeCell ref="AJ353:AK354"/>
    <mergeCell ref="Y140:AA140"/>
    <mergeCell ref="C301:C302"/>
    <mergeCell ref="B177:B178"/>
    <mergeCell ref="AG74:AI74"/>
    <mergeCell ref="AG68:AI68"/>
    <mergeCell ref="AB292:AD292"/>
    <mergeCell ref="E61:E62"/>
    <mergeCell ref="Y141:AA141"/>
    <mergeCell ref="AG399:AI399"/>
    <mergeCell ref="F359:H359"/>
    <mergeCell ref="F54:H54"/>
    <mergeCell ref="B237:B238"/>
    <mergeCell ref="M103:N103"/>
    <mergeCell ref="AE142:AF142"/>
    <mergeCell ref="U125:V126"/>
    <mergeCell ref="AJ381:AK382"/>
    <mergeCell ref="E387:E388"/>
    <mergeCell ref="M403:N403"/>
    <mergeCell ref="X159:X160"/>
    <mergeCell ref="O168:T168"/>
    <mergeCell ref="M98:N98"/>
    <mergeCell ref="AG296:AI296"/>
    <mergeCell ref="AJ397:AK398"/>
    <mergeCell ref="M398:N398"/>
    <mergeCell ref="AG122:AI122"/>
    <mergeCell ref="X213:X214"/>
    <mergeCell ref="D323:D324"/>
    <mergeCell ref="W93:W94"/>
    <mergeCell ref="O96:T96"/>
    <mergeCell ref="AG138:AI138"/>
    <mergeCell ref="M126:N126"/>
    <mergeCell ref="I18:L18"/>
    <mergeCell ref="O396:T396"/>
    <mergeCell ref="O390:T390"/>
    <mergeCell ref="X355:X356"/>
    <mergeCell ref="AB244:AD244"/>
    <mergeCell ref="B301:B302"/>
    <mergeCell ref="M142:N142"/>
    <mergeCell ref="A177:A178"/>
    <mergeCell ref="O238:T238"/>
    <mergeCell ref="I77:L77"/>
    <mergeCell ref="M137:N137"/>
    <mergeCell ref="D367:D368"/>
    <mergeCell ref="I160:L160"/>
    <mergeCell ref="W291:W292"/>
    <mergeCell ref="A235:A236"/>
    <mergeCell ref="O119:T119"/>
    <mergeCell ref="I72:L72"/>
    <mergeCell ref="A19:A20"/>
    <mergeCell ref="U217:V218"/>
    <mergeCell ref="M284:N284"/>
    <mergeCell ref="W349:W350"/>
    <mergeCell ref="O108:T108"/>
    <mergeCell ref="F86:H86"/>
    <mergeCell ref="O266:T266"/>
    <mergeCell ref="Y10:AA10"/>
    <mergeCell ref="I88:L88"/>
    <mergeCell ref="I82:L82"/>
    <mergeCell ref="AE174:AF174"/>
    <mergeCell ref="I240:L240"/>
    <mergeCell ref="F386:H386"/>
    <mergeCell ref="F81:H81"/>
    <mergeCell ref="AE169:AF169"/>
    <mergeCell ref="F381:H381"/>
    <mergeCell ref="A247:A248"/>
    <mergeCell ref="AJ213:AK214"/>
    <mergeCell ref="AE158:AF158"/>
    <mergeCell ref="Y152:AA152"/>
    <mergeCell ref="I230:L230"/>
    <mergeCell ref="C307:C308"/>
    <mergeCell ref="F397:H397"/>
    <mergeCell ref="F223:H223"/>
    <mergeCell ref="I111:L111"/>
    <mergeCell ref="AE197:AF197"/>
    <mergeCell ref="AJ267:AK268"/>
    <mergeCell ref="AB336:AD336"/>
    <mergeCell ref="A275:A276"/>
    <mergeCell ref="AB31:AD31"/>
    <mergeCell ref="C35:C36"/>
    <mergeCell ref="F125:H125"/>
    <mergeCell ref="B243:B244"/>
    <mergeCell ref="AB337:AD337"/>
    <mergeCell ref="AB331:AD331"/>
    <mergeCell ref="Y49:AA49"/>
    <mergeCell ref="AE213:AF213"/>
    <mergeCell ref="Y163:AA163"/>
    <mergeCell ref="AJ109:AK110"/>
    <mergeCell ref="F120:H120"/>
    <mergeCell ref="AJ409:AK410"/>
    <mergeCell ref="Y196:AA196"/>
    <mergeCell ref="AB259:AD259"/>
    <mergeCell ref="AG193:AI193"/>
    <mergeCell ref="AG149:AI149"/>
    <mergeCell ref="F267:H267"/>
    <mergeCell ref="I180:L180"/>
    <mergeCell ref="Y216:AA216"/>
    <mergeCell ref="Y191:AA191"/>
    <mergeCell ref="E23:E24"/>
    <mergeCell ref="E181:E182"/>
    <mergeCell ref="AE109:AF109"/>
    <mergeCell ref="E137:E138"/>
    <mergeCell ref="M153:N153"/>
    <mergeCell ref="M311:N311"/>
    <mergeCell ref="B13:B14"/>
    <mergeCell ref="Y249:AA249"/>
    <mergeCell ref="AE409:AF409"/>
    <mergeCell ref="O135:T135"/>
    <mergeCell ref="B313:B314"/>
    <mergeCell ref="C105:C106"/>
    <mergeCell ref="AG177:AI177"/>
    <mergeCell ref="AG204:AI204"/>
    <mergeCell ref="AB401:AD401"/>
    <mergeCell ref="Y244:AA244"/>
    <mergeCell ref="D73:D74"/>
    <mergeCell ref="C405:C406"/>
    <mergeCell ref="B35:B36"/>
    <mergeCell ref="B155:B156"/>
    <mergeCell ref="O146:T146"/>
    <mergeCell ref="O277:T277"/>
    <mergeCell ref="M207:N207"/>
    <mergeCell ref="D301:D302"/>
    <mergeCell ref="E393:E394"/>
    <mergeCell ref="W197:W198"/>
    <mergeCell ref="O288:T288"/>
    <mergeCell ref="I127:L127"/>
    <mergeCell ref="I285:L285"/>
    <mergeCell ref="D23:D24"/>
    <mergeCell ref="A291:A292"/>
    <mergeCell ref="O200:T200"/>
    <mergeCell ref="W99:W100"/>
    <mergeCell ref="AB48:AD48"/>
    <mergeCell ref="B105:B106"/>
    <mergeCell ref="O16:T16"/>
    <mergeCell ref="I295:L295"/>
    <mergeCell ref="O347:T347"/>
    <mergeCell ref="B405:B406"/>
    <mergeCell ref="F294:H294"/>
    <mergeCell ref="M246:N246"/>
    <mergeCell ref="I207:L207"/>
    <mergeCell ref="AE224:AF224"/>
    <mergeCell ref="I296:L296"/>
    <mergeCell ref="D171:D172"/>
    <mergeCell ref="D165:D166"/>
    <mergeCell ref="O342:T342"/>
    <mergeCell ref="F289:H289"/>
    <mergeCell ref="E139:E140"/>
    <mergeCell ref="A155:A156"/>
    <mergeCell ref="W241:W242"/>
    <mergeCell ref="AB76:AD76"/>
    <mergeCell ref="M299:N299"/>
    <mergeCell ref="I349:L349"/>
    <mergeCell ref="F190:H190"/>
    <mergeCell ref="AJ175:AK176"/>
    <mergeCell ref="A25:A26"/>
    <mergeCell ref="I192:L192"/>
    <mergeCell ref="AE278:AF278"/>
    <mergeCell ref="Q2:S2"/>
    <mergeCell ref="AB112:AD112"/>
    <mergeCell ref="AB87:AD87"/>
    <mergeCell ref="AB298:AD298"/>
    <mergeCell ref="AJ233:AK234"/>
    <mergeCell ref="AG215:AI215"/>
    <mergeCell ref="Y261:AA261"/>
    <mergeCell ref="I377:L377"/>
    <mergeCell ref="AJ17:AK18"/>
    <mergeCell ref="F201:H201"/>
    <mergeCell ref="E209:E210"/>
    <mergeCell ref="AJ317:AK318"/>
    <mergeCell ref="E203:E204"/>
    <mergeCell ref="AE306:AF306"/>
    <mergeCell ref="AB9:AD9"/>
    <mergeCell ref="AB140:AD140"/>
    <mergeCell ref="Y315:AA315"/>
    <mergeCell ref="X165:X166"/>
    <mergeCell ref="C171:C172"/>
    <mergeCell ref="AG243:AI243"/>
    <mergeCell ref="AB141:AD141"/>
    <mergeCell ref="AE322:AF322"/>
    <mergeCell ref="Y316:AA316"/>
    <mergeCell ref="Y310:AA310"/>
    <mergeCell ref="Y272:AA272"/>
    <mergeCell ref="I388:L388"/>
    <mergeCell ref="AE17:AF17"/>
    <mergeCell ref="F343:H343"/>
    <mergeCell ref="AE317:AF317"/>
    <mergeCell ref="B63:B64"/>
    <mergeCell ref="M62:N62"/>
    <mergeCell ref="AB368:AD368"/>
    <mergeCell ref="Y300:AA300"/>
    <mergeCell ref="U53:V54"/>
    <mergeCell ref="U353:V354"/>
    <mergeCell ref="AG13:AI13"/>
    <mergeCell ref="D339:D340"/>
    <mergeCell ref="A57:A58"/>
    <mergeCell ref="AG313:AI313"/>
    <mergeCell ref="AG8:AI8"/>
    <mergeCell ref="Y380:AA380"/>
    <mergeCell ref="A357:A358"/>
    <mergeCell ref="X361:X362"/>
    <mergeCell ref="O239:T239"/>
    <mergeCell ref="E301:E302"/>
    <mergeCell ref="AG155:AI155"/>
    <mergeCell ref="I35:L35"/>
    <mergeCell ref="X283:X284"/>
    <mergeCell ref="I30:L30"/>
    <mergeCell ref="AE122:AF122"/>
    <mergeCell ref="I361:L361"/>
    <mergeCell ref="W307:W308"/>
    <mergeCell ref="F44:H44"/>
    <mergeCell ref="O397:T397"/>
    <mergeCell ref="M365:N365"/>
    <mergeCell ref="I263:L263"/>
    <mergeCell ref="O92:T92"/>
    <mergeCell ref="O309:T309"/>
    <mergeCell ref="C187:C188"/>
    <mergeCell ref="AB151:AD151"/>
    <mergeCell ref="Y27:AA27"/>
    <mergeCell ref="I105:L105"/>
    <mergeCell ref="W203:W204"/>
    <mergeCell ref="W361:W362"/>
    <mergeCell ref="Y327:AA327"/>
    <mergeCell ref="I405:L405"/>
    <mergeCell ref="F98:H98"/>
    <mergeCell ref="AE28:AF28"/>
    <mergeCell ref="I100:L100"/>
    <mergeCell ref="F398:H398"/>
    <mergeCell ref="I400:L400"/>
    <mergeCell ref="AB54:AD54"/>
    <mergeCell ref="AB212:AD212"/>
    <mergeCell ref="AB206:AD206"/>
    <mergeCell ref="Y11:AA11"/>
    <mergeCell ref="Y169:AA169"/>
    <mergeCell ref="I247:L247"/>
    <mergeCell ref="AG97:AI97"/>
    <mergeCell ref="F109:H109"/>
    <mergeCell ref="F240:H240"/>
    <mergeCell ref="AE56:AF56"/>
    <mergeCell ref="U197:V198"/>
    <mergeCell ref="F409:H409"/>
    <mergeCell ref="AE387:AF387"/>
    <mergeCell ref="AE381:AF381"/>
    <mergeCell ref="AG24:AI24"/>
    <mergeCell ref="AB196:AD196"/>
    <mergeCell ref="Y371:AA371"/>
    <mergeCell ref="Y91:AA91"/>
    <mergeCell ref="Y66:AA66"/>
    <mergeCell ref="AG324:AI324"/>
    <mergeCell ref="AE230:AF230"/>
    <mergeCell ref="Y391:AA391"/>
    <mergeCell ref="X399:X400"/>
    <mergeCell ref="I181:L181"/>
    <mergeCell ref="AJ337:AK338"/>
    <mergeCell ref="E13:E14"/>
    <mergeCell ref="O99:T99"/>
    <mergeCell ref="AG52:AI52"/>
    <mergeCell ref="AB276:AD276"/>
    <mergeCell ref="AG166:AI166"/>
    <mergeCell ref="Y119:AA119"/>
    <mergeCell ref="AG352:AI352"/>
    <mergeCell ref="X83:X84"/>
    <mergeCell ref="O94:T94"/>
    <mergeCell ref="AG47:AI47"/>
    <mergeCell ref="X269:X270"/>
    <mergeCell ref="AG167:AI167"/>
    <mergeCell ref="U109:V110"/>
    <mergeCell ref="B329:B330"/>
    <mergeCell ref="U261:V262"/>
    <mergeCell ref="O152:T152"/>
    <mergeCell ref="M76:N76"/>
    <mergeCell ref="AG63:AI63"/>
    <mergeCell ref="W19:W20"/>
    <mergeCell ref="M165:N165"/>
    <mergeCell ref="M382:N382"/>
    <mergeCell ref="W319:W320"/>
    <mergeCell ref="X111:X112"/>
    <mergeCell ref="O147:T147"/>
    <mergeCell ref="B357:B358"/>
    <mergeCell ref="B225:B226"/>
    <mergeCell ref="O163:T163"/>
    <mergeCell ref="U157:V158"/>
    <mergeCell ref="AG205:AI205"/>
    <mergeCell ref="M393:N393"/>
    <mergeCell ref="AG117:AI117"/>
    <mergeCell ref="O289:T289"/>
    <mergeCell ref="X333:X334"/>
    <mergeCell ref="O375:T375"/>
    <mergeCell ref="A161:A162"/>
    <mergeCell ref="AB223:AD223"/>
    <mergeCell ref="O191:T191"/>
    <mergeCell ref="W83:W84"/>
    <mergeCell ref="D345:D346"/>
    <mergeCell ref="W389:W390"/>
    <mergeCell ref="O59:T59"/>
    <mergeCell ref="W383:W384"/>
    <mergeCell ref="I139:L139"/>
    <mergeCell ref="O359:T359"/>
    <mergeCell ref="A303:A304"/>
    <mergeCell ref="C395:C396"/>
    <mergeCell ref="W117:W118"/>
    <mergeCell ref="W111:W112"/>
    <mergeCell ref="I313:L313"/>
    <mergeCell ref="AJ23:AK24"/>
    <mergeCell ref="O245:T245"/>
    <mergeCell ref="AJ181:AK182"/>
    <mergeCell ref="AJ137:AK138"/>
    <mergeCell ref="I67:L67"/>
    <mergeCell ref="I219:L219"/>
    <mergeCell ref="AE242:AF242"/>
    <mergeCell ref="A225:A226"/>
    <mergeCell ref="AB287:AD287"/>
    <mergeCell ref="AB262:AD262"/>
    <mergeCell ref="Y136:AA136"/>
    <mergeCell ref="I208:L208"/>
    <mergeCell ref="C291:C292"/>
    <mergeCell ref="I366:L366"/>
    <mergeCell ref="F207:H207"/>
    <mergeCell ref="AE137:AF137"/>
    <mergeCell ref="Y131:AA131"/>
    <mergeCell ref="I209:L209"/>
    <mergeCell ref="I203:L203"/>
    <mergeCell ref="AJ403:AK404"/>
    <mergeCell ref="F376:H376"/>
    <mergeCell ref="AB15:AD15"/>
    <mergeCell ref="F202:H202"/>
    <mergeCell ref="B227:B228"/>
    <mergeCell ref="AB321:AD321"/>
    <mergeCell ref="AB315:AD315"/>
    <mergeCell ref="AG238:AI238"/>
    <mergeCell ref="AG232:AI232"/>
    <mergeCell ref="I236:L236"/>
    <mergeCell ref="X149:X150"/>
    <mergeCell ref="AB316:AD316"/>
    <mergeCell ref="AG75:AI75"/>
    <mergeCell ref="AG233:AI233"/>
    <mergeCell ref="AE192:AF192"/>
    <mergeCell ref="AJ393:AK394"/>
    <mergeCell ref="B69:B70"/>
    <mergeCell ref="AB157:AD157"/>
    <mergeCell ref="Y288:AA288"/>
    <mergeCell ref="B369:B370"/>
    <mergeCell ref="AB326:AD326"/>
    <mergeCell ref="X177:X178"/>
    <mergeCell ref="AG128:AI128"/>
    <mergeCell ref="U17:V18"/>
    <mergeCell ref="E121:E122"/>
    <mergeCell ref="F246:H246"/>
    <mergeCell ref="AG217:AI217"/>
    <mergeCell ref="U317:V318"/>
    <mergeCell ref="B297:B298"/>
    <mergeCell ref="B291:B292"/>
    <mergeCell ref="Y17:AA17"/>
    <mergeCell ref="M132:N132"/>
    <mergeCell ref="O360:T360"/>
    <mergeCell ref="M290:N290"/>
    <mergeCell ref="D57:D58"/>
    <mergeCell ref="Y317:AA317"/>
    <mergeCell ref="D357:D358"/>
    <mergeCell ref="E149:E150"/>
    <mergeCell ref="X73:X74"/>
    <mergeCell ref="B133:B134"/>
    <mergeCell ref="U65:V66"/>
    <mergeCell ref="AG330:AI330"/>
    <mergeCell ref="M274:N274"/>
    <mergeCell ref="U365:V366"/>
    <mergeCell ref="D199:D200"/>
    <mergeCell ref="X247:X248"/>
    <mergeCell ref="O125:T125"/>
    <mergeCell ref="O256:T256"/>
    <mergeCell ref="M186:N186"/>
    <mergeCell ref="W123:W124"/>
    <mergeCell ref="A69:A70"/>
    <mergeCell ref="A369:A370"/>
    <mergeCell ref="O272:T272"/>
    <mergeCell ref="W181:W182"/>
    <mergeCell ref="C135:C136"/>
    <mergeCell ref="D121:D122"/>
    <mergeCell ref="I352:L352"/>
    <mergeCell ref="O267:T267"/>
    <mergeCell ref="AJ203:AK204"/>
    <mergeCell ref="I264:L264"/>
    <mergeCell ref="I220:L220"/>
    <mergeCell ref="AB32:AD32"/>
    <mergeCell ref="AB26:AD26"/>
    <mergeCell ref="AB27:AD27"/>
    <mergeCell ref="I280:L280"/>
    <mergeCell ref="I274:L274"/>
    <mergeCell ref="D263:D264"/>
    <mergeCell ref="F115:H115"/>
    <mergeCell ref="F273:H273"/>
    <mergeCell ref="AE203:AF203"/>
    <mergeCell ref="I275:L275"/>
    <mergeCell ref="I406:L406"/>
    <mergeCell ref="AB37:AD37"/>
    <mergeCell ref="AJ99:AK100"/>
    <mergeCell ref="AJ257:AK258"/>
    <mergeCell ref="C199:C200"/>
    <mergeCell ref="AB55:AD55"/>
    <mergeCell ref="AB169:AD169"/>
    <mergeCell ref="Y344:AA344"/>
    <mergeCell ref="AJ159:AK160"/>
    <mergeCell ref="AE45:AF45"/>
    <mergeCell ref="Y39:AA39"/>
    <mergeCell ref="E265:E266"/>
    <mergeCell ref="I328:L328"/>
    <mergeCell ref="AE345:AF345"/>
    <mergeCell ref="AB71:AD71"/>
    <mergeCell ref="AE46:AF46"/>
    <mergeCell ref="AG199:AI199"/>
    <mergeCell ref="Y28:AA28"/>
    <mergeCell ref="AG288:AI288"/>
    <mergeCell ref="AB66:AD66"/>
    <mergeCell ref="Y355:AA355"/>
    <mergeCell ref="C95:C96"/>
    <mergeCell ref="U81:V82"/>
    <mergeCell ref="Y23:AA23"/>
    <mergeCell ref="AJ301:AK302"/>
    <mergeCell ref="E187:E188"/>
    <mergeCell ref="Y240:AA240"/>
    <mergeCell ref="AB124:AD124"/>
    <mergeCell ref="U381:V382"/>
    <mergeCell ref="AG41:AI41"/>
    <mergeCell ref="AB213:AD213"/>
    <mergeCell ref="AG341:AI341"/>
    <mergeCell ref="B31:B32"/>
    <mergeCell ref="AB119:AD119"/>
    <mergeCell ref="I372:L372"/>
    <mergeCell ref="AG36:AI36"/>
    <mergeCell ref="Y408:AA408"/>
    <mergeCell ref="E29:E30"/>
    <mergeCell ref="A385:A386"/>
    <mergeCell ref="E215:E216"/>
    <mergeCell ref="AG336:AI336"/>
    <mergeCell ref="AE301:AF301"/>
    <mergeCell ref="E329:E330"/>
    <mergeCell ref="I367:L367"/>
    <mergeCell ref="M40:N40"/>
    <mergeCell ref="AJ349:AK350"/>
    <mergeCell ref="AG369:AI369"/>
    <mergeCell ref="M340:N340"/>
    <mergeCell ref="B173:B174"/>
    <mergeCell ref="D265:D266"/>
    <mergeCell ref="U121:V122"/>
    <mergeCell ref="U115:V116"/>
    <mergeCell ref="M399:N399"/>
    <mergeCell ref="O164:T164"/>
    <mergeCell ref="X339:X340"/>
    <mergeCell ref="I286:L286"/>
    <mergeCell ref="D161:D162"/>
    <mergeCell ref="O180:T180"/>
    <mergeCell ref="Y55:AA55"/>
    <mergeCell ref="I14:L14"/>
    <mergeCell ref="O392:T392"/>
    <mergeCell ref="I314:L314"/>
    <mergeCell ref="AB82:AD82"/>
    <mergeCell ref="X351:X352"/>
    <mergeCell ref="AB240:AD240"/>
    <mergeCell ref="M138:N138"/>
    <mergeCell ref="AB235:AD235"/>
    <mergeCell ref="I25:L25"/>
    <mergeCell ref="I156:L156"/>
    <mergeCell ref="O376:T376"/>
    <mergeCell ref="AJ7:AK8"/>
    <mergeCell ref="AB224:AD224"/>
    <mergeCell ref="I83:L83"/>
    <mergeCell ref="Y94:AA94"/>
    <mergeCell ref="Y311:AA311"/>
    <mergeCell ref="I383:L383"/>
    <mergeCell ref="AG53:AI53"/>
    <mergeCell ref="AE12:AF12"/>
    <mergeCell ref="I84:L84"/>
    <mergeCell ref="F165:H165"/>
    <mergeCell ref="N2:O2"/>
    <mergeCell ref="F382:H382"/>
    <mergeCell ref="AE312:AF312"/>
    <mergeCell ref="Y306:AA306"/>
    <mergeCell ref="I384:L384"/>
    <mergeCell ref="F77:H77"/>
    <mergeCell ref="AJ35:AK36"/>
    <mergeCell ref="I378:L378"/>
    <mergeCell ref="AB304:AD304"/>
    <mergeCell ref="F377:H377"/>
    <mergeCell ref="Y147:AA147"/>
    <mergeCell ref="AG81:AI81"/>
    <mergeCell ref="AE154:AF154"/>
    <mergeCell ref="Y148:AA148"/>
    <mergeCell ref="I226:L226"/>
    <mergeCell ref="F393:H393"/>
    <mergeCell ref="E69:E70"/>
    <mergeCell ref="AE35:AF35"/>
    <mergeCell ref="AB332:AD332"/>
    <mergeCell ref="AE149:AF149"/>
    <mergeCell ref="AE366:AF366"/>
    <mergeCell ref="AB175:AD175"/>
    <mergeCell ref="AG92:AI92"/>
    <mergeCell ref="D335:D336"/>
    <mergeCell ref="X51:X52"/>
    <mergeCell ref="AG303:AI303"/>
    <mergeCell ref="X9:X10"/>
    <mergeCell ref="AJ105:AK106"/>
    <mergeCell ref="AB343:AD343"/>
    <mergeCell ref="AJ405:AK406"/>
    <mergeCell ref="X67:X68"/>
    <mergeCell ref="Y192:AA192"/>
    <mergeCell ref="AG145:AI145"/>
    <mergeCell ref="X367:X368"/>
    <mergeCell ref="U245:V246"/>
    <mergeCell ref="A189:A190"/>
    <mergeCell ref="E133:E134"/>
    <mergeCell ref="M149:N149"/>
    <mergeCell ref="Y245:AA245"/>
    <mergeCell ref="O131:T131"/>
    <mergeCell ref="B309:B310"/>
    <mergeCell ref="AG173:AI173"/>
    <mergeCell ref="X395:X396"/>
    <mergeCell ref="D69:D70"/>
    <mergeCell ref="U229:V230"/>
    <mergeCell ref="D369:D370"/>
    <mergeCell ref="M177:N177"/>
    <mergeCell ref="W139:W140"/>
    <mergeCell ref="M291:N291"/>
    <mergeCell ref="I252:L252"/>
    <mergeCell ref="C335:C336"/>
    <mergeCell ref="O142:T142"/>
    <mergeCell ref="W51:W52"/>
    <mergeCell ref="O273:T273"/>
    <mergeCell ref="AE156:AF156"/>
    <mergeCell ref="W67:W68"/>
    <mergeCell ref="W367:W368"/>
    <mergeCell ref="F235:H235"/>
    <mergeCell ref="W193:W194"/>
    <mergeCell ref="O284:T284"/>
    <mergeCell ref="I123:L123"/>
    <mergeCell ref="A287:A288"/>
    <mergeCell ref="A281:A282"/>
    <mergeCell ref="AB43:AD43"/>
    <mergeCell ref="C47:C48"/>
    <mergeCell ref="W95:W96"/>
    <mergeCell ref="W209:W210"/>
    <mergeCell ref="Y61:AA61"/>
    <mergeCell ref="W395:W396"/>
    <mergeCell ref="F132:H132"/>
    <mergeCell ref="AB344:AD344"/>
    <mergeCell ref="F290:H290"/>
    <mergeCell ref="Y56:AA56"/>
    <mergeCell ref="AE226:AF226"/>
    <mergeCell ref="I134:L134"/>
    <mergeCell ref="AE220:AF220"/>
    <mergeCell ref="I292:L292"/>
    <mergeCell ref="F127:H127"/>
    <mergeCell ref="AE221:AF221"/>
    <mergeCell ref="W237:W238"/>
    <mergeCell ref="Y203:AA203"/>
    <mergeCell ref="Y361:AA361"/>
    <mergeCell ref="F185:H185"/>
    <mergeCell ref="C59:C60"/>
    <mergeCell ref="F274:H274"/>
    <mergeCell ref="I187:L187"/>
    <mergeCell ref="Y198:AA198"/>
    <mergeCell ref="F186:H186"/>
    <mergeCell ref="AJ171:AK172"/>
    <mergeCell ref="AE116:AF116"/>
    <mergeCell ref="B325:B326"/>
    <mergeCell ref="I188:L188"/>
    <mergeCell ref="B319:B320"/>
    <mergeCell ref="AG216:AI216"/>
    <mergeCell ref="AB388:AD388"/>
    <mergeCell ref="Y256:AA256"/>
    <mergeCell ref="D85:D86"/>
    <mergeCell ref="AG211:AI211"/>
    <mergeCell ref="AB408:AD408"/>
    <mergeCell ref="D385:D386"/>
    <mergeCell ref="Y257:AA257"/>
    <mergeCell ref="X101:X102"/>
    <mergeCell ref="B47:B48"/>
    <mergeCell ref="U267:V268"/>
    <mergeCell ref="B353:B354"/>
    <mergeCell ref="U399:V400"/>
    <mergeCell ref="AB136:AD136"/>
    <mergeCell ref="X161:X162"/>
    <mergeCell ref="Y267:AA267"/>
    <mergeCell ref="X275:X276"/>
    <mergeCell ref="B373:B374"/>
    <mergeCell ref="M214:N214"/>
    <mergeCell ref="AG201:AI201"/>
    <mergeCell ref="AG353:AI353"/>
    <mergeCell ref="AE318:AF318"/>
    <mergeCell ref="U295:V296"/>
    <mergeCell ref="B189:B190"/>
    <mergeCell ref="M57:N57"/>
    <mergeCell ref="AG255:AI255"/>
    <mergeCell ref="U321:V322"/>
    <mergeCell ref="O39:T39"/>
    <mergeCell ref="D35:D36"/>
    <mergeCell ref="M357:N357"/>
    <mergeCell ref="B59:B60"/>
    <mergeCell ref="Y295:AA295"/>
    <mergeCell ref="M111:N111"/>
    <mergeCell ref="O339:T339"/>
    <mergeCell ref="B117:B118"/>
    <mergeCell ref="M258:N258"/>
    <mergeCell ref="U349:V350"/>
    <mergeCell ref="A293:A294"/>
    <mergeCell ref="O23:T23"/>
    <mergeCell ref="C385:C386"/>
    <mergeCell ref="D177:D178"/>
    <mergeCell ref="W107:W108"/>
    <mergeCell ref="W101:W102"/>
    <mergeCell ref="A53:A54"/>
    <mergeCell ref="AG309:AI309"/>
    <mergeCell ref="M253:N253"/>
    <mergeCell ref="A167:A168"/>
    <mergeCell ref="A353:A354"/>
    <mergeCell ref="O235:T235"/>
    <mergeCell ref="W275:W276"/>
    <mergeCell ref="I31:L31"/>
    <mergeCell ref="O251:T251"/>
    <mergeCell ref="AJ187:AK188"/>
    <mergeCell ref="A37:A38"/>
    <mergeCell ref="W243:W244"/>
    <mergeCell ref="A195:A196"/>
    <mergeCell ref="I356:L356"/>
    <mergeCell ref="I331:L331"/>
    <mergeCell ref="AE285:AF285"/>
    <mergeCell ref="M322:N322"/>
    <mergeCell ref="I258:L258"/>
    <mergeCell ref="AB94:AD94"/>
    <mergeCell ref="F40:H40"/>
    <mergeCell ref="D247:D248"/>
    <mergeCell ref="I42:L42"/>
    <mergeCell ref="W171:W172"/>
    <mergeCell ref="AE101:AF101"/>
    <mergeCell ref="AG222:AI222"/>
    <mergeCell ref="O393:T393"/>
    <mergeCell ref="AJ329:AK330"/>
    <mergeCell ref="I259:L259"/>
    <mergeCell ref="F340:H340"/>
    <mergeCell ref="I253:L253"/>
    <mergeCell ref="O88:T88"/>
    <mergeCell ref="AJ235:AK236"/>
    <mergeCell ref="F366:H366"/>
    <mergeCell ref="C183:C184"/>
    <mergeCell ref="Y111:AA111"/>
    <mergeCell ref="AB147:AD147"/>
    <mergeCell ref="AE29:AF29"/>
    <mergeCell ref="F241:H241"/>
    <mergeCell ref="E243:E244"/>
    <mergeCell ref="Y165:AA165"/>
    <mergeCell ref="AB148:AD148"/>
    <mergeCell ref="AE329:AF329"/>
    <mergeCell ref="Y323:AA323"/>
    <mergeCell ref="I401:L401"/>
    <mergeCell ref="Y279:AA279"/>
    <mergeCell ref="I395:L395"/>
    <mergeCell ref="B75:B76"/>
    <mergeCell ref="AE24:AF24"/>
    <mergeCell ref="AB163:AD163"/>
    <mergeCell ref="F236:H236"/>
    <mergeCell ref="F394:H394"/>
    <mergeCell ref="S6:V6"/>
    <mergeCell ref="AE324:AF324"/>
    <mergeCell ref="C325:C326"/>
    <mergeCell ref="AB44:AD44"/>
    <mergeCell ref="AB158:AD158"/>
    <mergeCell ref="Y7:AA7"/>
    <mergeCell ref="Y34:AA34"/>
    <mergeCell ref="X15:X16"/>
    <mergeCell ref="AG267:AI267"/>
    <mergeCell ref="O51:T51"/>
    <mergeCell ref="AE357:AF357"/>
    <mergeCell ref="E385:E386"/>
    <mergeCell ref="Y307:AA307"/>
    <mergeCell ref="Y334:AA334"/>
    <mergeCell ref="AB191:AD191"/>
    <mergeCell ref="U35:V36"/>
    <mergeCell ref="E255:E256"/>
    <mergeCell ref="B129:B130"/>
    <mergeCell ref="B123:B124"/>
    <mergeCell ref="AG20:AI20"/>
    <mergeCell ref="Y392:AA392"/>
    <mergeCell ref="AG320:AI320"/>
    <mergeCell ref="E313:E314"/>
    <mergeCell ref="D189:D190"/>
    <mergeCell ref="Y387:AA387"/>
    <mergeCell ref="X237:X238"/>
    <mergeCell ref="U71:V72"/>
    <mergeCell ref="B157:B158"/>
    <mergeCell ref="U371:V372"/>
    <mergeCell ref="O95:T95"/>
    <mergeCell ref="B151:B152"/>
    <mergeCell ref="O89:T89"/>
    <mergeCell ref="AG162:AI162"/>
    <mergeCell ref="X79:X80"/>
    <mergeCell ref="X379:X380"/>
    <mergeCell ref="U105:V106"/>
    <mergeCell ref="U99:V100"/>
    <mergeCell ref="M166:N166"/>
    <mergeCell ref="W231:W232"/>
    <mergeCell ref="M377:N377"/>
    <mergeCell ref="O148:T148"/>
    <mergeCell ref="W15:W16"/>
    <mergeCell ref="AG59:AI59"/>
    <mergeCell ref="W315:W316"/>
    <mergeCell ref="AG359:AI359"/>
    <mergeCell ref="D139:D140"/>
    <mergeCell ref="D259:D260"/>
    <mergeCell ref="A129:A130"/>
    <mergeCell ref="O159:T159"/>
    <mergeCell ref="D313:D314"/>
    <mergeCell ref="I112:L112"/>
    <mergeCell ref="C189:C190"/>
    <mergeCell ref="F410:H410"/>
    <mergeCell ref="M389:N389"/>
    <mergeCell ref="AB218:AD218"/>
    <mergeCell ref="I107:L107"/>
    <mergeCell ref="A157:A158"/>
    <mergeCell ref="A271:A272"/>
    <mergeCell ref="AB61:AD61"/>
    <mergeCell ref="AB219:AD219"/>
    <mergeCell ref="F121:H121"/>
    <mergeCell ref="I9:L9"/>
    <mergeCell ref="I140:L140"/>
    <mergeCell ref="Y45:AA45"/>
    <mergeCell ref="W379:W380"/>
    <mergeCell ref="C91:C92"/>
    <mergeCell ref="AJ291:AK292"/>
    <mergeCell ref="C391:C392"/>
    <mergeCell ref="AB203:AD203"/>
    <mergeCell ref="Y378:AA378"/>
    <mergeCell ref="AB361:AD361"/>
    <mergeCell ref="I62:L62"/>
    <mergeCell ref="E151:E152"/>
    <mergeCell ref="Y73:AA73"/>
    <mergeCell ref="C259:C260"/>
    <mergeCell ref="AE237:AF237"/>
    <mergeCell ref="I362:L362"/>
    <mergeCell ref="AG32:AI32"/>
    <mergeCell ref="E19:E20"/>
    <mergeCell ref="F144:H144"/>
    <mergeCell ref="C75:C76"/>
    <mergeCell ref="AE291:AF291"/>
    <mergeCell ref="I363:L363"/>
    <mergeCell ref="E319:E320"/>
    <mergeCell ref="AB283:AD283"/>
    <mergeCell ref="M30:N30"/>
    <mergeCell ref="Y126:AA126"/>
    <mergeCell ref="C287:C288"/>
    <mergeCell ref="F371:H371"/>
    <mergeCell ref="AG60:AI60"/>
    <mergeCell ref="O101:T101"/>
    <mergeCell ref="E53:E54"/>
    <mergeCell ref="E47:E48"/>
    <mergeCell ref="AE133:AF133"/>
    <mergeCell ref="F372:H372"/>
    <mergeCell ref="B223:B224"/>
    <mergeCell ref="B179:B180"/>
    <mergeCell ref="AB311:AD311"/>
    <mergeCell ref="AG70:AI70"/>
    <mergeCell ref="B337:B338"/>
    <mergeCell ref="AG228:AI228"/>
    <mergeCell ref="E63:E64"/>
    <mergeCell ref="E221:E222"/>
    <mergeCell ref="X145:X146"/>
    <mergeCell ref="AG71:AI71"/>
    <mergeCell ref="AJ383:AK384"/>
    <mergeCell ref="AG129:AI129"/>
    <mergeCell ref="O170:T170"/>
    <mergeCell ref="M100:N100"/>
    <mergeCell ref="AB322:AD322"/>
    <mergeCell ref="U139:V140"/>
    <mergeCell ref="M231:N231"/>
    <mergeCell ref="O171:T171"/>
    <mergeCell ref="AG124:AI124"/>
    <mergeCell ref="D325:D326"/>
    <mergeCell ref="E117:E118"/>
    <mergeCell ref="M247:N247"/>
    <mergeCell ref="W281:W282"/>
    <mergeCell ref="B287:B288"/>
    <mergeCell ref="O198:T198"/>
    <mergeCell ref="M128:N128"/>
    <mergeCell ref="I151:L151"/>
    <mergeCell ref="D53:D54"/>
    <mergeCell ref="D9:D10"/>
    <mergeCell ref="D353:D354"/>
    <mergeCell ref="A337:A338"/>
    <mergeCell ref="M181:N181"/>
    <mergeCell ref="C103:C104"/>
    <mergeCell ref="F160:H160"/>
    <mergeCell ref="U209:V210"/>
    <mergeCell ref="M270:N270"/>
    <mergeCell ref="I231:L231"/>
    <mergeCell ref="O252:T252"/>
    <mergeCell ref="I74:L74"/>
    <mergeCell ref="AB269:AD269"/>
    <mergeCell ref="I221:L221"/>
    <mergeCell ref="F214:H214"/>
    <mergeCell ref="O263:T263"/>
    <mergeCell ref="AJ199:AK200"/>
    <mergeCell ref="AE171:AF171"/>
    <mergeCell ref="I216:L216"/>
    <mergeCell ref="AB22:AD22"/>
    <mergeCell ref="C9:C10"/>
    <mergeCell ref="AG245:AI245"/>
    <mergeCell ref="AE204:AF204"/>
    <mergeCell ref="I276:L276"/>
    <mergeCell ref="AB323:AD323"/>
    <mergeCell ref="E119:E120"/>
    <mergeCell ref="E75:E76"/>
    <mergeCell ref="F225:H225"/>
    <mergeCell ref="I113:L113"/>
    <mergeCell ref="AE199:AF199"/>
    <mergeCell ref="AB338:AD338"/>
    <mergeCell ref="AB164:AD164"/>
    <mergeCell ref="C37:C38"/>
    <mergeCell ref="AB333:AD333"/>
    <mergeCell ref="Y182:AA182"/>
    <mergeCell ref="AG135:AI135"/>
    <mergeCell ref="AE41:AF41"/>
    <mergeCell ref="F253:H253"/>
    <mergeCell ref="E155:E156"/>
    <mergeCell ref="U235:V236"/>
    <mergeCell ref="I255:L255"/>
    <mergeCell ref="AE347:AF347"/>
    <mergeCell ref="AE341:AF341"/>
    <mergeCell ref="AB67:AD67"/>
    <mergeCell ref="U19:V20"/>
    <mergeCell ref="AG168:AI168"/>
    <mergeCell ref="AG195:AI195"/>
    <mergeCell ref="AB392:AD392"/>
    <mergeCell ref="AB367:AD367"/>
    <mergeCell ref="AG284:AI284"/>
    <mergeCell ref="Y235:AA235"/>
    <mergeCell ref="X85:X86"/>
    <mergeCell ref="Y351:AA351"/>
    <mergeCell ref="X201:X202"/>
    <mergeCell ref="E25:E26"/>
    <mergeCell ref="U77:V78"/>
    <mergeCell ref="X385:X386"/>
    <mergeCell ref="E183:E184"/>
    <mergeCell ref="U377:V378"/>
    <mergeCell ref="W135:W136"/>
    <mergeCell ref="AG179:AI179"/>
    <mergeCell ref="AG337:AI337"/>
    <mergeCell ref="M281:N281"/>
    <mergeCell ref="Y246:AA246"/>
    <mergeCell ref="D75:D76"/>
    <mergeCell ref="A381:A382"/>
    <mergeCell ref="AG180:AI180"/>
    <mergeCell ref="E325:E326"/>
    <mergeCell ref="M341:N341"/>
    <mergeCell ref="O323:T323"/>
    <mergeCell ref="B343:B344"/>
    <mergeCell ref="U275:V276"/>
    <mergeCell ref="W331:W332"/>
    <mergeCell ref="W85:W86"/>
    <mergeCell ref="O307:T307"/>
    <mergeCell ref="M237:N237"/>
    <mergeCell ref="O8:T8"/>
    <mergeCell ref="I287:L287"/>
    <mergeCell ref="I281:L281"/>
    <mergeCell ref="W385:W386"/>
    <mergeCell ref="AE210:AF210"/>
    <mergeCell ref="I282:L282"/>
    <mergeCell ref="D157:D158"/>
    <mergeCell ref="Y51:AA51"/>
    <mergeCell ref="W233:W234"/>
    <mergeCell ref="W227:W228"/>
    <mergeCell ref="I315:L315"/>
    <mergeCell ref="F122:H122"/>
    <mergeCell ref="AE58:AF58"/>
    <mergeCell ref="C207:C208"/>
    <mergeCell ref="I335:L335"/>
    <mergeCell ref="AB78:AD78"/>
    <mergeCell ref="Y367:AA367"/>
    <mergeCell ref="M301:N301"/>
    <mergeCell ref="AB73:AD73"/>
    <mergeCell ref="I326:L326"/>
    <mergeCell ref="F19:H19"/>
    <mergeCell ref="AE86:AF86"/>
    <mergeCell ref="AE80:AF80"/>
    <mergeCell ref="O372:T372"/>
    <mergeCell ref="F319:H319"/>
    <mergeCell ref="B43:B44"/>
    <mergeCell ref="AB131:AD131"/>
    <mergeCell ref="AG48:AI48"/>
    <mergeCell ref="AB220:AD220"/>
    <mergeCell ref="AB247:AD247"/>
    <mergeCell ref="N3:O3"/>
    <mergeCell ref="Y90:AA90"/>
    <mergeCell ref="AG348:AI348"/>
    <mergeCell ref="AB126:AD126"/>
    <mergeCell ref="I379:L379"/>
    <mergeCell ref="X151:X152"/>
    <mergeCell ref="F9:H9"/>
    <mergeCell ref="AE8:AF8"/>
    <mergeCell ref="X265:X266"/>
    <mergeCell ref="Y390:AA390"/>
    <mergeCell ref="B211:B212"/>
    <mergeCell ref="AJ205:AK206"/>
    <mergeCell ref="AE308:AF308"/>
    <mergeCell ref="I380:L380"/>
    <mergeCell ref="M352:N352"/>
    <mergeCell ref="B185:B186"/>
    <mergeCell ref="AB142:AD142"/>
    <mergeCell ref="M47:N47"/>
    <mergeCell ref="AG251:AI251"/>
    <mergeCell ref="Y291:AA291"/>
    <mergeCell ref="X293:X294"/>
    <mergeCell ref="AG246:AI246"/>
    <mergeCell ref="U133:V134"/>
    <mergeCell ref="U127:V128"/>
    <mergeCell ref="F389:H389"/>
    <mergeCell ref="AB170:AD170"/>
    <mergeCell ref="U39:V40"/>
    <mergeCell ref="AG87:AI87"/>
    <mergeCell ref="M406:N406"/>
    <mergeCell ref="AG393:AI393"/>
    <mergeCell ref="X221:X222"/>
    <mergeCell ref="A43:A44"/>
    <mergeCell ref="AG299:AI299"/>
    <mergeCell ref="U25:V26"/>
    <mergeCell ref="M117:N117"/>
    <mergeCell ref="D341:D342"/>
    <mergeCell ref="W271:W272"/>
    <mergeCell ref="W265:W266"/>
    <mergeCell ref="AG141:AI141"/>
    <mergeCell ref="X363:X364"/>
    <mergeCell ref="O399:T399"/>
    <mergeCell ref="A185:A186"/>
    <mergeCell ref="M145:N145"/>
    <mergeCell ref="I37:L37"/>
    <mergeCell ref="W299:W300"/>
    <mergeCell ref="W255:W256"/>
    <mergeCell ref="W293:W294"/>
    <mergeCell ref="A201:A202"/>
    <mergeCell ref="O83:T83"/>
    <mergeCell ref="F30:H30"/>
    <mergeCell ref="O383:T383"/>
    <mergeCell ref="AJ319:AK320"/>
    <mergeCell ref="U225:V226"/>
    <mergeCell ref="W141:W142"/>
    <mergeCell ref="Y101:AA101"/>
    <mergeCell ref="M367:N367"/>
    <mergeCell ref="I396:L396"/>
    <mergeCell ref="O138:T138"/>
    <mergeCell ref="AJ47:AK48"/>
    <mergeCell ref="I91:L91"/>
    <mergeCell ref="I85:L85"/>
    <mergeCell ref="I391:L391"/>
    <mergeCell ref="AB197:AD197"/>
    <mergeCell ref="C15:C16"/>
    <mergeCell ref="AB286:AD286"/>
    <mergeCell ref="I118:L118"/>
    <mergeCell ref="C315:C316"/>
    <mergeCell ref="W363:W364"/>
    <mergeCell ref="AB154:AD154"/>
    <mergeCell ref="F100:H100"/>
    <mergeCell ref="F231:H231"/>
    <mergeCell ref="AE47:AF47"/>
    <mergeCell ref="I119:L119"/>
    <mergeCell ref="AJ275:AK276"/>
    <mergeCell ref="F400:H400"/>
    <mergeCell ref="AJ59:AK60"/>
    <mergeCell ref="AB187:AD187"/>
    <mergeCell ref="C43:C44"/>
    <mergeCell ref="AG104:AI104"/>
    <mergeCell ref="AB339:AD339"/>
    <mergeCell ref="P5:R5"/>
    <mergeCell ref="Y171:AA171"/>
    <mergeCell ref="X21:X22"/>
    <mergeCell ref="AB182:AD182"/>
    <mergeCell ref="F128:H128"/>
    <mergeCell ref="AG99:AI99"/>
    <mergeCell ref="I155:L155"/>
    <mergeCell ref="I130:L130"/>
    <mergeCell ref="AE216:AF216"/>
    <mergeCell ref="B93:B94"/>
    <mergeCell ref="AE59:AF59"/>
    <mergeCell ref="AB350:AD350"/>
    <mergeCell ref="Y199:AA199"/>
    <mergeCell ref="X49:X50"/>
    <mergeCell ref="E31:E32"/>
    <mergeCell ref="AG152:AI152"/>
    <mergeCell ref="I183:L183"/>
    <mergeCell ref="X69:X70"/>
    <mergeCell ref="E331:E332"/>
    <mergeCell ref="AE112:AF112"/>
    <mergeCell ref="AG54:AI54"/>
    <mergeCell ref="AB251:AD251"/>
    <mergeCell ref="B321:B322"/>
    <mergeCell ref="B315:B316"/>
    <mergeCell ref="AG212:AI212"/>
    <mergeCell ref="M156:N156"/>
    <mergeCell ref="Y252:AA252"/>
    <mergeCell ref="D81:D82"/>
    <mergeCell ref="X129:X130"/>
    <mergeCell ref="AG49:AI49"/>
    <mergeCell ref="O227:T227"/>
    <mergeCell ref="AG207:AI207"/>
    <mergeCell ref="D381:D382"/>
    <mergeCell ref="X97:X98"/>
    <mergeCell ref="U263:V264"/>
    <mergeCell ref="B349:B350"/>
    <mergeCell ref="W21:W22"/>
    <mergeCell ref="AG196:AI196"/>
    <mergeCell ref="X113:X114"/>
    <mergeCell ref="X271:X272"/>
    <mergeCell ref="O149:T149"/>
    <mergeCell ref="AG191:AI191"/>
    <mergeCell ref="A93:A94"/>
    <mergeCell ref="B359:B360"/>
    <mergeCell ref="U291:V292"/>
    <mergeCell ref="W49:W50"/>
    <mergeCell ref="O296:T296"/>
    <mergeCell ref="M226:N226"/>
    <mergeCell ref="O177:T177"/>
    <mergeCell ref="O297:T297"/>
    <mergeCell ref="A321:A322"/>
    <mergeCell ref="C81:C82"/>
    <mergeCell ref="M254:N254"/>
    <mergeCell ref="W191:W192"/>
    <mergeCell ref="A289:A290"/>
    <mergeCell ref="AB51:AD51"/>
    <mergeCell ref="C381:C382"/>
    <mergeCell ref="W103:W104"/>
    <mergeCell ref="F139:H139"/>
    <mergeCell ref="E147:E148"/>
    <mergeCell ref="M249:N249"/>
    <mergeCell ref="AE227:AF227"/>
    <mergeCell ref="I299:L299"/>
    <mergeCell ref="W403:W404"/>
    <mergeCell ref="A305:A306"/>
    <mergeCell ref="AB253:AD253"/>
    <mergeCell ref="C71:C72"/>
    <mergeCell ref="AE228:AF228"/>
    <mergeCell ref="Y210:AA210"/>
    <mergeCell ref="AJ25:AK26"/>
    <mergeCell ref="O247:T247"/>
    <mergeCell ref="AB248:AD248"/>
    <mergeCell ref="AJ183:AK184"/>
    <mergeCell ref="A33:A34"/>
    <mergeCell ref="Y122:AA122"/>
    <mergeCell ref="F281:H281"/>
    <mergeCell ref="I200:L200"/>
    <mergeCell ref="I194:L194"/>
    <mergeCell ref="A333:A334"/>
    <mergeCell ref="F193:H193"/>
    <mergeCell ref="AB306:AD306"/>
    <mergeCell ref="AG223:AI223"/>
    <mergeCell ref="AB395:AD395"/>
    <mergeCell ref="B27:B28"/>
    <mergeCell ref="F209:H209"/>
    <mergeCell ref="W167:W168"/>
    <mergeCell ref="AG218:AI218"/>
    <mergeCell ref="AJ325:AK326"/>
    <mergeCell ref="E211:E212"/>
    <mergeCell ref="AE297:AF297"/>
    <mergeCell ref="AE272:AF272"/>
    <mergeCell ref="AB17:AD17"/>
    <mergeCell ref="AB317:AD317"/>
    <mergeCell ref="B55:B56"/>
    <mergeCell ref="AB143:AD143"/>
    <mergeCell ref="Y280:AA280"/>
    <mergeCell ref="AB318:AD318"/>
    <mergeCell ref="AG208:AI208"/>
    <mergeCell ref="E239:E240"/>
    <mergeCell ref="AE325:AF325"/>
    <mergeCell ref="Y275:AA275"/>
    <mergeCell ref="B71:B72"/>
    <mergeCell ref="AE20:AF20"/>
    <mergeCell ref="F232:H232"/>
    <mergeCell ref="B371:B372"/>
    <mergeCell ref="AG262:AI262"/>
    <mergeCell ref="U303:V304"/>
    <mergeCell ref="B283:B284"/>
    <mergeCell ref="D43:D44"/>
    <mergeCell ref="U361:V362"/>
    <mergeCell ref="B99:B100"/>
    <mergeCell ref="M265:N265"/>
    <mergeCell ref="O36:T36"/>
    <mergeCell ref="O30:T30"/>
    <mergeCell ref="AG316:AI316"/>
    <mergeCell ref="M260:N260"/>
    <mergeCell ref="E309:E310"/>
    <mergeCell ref="O31:T31"/>
    <mergeCell ref="D185:D186"/>
    <mergeCell ref="X233:X234"/>
    <mergeCell ref="M20:N20"/>
    <mergeCell ref="A55:A56"/>
    <mergeCell ref="U67:V68"/>
    <mergeCell ref="M293:N293"/>
    <mergeCell ref="M320:N320"/>
    <mergeCell ref="B147:B148"/>
    <mergeCell ref="D245:D246"/>
    <mergeCell ref="D201:D202"/>
    <mergeCell ref="O258:T258"/>
    <mergeCell ref="AB106:AD106"/>
    <mergeCell ref="X375:X376"/>
    <mergeCell ref="U95:V96"/>
    <mergeCell ref="C137:C138"/>
    <mergeCell ref="U395:V396"/>
    <mergeCell ref="F47:H47"/>
    <mergeCell ref="D229:D230"/>
    <mergeCell ref="F264:H264"/>
    <mergeCell ref="W153:W154"/>
    <mergeCell ref="A99:A100"/>
    <mergeCell ref="I266:L266"/>
    <mergeCell ref="I260:L260"/>
    <mergeCell ref="A213:A214"/>
    <mergeCell ref="AB186:AD186"/>
    <mergeCell ref="W211:W212"/>
    <mergeCell ref="Y335:AA335"/>
    <mergeCell ref="I407:L407"/>
    <mergeCell ref="AE36:AF36"/>
    <mergeCell ref="AE11:AF11"/>
    <mergeCell ref="F248:H248"/>
    <mergeCell ref="C185:C186"/>
    <mergeCell ref="F406:H406"/>
    <mergeCell ref="Y172:AA172"/>
    <mergeCell ref="I250:L250"/>
    <mergeCell ref="AE336:AF336"/>
    <mergeCell ref="I408:L408"/>
    <mergeCell ref="I402:L402"/>
    <mergeCell ref="AB56:AD56"/>
    <mergeCell ref="AB214:AD214"/>
    <mergeCell ref="AB176:AD176"/>
    <mergeCell ref="AE31:AF31"/>
    <mergeCell ref="AJ259:AK260"/>
    <mergeCell ref="F243:H243"/>
    <mergeCell ref="Y46:AA46"/>
    <mergeCell ref="C201:C202"/>
    <mergeCell ref="AB57:AD57"/>
    <mergeCell ref="Y346:AA346"/>
    <mergeCell ref="F117:H117"/>
    <mergeCell ref="Y340:AA340"/>
    <mergeCell ref="AJ75:AK76"/>
    <mergeCell ref="AE64:AF64"/>
    <mergeCell ref="Y41:AA41"/>
    <mergeCell ref="AG274:AI274"/>
    <mergeCell ref="E267:E268"/>
    <mergeCell ref="I330:L330"/>
    <mergeCell ref="I305:L305"/>
    <mergeCell ref="AE364:AF364"/>
    <mergeCell ref="F112:H112"/>
    <mergeCell ref="AB198:AD198"/>
    <mergeCell ref="AJ287:AK288"/>
    <mergeCell ref="AB356:AD356"/>
    <mergeCell ref="Y74:AA74"/>
    <mergeCell ref="C229:C230"/>
    <mergeCell ref="AG27:AI27"/>
    <mergeCell ref="AB199:AD199"/>
    <mergeCell ref="Y374:AA374"/>
    <mergeCell ref="AE75:AF75"/>
    <mergeCell ref="Y25:AA25"/>
    <mergeCell ref="AG327:AI327"/>
    <mergeCell ref="E295:E296"/>
    <mergeCell ref="F13:H13"/>
    <mergeCell ref="E15:E16"/>
    <mergeCell ref="M31:N31"/>
    <mergeCell ref="B279:B280"/>
    <mergeCell ref="F313:H313"/>
    <mergeCell ref="E315:E316"/>
    <mergeCell ref="M331:N331"/>
    <mergeCell ref="B33:B34"/>
    <mergeCell ref="AB121:AD121"/>
    <mergeCell ref="O102:T102"/>
    <mergeCell ref="AG55:AI55"/>
    <mergeCell ref="AG38:AI38"/>
    <mergeCell ref="M26:N26"/>
    <mergeCell ref="X277:X278"/>
    <mergeCell ref="X391:X392"/>
    <mergeCell ref="U111:V112"/>
    <mergeCell ref="C283:C284"/>
    <mergeCell ref="E217:E218"/>
    <mergeCell ref="E43:E44"/>
    <mergeCell ref="AE129:AF129"/>
    <mergeCell ref="M173:N173"/>
    <mergeCell ref="W327:W328"/>
    <mergeCell ref="AG371:AI371"/>
    <mergeCell ref="B175:B176"/>
    <mergeCell ref="AG66:AI66"/>
    <mergeCell ref="M174:N174"/>
    <mergeCell ref="AG372:AI372"/>
    <mergeCell ref="E359:E360"/>
    <mergeCell ref="M401:N401"/>
    <mergeCell ref="M395:N395"/>
    <mergeCell ref="O166:T166"/>
    <mergeCell ref="M96:N96"/>
    <mergeCell ref="D295:D296"/>
    <mergeCell ref="A169:A170"/>
    <mergeCell ref="A283:A284"/>
    <mergeCell ref="X125:X126"/>
    <mergeCell ref="O167:T167"/>
    <mergeCell ref="D163:D164"/>
    <mergeCell ref="D321:D322"/>
    <mergeCell ref="W277:W278"/>
    <mergeCell ref="W391:W392"/>
    <mergeCell ref="F14:H14"/>
    <mergeCell ref="M124:N124"/>
    <mergeCell ref="I16:L16"/>
    <mergeCell ref="I147:L147"/>
    <mergeCell ref="M238:N238"/>
    <mergeCell ref="F314:H314"/>
    <mergeCell ref="D305:D306"/>
    <mergeCell ref="AB242:AD242"/>
    <mergeCell ref="Y85:AA85"/>
    <mergeCell ref="AB210:AD210"/>
    <mergeCell ref="AB237:AD237"/>
    <mergeCell ref="Y385:AA385"/>
    <mergeCell ref="F156:H156"/>
    <mergeCell ref="AE92:AF92"/>
    <mergeCell ref="Y80:AA80"/>
    <mergeCell ref="I158:L158"/>
    <mergeCell ref="I375:L375"/>
    <mergeCell ref="I369:L369"/>
    <mergeCell ref="AG39:AI39"/>
    <mergeCell ref="AJ9:AK10"/>
    <mergeCell ref="F151:H151"/>
    <mergeCell ref="A17:A18"/>
    <mergeCell ref="AE87:AF87"/>
    <mergeCell ref="C299:C300"/>
    <mergeCell ref="Y227:AA227"/>
    <mergeCell ref="AB290:AD290"/>
    <mergeCell ref="AB265:AD265"/>
    <mergeCell ref="C83:C84"/>
    <mergeCell ref="I211:L211"/>
    <mergeCell ref="F384:H384"/>
    <mergeCell ref="F79:H79"/>
    <mergeCell ref="AJ37:AK38"/>
    <mergeCell ref="B235:B236"/>
    <mergeCell ref="Y155:AA155"/>
    <mergeCell ref="X157:X158"/>
    <mergeCell ref="AB160:AD160"/>
    <mergeCell ref="AG83:AI83"/>
    <mergeCell ref="F226:H226"/>
    <mergeCell ref="AG235:AI235"/>
    <mergeCell ref="AE200:AF200"/>
    <mergeCell ref="Y150:AA150"/>
    <mergeCell ref="AJ395:AK396"/>
    <mergeCell ref="F63:H63"/>
    <mergeCell ref="E71:E72"/>
    <mergeCell ref="AE37:AF37"/>
    <mergeCell ref="F221:H221"/>
    <mergeCell ref="AE195:AF195"/>
    <mergeCell ref="AB334:AD334"/>
    <mergeCell ref="AG136:AI136"/>
    <mergeCell ref="AG111:AI111"/>
    <mergeCell ref="C33:C34"/>
    <mergeCell ref="AB329:AD329"/>
    <mergeCell ref="AE184:AF184"/>
    <mergeCell ref="Y178:AA178"/>
    <mergeCell ref="AE342:AF342"/>
    <mergeCell ref="C333:C334"/>
    <mergeCell ref="Y292:AA292"/>
    <mergeCell ref="U319:V320"/>
    <mergeCell ref="B299:B300"/>
    <mergeCell ref="M140:N140"/>
    <mergeCell ref="AE179:AF179"/>
    <mergeCell ref="U231:V232"/>
    <mergeCell ref="AB230:AD230"/>
    <mergeCell ref="M135:N135"/>
    <mergeCell ref="D365:D366"/>
    <mergeCell ref="U247:V248"/>
    <mergeCell ref="A349:A350"/>
    <mergeCell ref="O231:T231"/>
    <mergeCell ref="U215:V216"/>
    <mergeCell ref="U373:V374"/>
    <mergeCell ref="O133:T133"/>
    <mergeCell ref="O264:T264"/>
    <mergeCell ref="W131:W132"/>
    <mergeCell ref="AG175:AI175"/>
    <mergeCell ref="X397:X398"/>
    <mergeCell ref="M277:N277"/>
    <mergeCell ref="D71:D72"/>
    <mergeCell ref="A377:A378"/>
    <mergeCell ref="U389:V390"/>
    <mergeCell ref="AG176:AI176"/>
    <mergeCell ref="E163:E164"/>
    <mergeCell ref="AB281:AD281"/>
    <mergeCell ref="M179:N179"/>
    <mergeCell ref="O275:T275"/>
    <mergeCell ref="AJ211:AK212"/>
    <mergeCell ref="A61:A62"/>
    <mergeCell ref="O276:T276"/>
    <mergeCell ref="C65:C66"/>
    <mergeCell ref="A273:A274"/>
    <mergeCell ref="C365:C366"/>
    <mergeCell ref="Y293:AA293"/>
    <mergeCell ref="O303:T303"/>
    <mergeCell ref="W195:W196"/>
    <mergeCell ref="I125:L125"/>
    <mergeCell ref="AE211:AF211"/>
    <mergeCell ref="I283:L283"/>
    <mergeCell ref="F118:H118"/>
    <mergeCell ref="C49:C50"/>
    <mergeCell ref="AE206:AF206"/>
    <mergeCell ref="AB46:AD46"/>
    <mergeCell ref="W397:W398"/>
    <mergeCell ref="AB346:AD346"/>
    <mergeCell ref="W223:W224"/>
    <mergeCell ref="AE239:AF239"/>
    <mergeCell ref="Y189:AA189"/>
    <mergeCell ref="I267:L267"/>
    <mergeCell ref="AE353:AF353"/>
    <mergeCell ref="F260:H260"/>
    <mergeCell ref="AE354:AF354"/>
    <mergeCell ref="AB74:AD74"/>
    <mergeCell ref="Y205:AA205"/>
    <mergeCell ref="Y363:AA363"/>
    <mergeCell ref="AG202:AI202"/>
    <mergeCell ref="AB399:AD399"/>
    <mergeCell ref="AB374:AD374"/>
    <mergeCell ref="Y58:AA58"/>
    <mergeCell ref="E195:E196"/>
    <mergeCell ref="F320:H320"/>
    <mergeCell ref="AG291:AI291"/>
    <mergeCell ref="AE250:AF250"/>
    <mergeCell ref="X119:X120"/>
    <mergeCell ref="Y358:AA358"/>
    <mergeCell ref="F188:H188"/>
    <mergeCell ref="AE276:AF276"/>
    <mergeCell ref="B39:B40"/>
    <mergeCell ref="B339:B340"/>
    <mergeCell ref="AB296:AD296"/>
    <mergeCell ref="AG344:AI344"/>
    <mergeCell ref="Y259:AA259"/>
    <mergeCell ref="Y253:AA253"/>
    <mergeCell ref="X261:X262"/>
    <mergeCell ref="B355:B356"/>
    <mergeCell ref="AE304:AF304"/>
    <mergeCell ref="U287:V288"/>
    <mergeCell ref="U281:V282"/>
    <mergeCell ref="M348:N348"/>
    <mergeCell ref="U401:V402"/>
    <mergeCell ref="D115:D116"/>
    <mergeCell ref="M43:N43"/>
    <mergeCell ref="AG241:AI241"/>
    <mergeCell ref="A105:A106"/>
    <mergeCell ref="Y281:AA281"/>
    <mergeCell ref="X289:X290"/>
    <mergeCell ref="U129:V130"/>
    <mergeCell ref="U123:V124"/>
    <mergeCell ref="E229:E230"/>
    <mergeCell ref="A311:A312"/>
    <mergeCell ref="B103:B104"/>
    <mergeCell ref="O14:T14"/>
    <mergeCell ref="M33:N33"/>
    <mergeCell ref="X305:X306"/>
    <mergeCell ref="B403:B404"/>
    <mergeCell ref="O314:T314"/>
    <mergeCell ref="M244:N244"/>
    <mergeCell ref="A127:A128"/>
    <mergeCell ref="O15:T15"/>
    <mergeCell ref="I294:L294"/>
    <mergeCell ref="D169:D170"/>
    <mergeCell ref="A339:A340"/>
    <mergeCell ref="U351:V352"/>
    <mergeCell ref="O25:T25"/>
    <mergeCell ref="O183:T183"/>
    <mergeCell ref="W109:W110"/>
    <mergeCell ref="W261:W262"/>
    <mergeCell ref="M255:N255"/>
    <mergeCell ref="O237:T237"/>
    <mergeCell ref="AJ173:AK174"/>
    <mergeCell ref="A23:A24"/>
    <mergeCell ref="A181:A182"/>
    <mergeCell ref="AB85:AD85"/>
    <mergeCell ref="I33:L33"/>
    <mergeCell ref="F331:H331"/>
    <mergeCell ref="W251:W252"/>
    <mergeCell ref="W289:W290"/>
    <mergeCell ref="F32:H32"/>
    <mergeCell ref="AJ15:AK16"/>
    <mergeCell ref="I333:L333"/>
    <mergeCell ref="F26:H26"/>
    <mergeCell ref="D233:D234"/>
    <mergeCell ref="AE93:AF93"/>
    <mergeCell ref="AJ315:AK316"/>
    <mergeCell ref="AG30:AI30"/>
    <mergeCell ref="Y402:AA402"/>
    <mergeCell ref="C169:C170"/>
    <mergeCell ref="AJ217:AK218"/>
    <mergeCell ref="Y97:AA97"/>
    <mergeCell ref="I175:L175"/>
    <mergeCell ref="W279:W280"/>
    <mergeCell ref="I392:L392"/>
    <mergeCell ref="AJ43:AK44"/>
    <mergeCell ref="I386:L386"/>
    <mergeCell ref="F16:H16"/>
    <mergeCell ref="AE15:AF15"/>
    <mergeCell ref="AE104:AF104"/>
    <mergeCell ref="F368:H368"/>
    <mergeCell ref="I229:L229"/>
    <mergeCell ref="AE315:AF315"/>
    <mergeCell ref="I387:L387"/>
    <mergeCell ref="Y113:AA113"/>
    <mergeCell ref="AB193:AD193"/>
    <mergeCell ref="AB155:AD155"/>
    <mergeCell ref="AB149:AD149"/>
    <mergeCell ref="B219:B220"/>
    <mergeCell ref="F70:H70"/>
    <mergeCell ref="AG258:AI258"/>
    <mergeCell ref="C311:C312"/>
    <mergeCell ref="F401:H401"/>
    <mergeCell ref="Y325:AA325"/>
    <mergeCell ref="F96:H96"/>
    <mergeCell ref="E77:E78"/>
    <mergeCell ref="F396:H396"/>
    <mergeCell ref="B89:B90"/>
    <mergeCell ref="AB183:AD183"/>
    <mergeCell ref="AB177:AD177"/>
    <mergeCell ref="AG100:AI100"/>
    <mergeCell ref="AG94:AI94"/>
    <mergeCell ref="U135:V136"/>
    <mergeCell ref="Y9:AA9"/>
    <mergeCell ref="AG311:AI311"/>
    <mergeCell ref="Y167:AA167"/>
    <mergeCell ref="X17:X18"/>
    <mergeCell ref="X11:X12"/>
    <mergeCell ref="AG400:AI400"/>
    <mergeCell ref="AB178:AD178"/>
    <mergeCell ref="AE359:AF359"/>
    <mergeCell ref="AG95:AI95"/>
    <mergeCell ref="F238:H238"/>
    <mergeCell ref="AE54:AF54"/>
    <mergeCell ref="B263:B264"/>
    <mergeCell ref="U37:V38"/>
    <mergeCell ref="U195:V196"/>
    <mergeCell ref="E299:E300"/>
    <mergeCell ref="AG395:AI395"/>
    <mergeCell ref="O80:T80"/>
    <mergeCell ref="M10:N10"/>
    <mergeCell ref="M99:N99"/>
    <mergeCell ref="AG322:AI322"/>
    <mergeCell ref="M310:N310"/>
    <mergeCell ref="X45:X46"/>
    <mergeCell ref="O81:T81"/>
    <mergeCell ref="O37:T37"/>
    <mergeCell ref="D235:D236"/>
    <mergeCell ref="O406:T406"/>
    <mergeCell ref="U179:V180"/>
    <mergeCell ref="B159:B160"/>
    <mergeCell ref="B153:B154"/>
    <mergeCell ref="U91:V92"/>
    <mergeCell ref="O222:T222"/>
    <mergeCell ref="M152:N152"/>
    <mergeCell ref="I44:L44"/>
    <mergeCell ref="D77:D78"/>
    <mergeCell ref="AG45:AI45"/>
    <mergeCell ref="X267:X268"/>
    <mergeCell ref="D377:D378"/>
    <mergeCell ref="A89:A90"/>
    <mergeCell ref="U7:V7"/>
    <mergeCell ref="O150:T150"/>
    <mergeCell ref="W17:W18"/>
    <mergeCell ref="AG192:AI192"/>
    <mergeCell ref="M163:N163"/>
    <mergeCell ref="D393:D394"/>
    <mergeCell ref="U8:V8"/>
    <mergeCell ref="M380:N380"/>
    <mergeCell ref="W317:W318"/>
    <mergeCell ref="X109:X110"/>
    <mergeCell ref="O145:T145"/>
    <mergeCell ref="D299:D300"/>
    <mergeCell ref="I98:L98"/>
    <mergeCell ref="X409:X410"/>
    <mergeCell ref="I398:L398"/>
    <mergeCell ref="O134:T134"/>
    <mergeCell ref="O292:T292"/>
    <mergeCell ref="F107:H107"/>
    <mergeCell ref="F82:H82"/>
    <mergeCell ref="O287:T287"/>
    <mergeCell ref="I126:L126"/>
    <mergeCell ref="AE170:AF170"/>
    <mergeCell ref="A159:A160"/>
    <mergeCell ref="F407:H407"/>
    <mergeCell ref="AB194:AD194"/>
    <mergeCell ref="C77:C78"/>
    <mergeCell ref="Y64:AA64"/>
    <mergeCell ref="I142:L142"/>
    <mergeCell ref="C377:C378"/>
    <mergeCell ref="AB189:AD189"/>
    <mergeCell ref="Y364:AA364"/>
    <mergeCell ref="F135:H135"/>
    <mergeCell ref="E143:E144"/>
    <mergeCell ref="AE71:AF71"/>
    <mergeCell ref="I137:L137"/>
    <mergeCell ref="AE223:AF223"/>
    <mergeCell ref="AB362:AD362"/>
    <mergeCell ref="A301:A302"/>
    <mergeCell ref="AB249:AD249"/>
    <mergeCell ref="AB243:AD243"/>
    <mergeCell ref="AB205:AD205"/>
    <mergeCell ref="C67:C68"/>
    <mergeCell ref="C61:C62"/>
    <mergeCell ref="AB363:AD363"/>
    <mergeCell ref="I195:L195"/>
    <mergeCell ref="Y75:AA75"/>
    <mergeCell ref="Y206:AA206"/>
    <mergeCell ref="W409:W410"/>
    <mergeCell ref="F146:H146"/>
    <mergeCell ref="AE124:AF124"/>
    <mergeCell ref="E127:E128"/>
    <mergeCell ref="F277:H277"/>
    <mergeCell ref="I190:L190"/>
    <mergeCell ref="E39:E40"/>
    <mergeCell ref="AG61:AI61"/>
    <mergeCell ref="AG219:AI219"/>
    <mergeCell ref="AE267:AF267"/>
    <mergeCell ref="Y217:AA217"/>
    <mergeCell ref="AG62:AI62"/>
    <mergeCell ref="AG214:AI214"/>
    <mergeCell ref="E49:E50"/>
    <mergeCell ref="E207:E208"/>
    <mergeCell ref="F288:H288"/>
    <mergeCell ref="AB313:AD313"/>
    <mergeCell ref="AG203:AI203"/>
    <mergeCell ref="AG361:AI361"/>
    <mergeCell ref="U271:V272"/>
    <mergeCell ref="Y276:AA276"/>
    <mergeCell ref="O156:T156"/>
    <mergeCell ref="AG198:AI198"/>
    <mergeCell ref="X121:X122"/>
    <mergeCell ref="B67:B68"/>
    <mergeCell ref="E103:E104"/>
    <mergeCell ref="O189:T189"/>
    <mergeCell ref="B367:B368"/>
    <mergeCell ref="D127:D128"/>
    <mergeCell ref="X175:X176"/>
    <mergeCell ref="D39:D40"/>
    <mergeCell ref="M130:N130"/>
    <mergeCell ref="M261:N261"/>
    <mergeCell ref="O32:T32"/>
    <mergeCell ref="O26:T26"/>
    <mergeCell ref="I311:L311"/>
    <mergeCell ref="O201:T201"/>
    <mergeCell ref="D355:D356"/>
    <mergeCell ref="D181:D182"/>
    <mergeCell ref="A13:A14"/>
    <mergeCell ref="AB260:AD260"/>
    <mergeCell ref="M272:N272"/>
    <mergeCell ref="O254:T254"/>
    <mergeCell ref="A67:A68"/>
    <mergeCell ref="AB102:AD102"/>
    <mergeCell ref="A367:A368"/>
    <mergeCell ref="I50:L50"/>
    <mergeCell ref="C133:C134"/>
    <mergeCell ref="C127:C128"/>
    <mergeCell ref="AB402:AD402"/>
    <mergeCell ref="M300:N300"/>
    <mergeCell ref="I261:L261"/>
    <mergeCell ref="AB97:AD97"/>
    <mergeCell ref="I350:L350"/>
    <mergeCell ref="AG231:AI231"/>
    <mergeCell ref="AJ201:AK202"/>
    <mergeCell ref="AE190:AF190"/>
    <mergeCell ref="AE279:AF279"/>
    <mergeCell ref="AB330:AD330"/>
    <mergeCell ref="AG247:AI247"/>
    <mergeCell ref="F33:H33"/>
    <mergeCell ref="C29:C30"/>
    <mergeCell ref="AE32:AF32"/>
    <mergeCell ref="F244:H244"/>
    <mergeCell ref="AJ229:AK230"/>
    <mergeCell ref="AE201:AF201"/>
    <mergeCell ref="Y168:AA168"/>
    <mergeCell ref="I246:L246"/>
    <mergeCell ref="AE332:AF332"/>
    <mergeCell ref="U315:V316"/>
    <mergeCell ref="AB52:AD52"/>
    <mergeCell ref="E89:E90"/>
    <mergeCell ref="F239:H239"/>
    <mergeCell ref="AB352:AD352"/>
    <mergeCell ref="AG275:AI275"/>
    <mergeCell ref="AG269:AI269"/>
    <mergeCell ref="Y184:AA184"/>
    <mergeCell ref="AB167:AD167"/>
    <mergeCell ref="Y342:AA342"/>
    <mergeCell ref="AE60:AF60"/>
    <mergeCell ref="AG181:AI181"/>
    <mergeCell ref="AB353:AD353"/>
    <mergeCell ref="AG270:AI270"/>
    <mergeCell ref="F255:H255"/>
    <mergeCell ref="E263:E264"/>
    <mergeCell ref="AE343:AF343"/>
    <mergeCell ref="AJ283:AK284"/>
    <mergeCell ref="AG328:AI328"/>
    <mergeCell ref="O43:T43"/>
    <mergeCell ref="D197:D198"/>
    <mergeCell ref="X245:X246"/>
    <mergeCell ref="Y326:AA326"/>
    <mergeCell ref="AG165:AI165"/>
    <mergeCell ref="AG323:AI323"/>
    <mergeCell ref="Y238:AA238"/>
    <mergeCell ref="M27:N27"/>
    <mergeCell ref="E159:E160"/>
    <mergeCell ref="M327:N327"/>
    <mergeCell ref="X387:X388"/>
    <mergeCell ref="U107:V108"/>
    <mergeCell ref="U407:V408"/>
    <mergeCell ref="M11:N11"/>
    <mergeCell ref="M169:N169"/>
    <mergeCell ref="W165:W166"/>
    <mergeCell ref="W323:W324"/>
    <mergeCell ref="AG367:AI367"/>
    <mergeCell ref="B171:B172"/>
    <mergeCell ref="O82:T82"/>
    <mergeCell ref="F60:H60"/>
    <mergeCell ref="M12:N12"/>
    <mergeCell ref="O293:T293"/>
    <mergeCell ref="I273:L273"/>
    <mergeCell ref="O9:T9"/>
    <mergeCell ref="C197:C198"/>
    <mergeCell ref="W245:W246"/>
    <mergeCell ref="O162:T162"/>
    <mergeCell ref="AE18:AF18"/>
    <mergeCell ref="AB69:AD69"/>
    <mergeCell ref="Y53:AA53"/>
    <mergeCell ref="AG286:AI286"/>
    <mergeCell ref="W229:W230"/>
    <mergeCell ref="AB64:AD64"/>
    <mergeCell ref="W387:W388"/>
    <mergeCell ref="I317:L317"/>
    <mergeCell ref="F10:H10"/>
    <mergeCell ref="Y353:AA353"/>
    <mergeCell ref="F124:H124"/>
    <mergeCell ref="I12:L12"/>
    <mergeCell ref="I143:L143"/>
    <mergeCell ref="O363:T363"/>
    <mergeCell ref="AJ299:AK300"/>
    <mergeCell ref="F310:H310"/>
    <mergeCell ref="AG281:AI281"/>
    <mergeCell ref="I312:L312"/>
    <mergeCell ref="AE72:AF72"/>
    <mergeCell ref="AB238:AD238"/>
    <mergeCell ref="Y81:AA81"/>
    <mergeCell ref="AB233:AD233"/>
    <mergeCell ref="Y381:AA381"/>
    <mergeCell ref="F152:H152"/>
    <mergeCell ref="AE88:AF88"/>
    <mergeCell ref="AE82:AF82"/>
    <mergeCell ref="Y76:AA76"/>
    <mergeCell ref="I154:L154"/>
    <mergeCell ref="AE240:AF240"/>
    <mergeCell ref="U223:V224"/>
    <mergeCell ref="I365:L365"/>
    <mergeCell ref="B197:B198"/>
    <mergeCell ref="AE83:AF83"/>
    <mergeCell ref="AG25:AI25"/>
    <mergeCell ref="Y92:AA92"/>
    <mergeCell ref="Y223:AA223"/>
    <mergeCell ref="E55:E56"/>
    <mergeCell ref="AB217:AD217"/>
    <mergeCell ref="F163:H163"/>
    <mergeCell ref="F380:H380"/>
    <mergeCell ref="AG351:AI351"/>
    <mergeCell ref="AJ33:AK34"/>
    <mergeCell ref="B187:B188"/>
    <mergeCell ref="AG78:AI78"/>
    <mergeCell ref="AB250:AD250"/>
    <mergeCell ref="U119:V120"/>
    <mergeCell ref="E225:E226"/>
    <mergeCell ref="AG378:AI378"/>
    <mergeCell ref="AG79:AI79"/>
    <mergeCell ref="AG73:AI73"/>
    <mergeCell ref="X295:X296"/>
    <mergeCell ref="AG379:AI379"/>
    <mergeCell ref="F59:H59"/>
    <mergeCell ref="E67:E68"/>
    <mergeCell ref="B215:B216"/>
    <mergeCell ref="M83:N83"/>
    <mergeCell ref="U147:V148"/>
    <mergeCell ref="E367:E368"/>
    <mergeCell ref="X23:X24"/>
    <mergeCell ref="X137:X138"/>
    <mergeCell ref="O173:T173"/>
    <mergeCell ref="M78:N78"/>
    <mergeCell ref="AE180:AF180"/>
    <mergeCell ref="W257:W258"/>
    <mergeCell ref="AG301:AI301"/>
    <mergeCell ref="O60:T60"/>
    <mergeCell ref="H2:I2"/>
    <mergeCell ref="X349:X350"/>
    <mergeCell ref="M136:N136"/>
    <mergeCell ref="W73:W74"/>
    <mergeCell ref="U183:V184"/>
    <mergeCell ref="M225:N225"/>
    <mergeCell ref="O207:T207"/>
    <mergeCell ref="M131:N131"/>
    <mergeCell ref="D361:D362"/>
    <mergeCell ref="I23:L23"/>
    <mergeCell ref="W285:W286"/>
    <mergeCell ref="A187:A188"/>
    <mergeCell ref="O44:T44"/>
    <mergeCell ref="AE110:AF110"/>
    <mergeCell ref="O217:T217"/>
    <mergeCell ref="M278:N278"/>
    <mergeCell ref="W301:W302"/>
    <mergeCell ref="W295:W296"/>
    <mergeCell ref="O129:T129"/>
    <mergeCell ref="AG171:AI171"/>
    <mergeCell ref="A29:A30"/>
    <mergeCell ref="AE99:AF99"/>
    <mergeCell ref="W269:W270"/>
    <mergeCell ref="D67:D68"/>
    <mergeCell ref="A215:A216"/>
    <mergeCell ref="A329:A330"/>
    <mergeCell ref="AB277:AD277"/>
    <mergeCell ref="O113:T113"/>
    <mergeCell ref="F66:H66"/>
    <mergeCell ref="AJ49:AK50"/>
    <mergeCell ref="O271:T271"/>
    <mergeCell ref="AJ207:AK208"/>
    <mergeCell ref="F180:H180"/>
    <mergeCell ref="F61:H61"/>
    <mergeCell ref="AB288:AD288"/>
    <mergeCell ref="C361:C362"/>
    <mergeCell ref="X139:X140"/>
    <mergeCell ref="AB173:AD173"/>
    <mergeCell ref="AG90:AI90"/>
    <mergeCell ref="F233:H233"/>
    <mergeCell ref="F208:H208"/>
    <mergeCell ref="I121:L121"/>
    <mergeCell ref="AE207:AF207"/>
    <mergeCell ref="Y157:AA157"/>
    <mergeCell ref="F114:H114"/>
    <mergeCell ref="AE50:AF50"/>
    <mergeCell ref="F228:H228"/>
    <mergeCell ref="B253:B254"/>
    <mergeCell ref="C45:C46"/>
    <mergeCell ref="AB347:AD347"/>
    <mergeCell ref="AE202:AF202"/>
    <mergeCell ref="AB341:AD341"/>
    <mergeCell ref="U185:V186"/>
    <mergeCell ref="Y190:AA190"/>
    <mergeCell ref="C345:C346"/>
    <mergeCell ref="AB184:AD184"/>
    <mergeCell ref="AG118:AI118"/>
    <mergeCell ref="Y359:AA359"/>
    <mergeCell ref="F130:H130"/>
    <mergeCell ref="AB342:AD342"/>
    <mergeCell ref="F261:H261"/>
    <mergeCell ref="Y185:AA185"/>
    <mergeCell ref="AE349:AF349"/>
    <mergeCell ref="X193:X194"/>
    <mergeCell ref="B95:B96"/>
    <mergeCell ref="U27:V28"/>
    <mergeCell ref="F256:H256"/>
    <mergeCell ref="B281:B282"/>
    <mergeCell ref="AB369:AD369"/>
    <mergeCell ref="B395:B396"/>
    <mergeCell ref="U327:V328"/>
    <mergeCell ref="Y201:AA201"/>
    <mergeCell ref="X209:X210"/>
    <mergeCell ref="X203:X204"/>
    <mergeCell ref="F272:H272"/>
    <mergeCell ref="AE246:AF246"/>
    <mergeCell ref="A331:A332"/>
    <mergeCell ref="U249:V250"/>
    <mergeCell ref="D83:D84"/>
    <mergeCell ref="O115:T115"/>
    <mergeCell ref="Y343:AA343"/>
    <mergeCell ref="AG188:AI188"/>
    <mergeCell ref="O229:T229"/>
    <mergeCell ref="AG182:AI182"/>
    <mergeCell ref="AG209:AI209"/>
    <mergeCell ref="Y38:AA38"/>
    <mergeCell ref="D383:D384"/>
    <mergeCell ref="J2:K2"/>
    <mergeCell ref="X99:X100"/>
    <mergeCell ref="X257:X258"/>
    <mergeCell ref="AG183:AI183"/>
    <mergeCell ref="B351:B352"/>
    <mergeCell ref="B345:B346"/>
    <mergeCell ref="U277:V278"/>
    <mergeCell ref="M344:N344"/>
    <mergeCell ref="D111:D112"/>
    <mergeCell ref="W35:W36"/>
    <mergeCell ref="O282:T282"/>
    <mergeCell ref="M212:N212"/>
    <mergeCell ref="A95:A96"/>
    <mergeCell ref="AE165:AF165"/>
    <mergeCell ref="A401:A402"/>
    <mergeCell ref="A395:A396"/>
    <mergeCell ref="M28:N28"/>
    <mergeCell ref="O10:T10"/>
    <mergeCell ref="M355:N355"/>
    <mergeCell ref="X301:X302"/>
    <mergeCell ref="O179:T179"/>
    <mergeCell ref="B399:B400"/>
    <mergeCell ref="O310:T310"/>
    <mergeCell ref="M240:N240"/>
    <mergeCell ref="W177:W178"/>
    <mergeCell ref="I290:L290"/>
    <mergeCell ref="U347:V348"/>
    <mergeCell ref="AB53:AD53"/>
    <mergeCell ref="AB239:AD239"/>
    <mergeCell ref="C57:C58"/>
    <mergeCell ref="W105:W106"/>
    <mergeCell ref="F299:H299"/>
    <mergeCell ref="M251:N251"/>
    <mergeCell ref="I301:L301"/>
    <mergeCell ref="W405:W406"/>
    <mergeCell ref="AB80:AD80"/>
    <mergeCell ref="AJ169:AK170"/>
    <mergeCell ref="I186:L186"/>
    <mergeCell ref="C111:C112"/>
    <mergeCell ref="A319:A320"/>
    <mergeCell ref="AB81:AD81"/>
    <mergeCell ref="I29:L29"/>
    <mergeCell ref="C85:C86"/>
    <mergeCell ref="AB381:AD381"/>
    <mergeCell ref="F327:H327"/>
    <mergeCell ref="E177:E178"/>
    <mergeCell ref="W247:W248"/>
    <mergeCell ref="AE263:AF263"/>
    <mergeCell ref="I329:L329"/>
    <mergeCell ref="AJ311:AK312"/>
    <mergeCell ref="E197:E198"/>
    <mergeCell ref="AE258:AF258"/>
    <mergeCell ref="AB397:AD397"/>
    <mergeCell ref="C253:C254"/>
    <mergeCell ref="AB92:AD92"/>
    <mergeCell ref="AG51:AI51"/>
    <mergeCell ref="F11:H11"/>
    <mergeCell ref="Y398:AA398"/>
    <mergeCell ref="AB309:AD309"/>
    <mergeCell ref="AG226:AI226"/>
    <mergeCell ref="AG220:AI220"/>
    <mergeCell ref="I224:L224"/>
    <mergeCell ref="AE316:AF316"/>
    <mergeCell ref="AE405:AF405"/>
    <mergeCell ref="F4:G4"/>
    <mergeCell ref="AB150:AD150"/>
    <mergeCell ref="X243:X244"/>
    <mergeCell ref="M55:N55"/>
    <mergeCell ref="E231:E232"/>
    <mergeCell ref="AE153:AF153"/>
    <mergeCell ref="AE311:AF311"/>
    <mergeCell ref="AG253:AI253"/>
    <mergeCell ref="Y109:AA109"/>
    <mergeCell ref="B57:B58"/>
    <mergeCell ref="Y409:AA409"/>
    <mergeCell ref="AG254:AI254"/>
    <mergeCell ref="AG248:AI248"/>
    <mergeCell ref="AJ355:AK356"/>
    <mergeCell ref="E241:E242"/>
    <mergeCell ref="E399:E400"/>
    <mergeCell ref="Y321:AA321"/>
    <mergeCell ref="X171:X172"/>
    <mergeCell ref="F234:H234"/>
    <mergeCell ref="F392:H392"/>
    <mergeCell ref="U305:V306"/>
    <mergeCell ref="B85:B86"/>
    <mergeCell ref="B199:B200"/>
    <mergeCell ref="AG96:AI96"/>
    <mergeCell ref="U131:V132"/>
    <mergeCell ref="O354:T354"/>
    <mergeCell ref="B385:B386"/>
    <mergeCell ref="O348:T348"/>
    <mergeCell ref="X13:X14"/>
    <mergeCell ref="AG396:AI396"/>
    <mergeCell ref="O22:T22"/>
    <mergeCell ref="AG390:AI390"/>
    <mergeCell ref="E383:E384"/>
    <mergeCell ref="Y305:AA305"/>
    <mergeCell ref="X313:X314"/>
    <mergeCell ref="X307:X308"/>
    <mergeCell ref="U33:V34"/>
    <mergeCell ref="M94:N94"/>
    <mergeCell ref="A135:A136"/>
    <mergeCell ref="U333:V334"/>
    <mergeCell ref="O76:T76"/>
    <mergeCell ref="O38:T38"/>
    <mergeCell ref="O382:T382"/>
    <mergeCell ref="AG318:AI318"/>
    <mergeCell ref="M306:N306"/>
    <mergeCell ref="O33:T33"/>
    <mergeCell ref="D231:D232"/>
    <mergeCell ref="D187:D188"/>
    <mergeCell ref="M295:N295"/>
    <mergeCell ref="M148:N148"/>
    <mergeCell ref="I40:L40"/>
    <mergeCell ref="C123:C124"/>
    <mergeCell ref="F39:H39"/>
    <mergeCell ref="I340:L340"/>
    <mergeCell ref="D215:D216"/>
    <mergeCell ref="A199:A200"/>
    <mergeCell ref="U397:V398"/>
    <mergeCell ref="W13:W14"/>
    <mergeCell ref="I68:L68"/>
    <mergeCell ref="D389:D390"/>
    <mergeCell ref="C151:C152"/>
    <mergeCell ref="C265:C266"/>
    <mergeCell ref="W313:W314"/>
    <mergeCell ref="I399:L399"/>
    <mergeCell ref="O141:T141"/>
    <mergeCell ref="AJ77:AK78"/>
    <mergeCell ref="F50:H50"/>
    <mergeCell ref="AE22:AF22"/>
    <mergeCell ref="F181:H181"/>
    <mergeCell ref="AJ377:AK378"/>
    <mergeCell ref="I394:L394"/>
    <mergeCell ref="Y32:AA32"/>
    <mergeCell ref="F408:H408"/>
    <mergeCell ref="Y332:AA332"/>
    <mergeCell ref="AJ67:AK68"/>
    <mergeCell ref="F103:H103"/>
    <mergeCell ref="AJ61:AK62"/>
    <mergeCell ref="I404:L404"/>
    <mergeCell ref="I122:L122"/>
    <mergeCell ref="AB305:AD305"/>
    <mergeCell ref="F403:H403"/>
    <mergeCell ref="E253:E254"/>
    <mergeCell ref="AB59:AD59"/>
    <mergeCell ref="AE51:AF51"/>
    <mergeCell ref="AB190:AD190"/>
    <mergeCell ref="AG107:AI107"/>
    <mergeCell ref="AE66:AF66"/>
    <mergeCell ref="Y60:AA60"/>
    <mergeCell ref="I138:L138"/>
    <mergeCell ref="AB359:AD359"/>
    <mergeCell ref="C215:C216"/>
    <mergeCell ref="Y174:AA174"/>
    <mergeCell ref="AG407:AI407"/>
    <mergeCell ref="AB185:AD185"/>
    <mergeCell ref="Y360:AA360"/>
    <mergeCell ref="F131:H131"/>
    <mergeCell ref="AE67:AF67"/>
    <mergeCell ref="AE61:AF61"/>
    <mergeCell ref="E281:E282"/>
    <mergeCell ref="AB201:AD201"/>
    <mergeCell ref="Y376:AA376"/>
    <mergeCell ref="B265:B266"/>
    <mergeCell ref="M106:N106"/>
    <mergeCell ref="Y71:AA71"/>
    <mergeCell ref="X77:X78"/>
    <mergeCell ref="Y202:AA202"/>
    <mergeCell ref="D31:D32"/>
    <mergeCell ref="E17:E18"/>
    <mergeCell ref="F142:H142"/>
    <mergeCell ref="X377:X378"/>
    <mergeCell ref="U103:V104"/>
    <mergeCell ref="B323:B324"/>
    <mergeCell ref="U97:V98"/>
    <mergeCell ref="O104:T104"/>
    <mergeCell ref="AG57:AI57"/>
    <mergeCell ref="AB229:AD229"/>
    <mergeCell ref="AG146:AI146"/>
    <mergeCell ref="A101:A102"/>
    <mergeCell ref="AG357:AI357"/>
    <mergeCell ref="Y213:AA213"/>
    <mergeCell ref="X63:X64"/>
    <mergeCell ref="AG58:AI58"/>
    <mergeCell ref="E45:E46"/>
    <mergeCell ref="W29:W30"/>
    <mergeCell ref="M61:N61"/>
    <mergeCell ref="AG358:AI358"/>
    <mergeCell ref="M175:N175"/>
    <mergeCell ref="E351:E352"/>
    <mergeCell ref="E345:E346"/>
    <mergeCell ref="W329:W330"/>
    <mergeCell ref="O157:T157"/>
    <mergeCell ref="O132:T132"/>
    <mergeCell ref="M56:N56"/>
    <mergeCell ref="M176:N176"/>
    <mergeCell ref="A243:A244"/>
    <mergeCell ref="U255:V256"/>
    <mergeCell ref="D281:D282"/>
    <mergeCell ref="A113:A114"/>
    <mergeCell ref="M203:N203"/>
    <mergeCell ref="X117:X118"/>
    <mergeCell ref="O185:T185"/>
    <mergeCell ref="B205:B206"/>
    <mergeCell ref="O299:T299"/>
    <mergeCell ref="U137:V138"/>
    <mergeCell ref="M198:N198"/>
    <mergeCell ref="I254:L254"/>
    <mergeCell ref="W377:W378"/>
    <mergeCell ref="F89:H89"/>
    <mergeCell ref="A255:A256"/>
    <mergeCell ref="AB228:AD228"/>
    <mergeCell ref="O196:T196"/>
    <mergeCell ref="O327:T327"/>
    <mergeCell ref="W63:W64"/>
    <mergeCell ref="M257:N257"/>
    <mergeCell ref="I149:L149"/>
    <mergeCell ref="AE235:AF235"/>
    <mergeCell ref="A313:A314"/>
    <mergeCell ref="AJ133:AK134"/>
    <mergeCell ref="AJ127:AK128"/>
    <mergeCell ref="D351:D352"/>
    <mergeCell ref="AE78:AF78"/>
    <mergeCell ref="I144:L144"/>
    <mergeCell ref="I302:L302"/>
    <mergeCell ref="AB256:AD256"/>
    <mergeCell ref="F158:H158"/>
    <mergeCell ref="O338:T338"/>
    <mergeCell ref="F316:H316"/>
    <mergeCell ref="I177:L177"/>
    <mergeCell ref="Y82:AA82"/>
    <mergeCell ref="C401:C402"/>
    <mergeCell ref="E51:E52"/>
    <mergeCell ref="F159:H159"/>
    <mergeCell ref="F153:H153"/>
    <mergeCell ref="AE106:AF106"/>
    <mergeCell ref="AB272:AD272"/>
    <mergeCell ref="I172:L172"/>
    <mergeCell ref="A205:A206"/>
    <mergeCell ref="AB98:AD98"/>
    <mergeCell ref="Y229:AA229"/>
    <mergeCell ref="B335:B336"/>
    <mergeCell ref="AB267:AD267"/>
    <mergeCell ref="AB398:AD398"/>
    <mergeCell ref="AE274:AF274"/>
    <mergeCell ref="X143:X144"/>
    <mergeCell ref="AG69:AI69"/>
    <mergeCell ref="F212:H212"/>
    <mergeCell ref="F187:H187"/>
    <mergeCell ref="AE186:AF186"/>
    <mergeCell ref="AB325:AD325"/>
    <mergeCell ref="U283:V284"/>
    <mergeCell ref="B21:B22"/>
    <mergeCell ref="AB109:AD109"/>
    <mergeCell ref="AB320:AD320"/>
    <mergeCell ref="AG237:AI237"/>
    <mergeCell ref="AB409:AD409"/>
    <mergeCell ref="E205:E206"/>
    <mergeCell ref="X127:X128"/>
    <mergeCell ref="B379:B380"/>
    <mergeCell ref="U153:V154"/>
    <mergeCell ref="AE328:AF328"/>
    <mergeCell ref="U311:V312"/>
    <mergeCell ref="X187:X188"/>
    <mergeCell ref="E85:E86"/>
    <mergeCell ref="B285:B286"/>
    <mergeCell ref="AG113:AI113"/>
    <mergeCell ref="AG271:AI271"/>
    <mergeCell ref="AG265:AI265"/>
    <mergeCell ref="D51:D52"/>
    <mergeCell ref="Y180:AA180"/>
    <mergeCell ref="AG108:AI108"/>
    <mergeCell ref="F251:H251"/>
    <mergeCell ref="U233:V234"/>
    <mergeCell ref="A335:A336"/>
    <mergeCell ref="O213:T213"/>
    <mergeCell ref="O365:T365"/>
    <mergeCell ref="M268:N268"/>
    <mergeCell ref="A151:A152"/>
    <mergeCell ref="D193:D194"/>
    <mergeCell ref="Y322:AA322"/>
    <mergeCell ref="O208:T208"/>
    <mergeCell ref="AG161:AI161"/>
    <mergeCell ref="O366:T366"/>
    <mergeCell ref="X383:X384"/>
    <mergeCell ref="U375:V376"/>
    <mergeCell ref="W133:W134"/>
    <mergeCell ref="W127:W128"/>
    <mergeCell ref="O355:T355"/>
    <mergeCell ref="A79:A80"/>
    <mergeCell ref="M323:N323"/>
    <mergeCell ref="M279:N279"/>
    <mergeCell ref="A379:A380"/>
    <mergeCell ref="O261:T261"/>
    <mergeCell ref="AJ197:AK198"/>
    <mergeCell ref="C139:C140"/>
    <mergeCell ref="U403:V404"/>
    <mergeCell ref="M13:N13"/>
    <mergeCell ref="M7:N7"/>
    <mergeCell ref="C51:C52"/>
    <mergeCell ref="I57:L57"/>
    <mergeCell ref="W161:W162"/>
    <mergeCell ref="A63:A64"/>
    <mergeCell ref="M307:N307"/>
    <mergeCell ref="I268:L268"/>
    <mergeCell ref="I243:L243"/>
    <mergeCell ref="I357:L357"/>
    <mergeCell ref="A407:A408"/>
    <mergeCell ref="AE172:AF172"/>
    <mergeCell ref="AE286:AF286"/>
    <mergeCell ref="O305:T305"/>
    <mergeCell ref="C193:C194"/>
    <mergeCell ref="F67:H67"/>
    <mergeCell ref="AE39:AF39"/>
    <mergeCell ref="O300:T300"/>
    <mergeCell ref="F278:H278"/>
    <mergeCell ref="C209:C210"/>
    <mergeCell ref="AE339:AF339"/>
    <mergeCell ref="AB65:AD65"/>
    <mergeCell ref="AB365:AD365"/>
    <mergeCell ref="AG282:AI282"/>
    <mergeCell ref="W225:W226"/>
    <mergeCell ref="AB60:AD60"/>
    <mergeCell ref="AE241:AF241"/>
    <mergeCell ref="E269:E270"/>
    <mergeCell ref="AE355:AF355"/>
    <mergeCell ref="Y349:AA349"/>
    <mergeCell ref="X199:X200"/>
    <mergeCell ref="I8:L8"/>
    <mergeCell ref="AB360:AD360"/>
    <mergeCell ref="AG277:AI277"/>
    <mergeCell ref="F262:H262"/>
    <mergeCell ref="AE236:AF236"/>
    <mergeCell ref="I308:L308"/>
    <mergeCell ref="Y77:AA77"/>
    <mergeCell ref="AB376:AD376"/>
    <mergeCell ref="AG335:AI335"/>
    <mergeCell ref="Y33:AA33"/>
    <mergeCell ref="AE383:AF383"/>
    <mergeCell ref="Y377:AA377"/>
    <mergeCell ref="X227:X228"/>
    <mergeCell ref="Y333:AA333"/>
    <mergeCell ref="AE84:AF84"/>
    <mergeCell ref="U61:V62"/>
    <mergeCell ref="E323:E324"/>
    <mergeCell ref="B41:B42"/>
    <mergeCell ref="AE384:AF384"/>
    <mergeCell ref="AE378:AF378"/>
    <mergeCell ref="AB129:AD129"/>
    <mergeCell ref="AG21:AI21"/>
    <mergeCell ref="Y393:AA393"/>
    <mergeCell ref="B341:B342"/>
    <mergeCell ref="U273:V274"/>
    <mergeCell ref="Y88:AA88"/>
    <mergeCell ref="AG346:AI346"/>
    <mergeCell ref="U387:V388"/>
    <mergeCell ref="D101:D102"/>
    <mergeCell ref="X263:X264"/>
    <mergeCell ref="Y388:AA388"/>
    <mergeCell ref="A91:A92"/>
    <mergeCell ref="AG347:AI347"/>
    <mergeCell ref="A85:A86"/>
    <mergeCell ref="U203:V204"/>
    <mergeCell ref="M350:N350"/>
    <mergeCell ref="B183:B184"/>
    <mergeCell ref="O121:T121"/>
    <mergeCell ref="M18:N18"/>
    <mergeCell ref="M45:N45"/>
    <mergeCell ref="AG374:AI374"/>
    <mergeCell ref="M345:N345"/>
    <mergeCell ref="O116:T116"/>
    <mergeCell ref="M19:N19"/>
    <mergeCell ref="X297:X298"/>
    <mergeCell ref="D243:D244"/>
    <mergeCell ref="X291:X292"/>
    <mergeCell ref="A119:A120"/>
    <mergeCell ref="M378:N378"/>
    <mergeCell ref="O174:T174"/>
    <mergeCell ref="M73:N73"/>
    <mergeCell ref="O17:T17"/>
    <mergeCell ref="X133:X134"/>
    <mergeCell ref="O11:T11"/>
    <mergeCell ref="O169:T169"/>
    <mergeCell ref="A261:A262"/>
    <mergeCell ref="M63:N63"/>
    <mergeCell ref="I24:L24"/>
    <mergeCell ref="C107:C108"/>
    <mergeCell ref="C101:C102"/>
    <mergeCell ref="Y35:AA35"/>
    <mergeCell ref="C221:C222"/>
    <mergeCell ref="I324:L324"/>
    <mergeCell ref="AE410:AF410"/>
    <mergeCell ref="F106:H106"/>
    <mergeCell ref="I19:L19"/>
    <mergeCell ref="A183:A184"/>
    <mergeCell ref="I319:L319"/>
    <mergeCell ref="AB245:AD245"/>
    <mergeCell ref="C249:C250"/>
    <mergeCell ref="W297:W298"/>
    <mergeCell ref="C243:C244"/>
    <mergeCell ref="F34:H34"/>
    <mergeCell ref="AE95:AF95"/>
    <mergeCell ref="AE89:AF89"/>
    <mergeCell ref="I161:L161"/>
    <mergeCell ref="AJ361:AK362"/>
    <mergeCell ref="A325:A326"/>
    <mergeCell ref="AB115:AD115"/>
    <mergeCell ref="AB273:AD273"/>
    <mergeCell ref="AE90:AF90"/>
    <mergeCell ref="Y404:AA404"/>
    <mergeCell ref="I63:L63"/>
    <mergeCell ref="Y105:AA105"/>
    <mergeCell ref="Y99:AA99"/>
    <mergeCell ref="O109:T109"/>
    <mergeCell ref="AJ45:AK46"/>
    <mergeCell ref="F56:H56"/>
    <mergeCell ref="F176:H176"/>
    <mergeCell ref="F170:H170"/>
    <mergeCell ref="AE123:AF123"/>
    <mergeCell ref="Y100:AA100"/>
    <mergeCell ref="F387:H387"/>
    <mergeCell ref="E237:E238"/>
    <mergeCell ref="AJ345:AK346"/>
    <mergeCell ref="I389:L389"/>
    <mergeCell ref="AB168:AD168"/>
    <mergeCell ref="C13:C14"/>
    <mergeCell ref="B221:B222"/>
    <mergeCell ref="AG85:AI85"/>
    <mergeCell ref="AB284:AD284"/>
    <mergeCell ref="Y133:AA133"/>
    <mergeCell ref="Y127:AA127"/>
    <mergeCell ref="I205:L205"/>
    <mergeCell ref="C313:C314"/>
    <mergeCell ref="AG385:AI385"/>
    <mergeCell ref="AG86:AI86"/>
    <mergeCell ref="AG80:AI80"/>
    <mergeCell ref="E79:E80"/>
    <mergeCell ref="E73:E74"/>
    <mergeCell ref="AE159:AF159"/>
    <mergeCell ref="AE134:AF134"/>
    <mergeCell ref="AG386:AI386"/>
    <mergeCell ref="E379:E380"/>
    <mergeCell ref="AB179:AD179"/>
    <mergeCell ref="C41:C42"/>
    <mergeCell ref="U23:V24"/>
    <mergeCell ref="B249:B250"/>
    <mergeCell ref="M90:N90"/>
    <mergeCell ref="U181:V182"/>
    <mergeCell ref="Y186:AA186"/>
    <mergeCell ref="D15:D16"/>
    <mergeCell ref="C341:C342"/>
    <mergeCell ref="O72:T72"/>
    <mergeCell ref="AB180:AD180"/>
    <mergeCell ref="AG114:AI114"/>
    <mergeCell ref="M85:N85"/>
    <mergeCell ref="F257:H257"/>
    <mergeCell ref="E101:E102"/>
    <mergeCell ref="X31:X32"/>
    <mergeCell ref="E407:E408"/>
    <mergeCell ref="B91:B92"/>
    <mergeCell ref="M143:N143"/>
    <mergeCell ref="M118:N118"/>
    <mergeCell ref="B391:B392"/>
    <mergeCell ref="U165:V166"/>
    <mergeCell ref="M232:N232"/>
    <mergeCell ref="I193:L193"/>
    <mergeCell ref="B145:B146"/>
    <mergeCell ref="O214:T214"/>
    <mergeCell ref="AG150:AI150"/>
    <mergeCell ref="O224:T224"/>
    <mergeCell ref="M154:N154"/>
    <mergeCell ref="J3:K3"/>
    <mergeCell ref="D79:D80"/>
    <mergeCell ref="O136:T136"/>
    <mergeCell ref="O225:T225"/>
    <mergeCell ref="AG178:AI178"/>
    <mergeCell ref="M155:N155"/>
    <mergeCell ref="D379:D380"/>
    <mergeCell ref="A11:A12"/>
    <mergeCell ref="X95:X96"/>
    <mergeCell ref="M182:N182"/>
    <mergeCell ref="AE160:AF160"/>
    <mergeCell ref="I232:L232"/>
    <mergeCell ref="D107:D108"/>
    <mergeCell ref="W31:W32"/>
    <mergeCell ref="O278:T278"/>
    <mergeCell ref="D407:D408"/>
    <mergeCell ref="AE161:AF161"/>
    <mergeCell ref="M297:N297"/>
    <mergeCell ref="I233:L233"/>
    <mergeCell ref="I227:L227"/>
    <mergeCell ref="A391:A392"/>
    <mergeCell ref="F68:H68"/>
    <mergeCell ref="C157:C158"/>
    <mergeCell ref="AB207:AD207"/>
    <mergeCell ref="F126:H126"/>
    <mergeCell ref="AJ117:AK118"/>
    <mergeCell ref="O175:T175"/>
    <mergeCell ref="F215:H215"/>
    <mergeCell ref="I128:L128"/>
    <mergeCell ref="AE214:AF214"/>
    <mergeCell ref="A75:A76"/>
    <mergeCell ref="AB23:AD23"/>
    <mergeCell ref="AB354:AD354"/>
    <mergeCell ref="AB348:AD348"/>
    <mergeCell ref="Y197:AA197"/>
    <mergeCell ref="C53:C54"/>
    <mergeCell ref="F137:H137"/>
    <mergeCell ref="AB349:AD349"/>
    <mergeCell ref="E145:E146"/>
    <mergeCell ref="AJ253:AK254"/>
    <mergeCell ref="AE225:AF225"/>
    <mergeCell ref="I297:L297"/>
    <mergeCell ref="AE356:AF356"/>
    <mergeCell ref="W401:W402"/>
    <mergeCell ref="U339:V340"/>
    <mergeCell ref="F138:H138"/>
    <mergeCell ref="C63:C64"/>
    <mergeCell ref="AB77:AD77"/>
    <mergeCell ref="Y208:AA208"/>
    <mergeCell ref="C407:C408"/>
    <mergeCell ref="Y366:AA366"/>
    <mergeCell ref="AB377:AD377"/>
    <mergeCell ref="AG294:AI294"/>
    <mergeCell ref="F279:H279"/>
    <mergeCell ref="AE259:AF259"/>
    <mergeCell ref="AE253:AF253"/>
    <mergeCell ref="E41:E42"/>
    <mergeCell ref="E193:E194"/>
    <mergeCell ref="F280:H280"/>
    <mergeCell ref="AG221:AI221"/>
    <mergeCell ref="AB393:AD393"/>
    <mergeCell ref="AB88:AD88"/>
    <mergeCell ref="Y236:AA236"/>
    <mergeCell ref="F7:H7"/>
    <mergeCell ref="C397:C398"/>
    <mergeCell ref="U289:V290"/>
    <mergeCell ref="M51:N51"/>
    <mergeCell ref="W47:W48"/>
    <mergeCell ref="AG249:AI249"/>
    <mergeCell ref="AG363:AI363"/>
    <mergeCell ref="B53:B54"/>
    <mergeCell ref="AG244:AI244"/>
    <mergeCell ref="X167:X168"/>
    <mergeCell ref="O349:T349"/>
    <mergeCell ref="M252:N252"/>
    <mergeCell ref="W189:W190"/>
    <mergeCell ref="AG391:AI391"/>
    <mergeCell ref="U301:V302"/>
    <mergeCell ref="M368:N368"/>
    <mergeCell ref="B195:B196"/>
    <mergeCell ref="O192:T192"/>
    <mergeCell ref="O344:T344"/>
    <mergeCell ref="AG234:AI234"/>
    <mergeCell ref="D41:D42"/>
    <mergeCell ref="Y301:AA301"/>
    <mergeCell ref="B397:B398"/>
    <mergeCell ref="O333:T333"/>
    <mergeCell ref="M263:N263"/>
    <mergeCell ref="O34:T34"/>
    <mergeCell ref="O28:T28"/>
    <mergeCell ref="A31:A32"/>
    <mergeCell ref="O334:T334"/>
    <mergeCell ref="F306:H306"/>
    <mergeCell ref="O29:T29"/>
    <mergeCell ref="D183:D184"/>
    <mergeCell ref="Y52:AA52"/>
    <mergeCell ref="W259:W260"/>
    <mergeCell ref="W253:W254"/>
    <mergeCell ref="I36:L36"/>
    <mergeCell ref="C119:C120"/>
    <mergeCell ref="AJ323:AK324"/>
    <mergeCell ref="M286:N286"/>
    <mergeCell ref="AE270:AF270"/>
    <mergeCell ref="I336:L336"/>
    <mergeCell ref="AB104:AD104"/>
    <mergeCell ref="AE265:AF265"/>
    <mergeCell ref="AB404:AD404"/>
    <mergeCell ref="U393:V394"/>
    <mergeCell ref="AB99:AD99"/>
    <mergeCell ref="F18:H18"/>
    <mergeCell ref="F45:H45"/>
    <mergeCell ref="F351:H351"/>
    <mergeCell ref="F345:H345"/>
    <mergeCell ref="AE323:AF323"/>
    <mergeCell ref="AE298:AF298"/>
    <mergeCell ref="AJ215:AK216"/>
    <mergeCell ref="AG260:AI260"/>
    <mergeCell ref="Y116:AA116"/>
    <mergeCell ref="AB152:AD152"/>
    <mergeCell ref="AB127:AD127"/>
    <mergeCell ref="AE34:AF34"/>
    <mergeCell ref="AE9:AF9"/>
    <mergeCell ref="AG261:AI261"/>
    <mergeCell ref="AE334:AF334"/>
    <mergeCell ref="Y328:AA328"/>
    <mergeCell ref="B97:B98"/>
    <mergeCell ref="U143:V144"/>
    <mergeCell ref="F399:H399"/>
    <mergeCell ref="E249:E250"/>
    <mergeCell ref="S5:V5"/>
    <mergeCell ref="X19:X20"/>
    <mergeCell ref="AG402:AI402"/>
    <mergeCell ref="O55:T55"/>
    <mergeCell ref="AG103:AI103"/>
    <mergeCell ref="X325:X326"/>
    <mergeCell ref="AE62:AF62"/>
    <mergeCell ref="X319:X320"/>
    <mergeCell ref="AB355:AD355"/>
    <mergeCell ref="Y12:AA12"/>
    <mergeCell ref="AG272:AI272"/>
    <mergeCell ref="A147:A148"/>
    <mergeCell ref="AG403:AI403"/>
    <mergeCell ref="AE362:AF362"/>
    <mergeCell ref="X231:X232"/>
    <mergeCell ref="U345:V346"/>
    <mergeCell ref="Y312:AA312"/>
    <mergeCell ref="E91:E92"/>
    <mergeCell ref="AE57:AF57"/>
    <mergeCell ref="M101:N101"/>
    <mergeCell ref="AE363:AF363"/>
    <mergeCell ref="O45:T45"/>
    <mergeCell ref="Y372:AA372"/>
    <mergeCell ref="Y67:AA67"/>
    <mergeCell ref="AG325:AI325"/>
    <mergeCell ref="AG300:AI300"/>
    <mergeCell ref="B167:B168"/>
    <mergeCell ref="X217:X218"/>
    <mergeCell ref="B161:B162"/>
    <mergeCell ref="U93:V94"/>
    <mergeCell ref="O73:T73"/>
    <mergeCell ref="O100:T100"/>
    <mergeCell ref="D227:D228"/>
    <mergeCell ref="I47:L47"/>
    <mergeCell ref="X389:X390"/>
    <mergeCell ref="D343:D344"/>
    <mergeCell ref="W151:W152"/>
    <mergeCell ref="A97:A98"/>
    <mergeCell ref="O400:T400"/>
    <mergeCell ref="A211:A212"/>
    <mergeCell ref="O68:T68"/>
    <mergeCell ref="U409:V410"/>
    <mergeCell ref="M171:N171"/>
    <mergeCell ref="E347:E348"/>
    <mergeCell ref="E341:E342"/>
    <mergeCell ref="W325:W326"/>
    <mergeCell ref="F62:H62"/>
    <mergeCell ref="O295:T295"/>
    <mergeCell ref="D91:D92"/>
    <mergeCell ref="A239:A240"/>
    <mergeCell ref="D391:D392"/>
    <mergeCell ref="W9:W10"/>
    <mergeCell ref="A109:A110"/>
    <mergeCell ref="W353:W354"/>
    <mergeCell ref="AJ73:AK74"/>
    <mergeCell ref="I117:L117"/>
    <mergeCell ref="I92:L92"/>
    <mergeCell ref="W221:W222"/>
    <mergeCell ref="AE178:AF178"/>
    <mergeCell ref="W373:W374"/>
    <mergeCell ref="L2:M2"/>
    <mergeCell ref="I303:L303"/>
    <mergeCell ref="F110:H110"/>
    <mergeCell ref="F85:H85"/>
    <mergeCell ref="AJ285:AK286"/>
    <mergeCell ref="L3:M3"/>
    <mergeCell ref="C227:C228"/>
    <mergeCell ref="C347:C348"/>
    <mergeCell ref="AE73:AF73"/>
    <mergeCell ref="I145:L145"/>
    <mergeCell ref="AE231:AF231"/>
    <mergeCell ref="A309:A310"/>
    <mergeCell ref="AE74:AF74"/>
    <mergeCell ref="AE68:AF68"/>
    <mergeCell ref="C69:C70"/>
    <mergeCell ref="B277:B278"/>
    <mergeCell ref="Y83:AA83"/>
    <mergeCell ref="C369:C370"/>
    <mergeCell ref="AB252:AD252"/>
    <mergeCell ref="AG11:AI11"/>
    <mergeCell ref="AB208:AD208"/>
    <mergeCell ref="Y383:AA383"/>
    <mergeCell ref="AG169:AI169"/>
    <mergeCell ref="F154:H154"/>
    <mergeCell ref="Y78:AA78"/>
    <mergeCell ref="E373:E374"/>
    <mergeCell ref="A5:L5"/>
    <mergeCell ref="F155:H155"/>
    <mergeCell ref="F149:H149"/>
    <mergeCell ref="C297:C298"/>
    <mergeCell ref="Y225:AA225"/>
    <mergeCell ref="X75:X76"/>
    <mergeCell ref="O111:T111"/>
    <mergeCell ref="AG64:AI64"/>
    <mergeCell ref="M41:N41"/>
    <mergeCell ref="AB236:AD236"/>
    <mergeCell ref="AB263:AD263"/>
    <mergeCell ref="E57:E58"/>
    <mergeCell ref="F182:H182"/>
    <mergeCell ref="AG153:AI153"/>
    <mergeCell ref="F296:H296"/>
    <mergeCell ref="Y106:AA106"/>
    <mergeCell ref="AG364:AI364"/>
    <mergeCell ref="Y226:AA226"/>
    <mergeCell ref="Y220:AA220"/>
    <mergeCell ref="E357:E358"/>
    <mergeCell ref="AG65:AI65"/>
    <mergeCell ref="X281:X282"/>
    <mergeCell ref="B233:B234"/>
    <mergeCell ref="AE138:AF138"/>
    <mergeCell ref="AE113:AF113"/>
    <mergeCell ref="B347:B348"/>
    <mergeCell ref="M68:N68"/>
    <mergeCell ref="M188:N188"/>
    <mergeCell ref="X155:X156"/>
    <mergeCell ref="O139:T139"/>
    <mergeCell ref="M69:N69"/>
    <mergeCell ref="D293:D294"/>
    <mergeCell ref="X123:X124"/>
    <mergeCell ref="B217:B218"/>
    <mergeCell ref="B375:B376"/>
    <mergeCell ref="U149:V150"/>
    <mergeCell ref="M210:N210"/>
    <mergeCell ref="X25:X26"/>
    <mergeCell ref="X183:X184"/>
    <mergeCell ref="M122:N122"/>
    <mergeCell ref="M211:N211"/>
    <mergeCell ref="O193:T193"/>
    <mergeCell ref="A267:A268"/>
    <mergeCell ref="W75:W76"/>
    <mergeCell ref="E397:E398"/>
    <mergeCell ref="O209:T209"/>
    <mergeCell ref="O203:T203"/>
    <mergeCell ref="M133:N133"/>
    <mergeCell ref="AJ139:AK140"/>
    <mergeCell ref="D363:D364"/>
    <mergeCell ref="O361:T361"/>
    <mergeCell ref="W287:W288"/>
    <mergeCell ref="AJ51:AK52"/>
    <mergeCell ref="A295:A296"/>
    <mergeCell ref="A347:A348"/>
    <mergeCell ref="O204:T204"/>
    <mergeCell ref="A15:A16"/>
    <mergeCell ref="U213:V214"/>
    <mergeCell ref="M280:N280"/>
    <mergeCell ref="A315:A316"/>
    <mergeCell ref="W129:W130"/>
    <mergeCell ref="O351:T351"/>
    <mergeCell ref="AE145:AF145"/>
    <mergeCell ref="O345:T345"/>
    <mergeCell ref="M275:N275"/>
    <mergeCell ref="A217:A218"/>
    <mergeCell ref="A375:A376"/>
    <mergeCell ref="O257:T257"/>
    <mergeCell ref="AJ193:AK194"/>
    <mergeCell ref="F166:H166"/>
    <mergeCell ref="AE140:AF140"/>
    <mergeCell ref="AB279:AD279"/>
    <mergeCell ref="I53:L53"/>
    <mergeCell ref="W157:W158"/>
    <mergeCell ref="AB274:AD274"/>
    <mergeCell ref="AJ209:AK210"/>
    <mergeCell ref="A59:A60"/>
    <mergeCell ref="AE281:AF281"/>
    <mergeCell ref="AG76:AI76"/>
    <mergeCell ref="A359:A360"/>
    <mergeCell ref="F219:H219"/>
    <mergeCell ref="F194:H194"/>
    <mergeCell ref="AE193:AF193"/>
    <mergeCell ref="AE282:AF282"/>
    <mergeCell ref="B239:B240"/>
    <mergeCell ref="C31:C32"/>
    <mergeCell ref="AB327:AD327"/>
    <mergeCell ref="AE209:AF209"/>
    <mergeCell ref="F362:H362"/>
    <mergeCell ref="C331:C332"/>
    <mergeCell ref="F116:H116"/>
    <mergeCell ref="E97:E98"/>
    <mergeCell ref="F205:H205"/>
    <mergeCell ref="AE335:AF335"/>
    <mergeCell ref="B81:B82"/>
    <mergeCell ref="AG120:AI120"/>
    <mergeCell ref="B381:B382"/>
    <mergeCell ref="AG278:AI278"/>
    <mergeCell ref="F263:H263"/>
    <mergeCell ref="Y187:AA187"/>
    <mergeCell ref="X37:X38"/>
    <mergeCell ref="AE351:AF351"/>
    <mergeCell ref="X195:X196"/>
    <mergeCell ref="X189:X190"/>
    <mergeCell ref="U29:V30"/>
    <mergeCell ref="F258:H258"/>
    <mergeCell ref="AE232:AF232"/>
    <mergeCell ref="AB371:AD371"/>
    <mergeCell ref="AE346:AF346"/>
    <mergeCell ref="U329:V330"/>
    <mergeCell ref="X205:X206"/>
    <mergeCell ref="O220:T220"/>
    <mergeCell ref="AG200:AI200"/>
    <mergeCell ref="AB372:AD372"/>
    <mergeCell ref="M302:N302"/>
    <mergeCell ref="AE379:AF379"/>
    <mergeCell ref="X179:X180"/>
    <mergeCell ref="B125:B126"/>
    <mergeCell ref="O215:T215"/>
    <mergeCell ref="U57:V58"/>
    <mergeCell ref="U357:V358"/>
    <mergeCell ref="Y389:AA389"/>
    <mergeCell ref="O248:T248"/>
    <mergeCell ref="AG184:AI184"/>
    <mergeCell ref="M172:N172"/>
    <mergeCell ref="AG342:AI342"/>
    <mergeCell ref="I222:L222"/>
    <mergeCell ref="D97:D98"/>
    <mergeCell ref="X259:X260"/>
    <mergeCell ref="O268:T268"/>
    <mergeCell ref="O243:T243"/>
    <mergeCell ref="M46:N46"/>
    <mergeCell ref="A81:A82"/>
    <mergeCell ref="AE151:AF151"/>
    <mergeCell ref="U279:V280"/>
    <mergeCell ref="M346:N346"/>
    <mergeCell ref="D113:D114"/>
    <mergeCell ref="M14:N14"/>
    <mergeCell ref="D271:D272"/>
    <mergeCell ref="W37:W38"/>
    <mergeCell ref="O328:T328"/>
    <mergeCell ref="C147:C148"/>
    <mergeCell ref="M347:N347"/>
    <mergeCell ref="M314:N314"/>
    <mergeCell ref="D239:D240"/>
    <mergeCell ref="X287:X288"/>
    <mergeCell ref="A397:A398"/>
    <mergeCell ref="A71:A72"/>
    <mergeCell ref="O12:T12"/>
    <mergeCell ref="M374:N374"/>
    <mergeCell ref="M25:N25"/>
    <mergeCell ref="D255:D256"/>
    <mergeCell ref="O318:T318"/>
    <mergeCell ref="O312:T312"/>
    <mergeCell ref="M242:N242"/>
    <mergeCell ref="W179:W180"/>
    <mergeCell ref="A125:A126"/>
    <mergeCell ref="O13:T13"/>
    <mergeCell ref="W337:W338"/>
    <mergeCell ref="O7:T7"/>
    <mergeCell ref="D167:D168"/>
    <mergeCell ref="O313:T313"/>
    <mergeCell ref="F285:H285"/>
    <mergeCell ref="E135:E136"/>
    <mergeCell ref="AJ243:AK244"/>
    <mergeCell ref="Y30:AA30"/>
    <mergeCell ref="C191:C192"/>
    <mergeCell ref="AB72:AD72"/>
    <mergeCell ref="I20:L20"/>
    <mergeCell ref="F101:H101"/>
    <mergeCell ref="C97:C98"/>
    <mergeCell ref="Y31:AA31"/>
    <mergeCell ref="AG289:AI289"/>
    <mergeCell ref="AE248:AF248"/>
    <mergeCell ref="I320:L320"/>
    <mergeCell ref="AE406:AF406"/>
    <mergeCell ref="Y356:AA356"/>
    <mergeCell ref="I15:L15"/>
    <mergeCell ref="A21:A22"/>
    <mergeCell ref="F269:H269"/>
    <mergeCell ref="AE249:AF249"/>
    <mergeCell ref="AE243:AF243"/>
    <mergeCell ref="AB83:AD83"/>
    <mergeCell ref="F29:H29"/>
    <mergeCell ref="C87:C88"/>
    <mergeCell ref="I162:L162"/>
    <mergeCell ref="AB383:AD383"/>
    <mergeCell ref="C245:C246"/>
    <mergeCell ref="C239:C240"/>
    <mergeCell ref="F329:H329"/>
    <mergeCell ref="I373:L373"/>
    <mergeCell ref="AJ13:AK14"/>
    <mergeCell ref="F24:H24"/>
    <mergeCell ref="AE390:AF390"/>
    <mergeCell ref="AE91:AF91"/>
    <mergeCell ref="AE85:AF85"/>
    <mergeCell ref="F330:H330"/>
    <mergeCell ref="AJ313:AK314"/>
    <mergeCell ref="F324:H324"/>
    <mergeCell ref="AE302:AF302"/>
    <mergeCell ref="AE391:AF391"/>
    <mergeCell ref="C255:C256"/>
    <mergeCell ref="AE385:AF385"/>
    <mergeCell ref="AB111:AD111"/>
    <mergeCell ref="AG28:AI28"/>
    <mergeCell ref="AB225:AD225"/>
    <mergeCell ref="Y400:AA400"/>
    <mergeCell ref="C167:C168"/>
    <mergeCell ref="AG239:AI239"/>
    <mergeCell ref="Y95:AA95"/>
    <mergeCell ref="AJ41:AK42"/>
    <mergeCell ref="AE13:AF13"/>
    <mergeCell ref="Y395:AA395"/>
    <mergeCell ref="AG240:AI240"/>
    <mergeCell ref="E233:E234"/>
    <mergeCell ref="AJ341:AK342"/>
    <mergeCell ref="AG354:AI354"/>
    <mergeCell ref="E227:E228"/>
    <mergeCell ref="AE313:AF313"/>
    <mergeCell ref="M58:N58"/>
    <mergeCell ref="X303:X304"/>
    <mergeCell ref="AG250:AI250"/>
    <mergeCell ref="AG387:AI387"/>
    <mergeCell ref="C309:C310"/>
    <mergeCell ref="AG381:AI381"/>
    <mergeCell ref="Y296:AA296"/>
    <mergeCell ref="AG382:AI382"/>
    <mergeCell ref="E375:E376"/>
    <mergeCell ref="E369:E370"/>
    <mergeCell ref="AG397:AI397"/>
    <mergeCell ref="M385:N385"/>
    <mergeCell ref="B87:B88"/>
    <mergeCell ref="O181:T181"/>
    <mergeCell ref="B245:B246"/>
    <mergeCell ref="B201:B202"/>
    <mergeCell ref="M86:N86"/>
    <mergeCell ref="M80:N80"/>
    <mergeCell ref="M42:N42"/>
    <mergeCell ref="O24:T24"/>
    <mergeCell ref="O18:T18"/>
    <mergeCell ref="E297:E298"/>
    <mergeCell ref="A137:A138"/>
    <mergeCell ref="D21:D22"/>
    <mergeCell ref="O84:T84"/>
    <mergeCell ref="B229:B230"/>
    <mergeCell ref="M70:N70"/>
    <mergeCell ref="O384:T384"/>
    <mergeCell ref="O52:T52"/>
    <mergeCell ref="O79:T79"/>
    <mergeCell ref="M397:N397"/>
    <mergeCell ref="I26:L26"/>
    <mergeCell ref="D347:D348"/>
    <mergeCell ref="X343:X344"/>
    <mergeCell ref="O379:T379"/>
    <mergeCell ref="W303:W304"/>
    <mergeCell ref="M150:N150"/>
    <mergeCell ref="I173:L173"/>
    <mergeCell ref="O63:T63"/>
    <mergeCell ref="F41:H41"/>
    <mergeCell ref="F35:H35"/>
    <mergeCell ref="D217:D218"/>
    <mergeCell ref="D375:D376"/>
    <mergeCell ref="AE102:AF102"/>
    <mergeCell ref="A87:A88"/>
    <mergeCell ref="X91:X92"/>
    <mergeCell ref="I70:L70"/>
    <mergeCell ref="C153:C154"/>
    <mergeCell ref="M292:N292"/>
    <mergeCell ref="I228:L228"/>
    <mergeCell ref="C267:C268"/>
    <mergeCell ref="F69:H69"/>
    <mergeCell ref="F25:H25"/>
    <mergeCell ref="F183:H183"/>
    <mergeCell ref="I96:L96"/>
    <mergeCell ref="I71:L71"/>
    <mergeCell ref="AE157:AF157"/>
    <mergeCell ref="A229:A230"/>
    <mergeCell ref="AJ53:AK54"/>
    <mergeCell ref="AB202:AD202"/>
    <mergeCell ref="AB291:AD291"/>
    <mergeCell ref="C295:C296"/>
    <mergeCell ref="W343:W344"/>
    <mergeCell ref="AG93:AI93"/>
    <mergeCell ref="AJ107:AK108"/>
    <mergeCell ref="F105:H105"/>
    <mergeCell ref="AJ63:AK64"/>
    <mergeCell ref="AE52:AF52"/>
    <mergeCell ref="I124:L124"/>
    <mergeCell ref="U193:V194"/>
    <mergeCell ref="AJ407:AK408"/>
    <mergeCell ref="F405:H405"/>
    <mergeCell ref="AE352:AF352"/>
    <mergeCell ref="AE53:AF53"/>
    <mergeCell ref="Y308:AA308"/>
    <mergeCell ref="AB192:AD192"/>
    <mergeCell ref="AG109:AI109"/>
    <mergeCell ref="M97:N97"/>
    <mergeCell ref="Y62:AA62"/>
    <mergeCell ref="Y193:AA193"/>
    <mergeCell ref="AG295:AI295"/>
    <mergeCell ref="C217:C218"/>
    <mergeCell ref="X43:X44"/>
    <mergeCell ref="Y176:AA176"/>
    <mergeCell ref="C375:C376"/>
    <mergeCell ref="AG409:AI409"/>
    <mergeCell ref="Y362:AA362"/>
    <mergeCell ref="AG148:AI148"/>
    <mergeCell ref="F133:H133"/>
    <mergeCell ref="E141:E142"/>
    <mergeCell ref="AE63:AF63"/>
    <mergeCell ref="M113:N113"/>
    <mergeCell ref="U177:V178"/>
    <mergeCell ref="C349:C350"/>
    <mergeCell ref="U335:V336"/>
    <mergeCell ref="AG137:AI137"/>
    <mergeCell ref="B267:B268"/>
    <mergeCell ref="M108:N108"/>
    <mergeCell ref="Y204:AA204"/>
    <mergeCell ref="D33:D34"/>
    <mergeCell ref="C359:C360"/>
    <mergeCell ref="O90:T90"/>
    <mergeCell ref="AG43:AI43"/>
    <mergeCell ref="AG132:AI132"/>
    <mergeCell ref="E125:E126"/>
    <mergeCell ref="F275:H275"/>
    <mergeCell ref="AE205:AF205"/>
    <mergeCell ref="U257:V258"/>
    <mergeCell ref="B295:B296"/>
    <mergeCell ref="M167:N167"/>
    <mergeCell ref="M161:N161"/>
    <mergeCell ref="E337:E338"/>
    <mergeCell ref="X107:X108"/>
    <mergeCell ref="D61:D62"/>
    <mergeCell ref="O143:T143"/>
    <mergeCell ref="O118:T118"/>
    <mergeCell ref="X407:X408"/>
    <mergeCell ref="U285:V286"/>
    <mergeCell ref="W43:W44"/>
    <mergeCell ref="M195:N195"/>
    <mergeCell ref="M189:N189"/>
    <mergeCell ref="I239:L239"/>
    <mergeCell ref="A403:A404"/>
    <mergeCell ref="O285:T285"/>
    <mergeCell ref="M190:N190"/>
    <mergeCell ref="AE168:AF168"/>
    <mergeCell ref="M205:N205"/>
    <mergeCell ref="M363:N363"/>
    <mergeCell ref="W359:W360"/>
    <mergeCell ref="O187:T187"/>
    <mergeCell ref="O301:T301"/>
    <mergeCell ref="W185:W186"/>
    <mergeCell ref="D125:D126"/>
    <mergeCell ref="O188:T188"/>
    <mergeCell ref="O182:T182"/>
    <mergeCell ref="F222:H222"/>
    <mergeCell ref="I135:L135"/>
    <mergeCell ref="A299:A300"/>
    <mergeCell ref="AB30:AD30"/>
    <mergeCell ref="AJ119:AK120"/>
    <mergeCell ref="AG164:AI164"/>
    <mergeCell ref="O329:T329"/>
    <mergeCell ref="M259:N259"/>
    <mergeCell ref="I309:L309"/>
    <mergeCell ref="W407:W408"/>
    <mergeCell ref="O330:T330"/>
    <mergeCell ref="O324:T324"/>
    <mergeCell ref="F302:H302"/>
    <mergeCell ref="AE238:AF238"/>
    <mergeCell ref="AB258:AD258"/>
    <mergeCell ref="I179:L179"/>
    <mergeCell ref="I337:L337"/>
    <mergeCell ref="Y215:AA215"/>
    <mergeCell ref="F172:H172"/>
    <mergeCell ref="F292:H292"/>
    <mergeCell ref="AE108:AF108"/>
    <mergeCell ref="F286:H286"/>
    <mergeCell ref="AE266:AF266"/>
    <mergeCell ref="AE260:AF260"/>
    <mergeCell ref="U243:V244"/>
    <mergeCell ref="AB100:AD100"/>
    <mergeCell ref="F173:H173"/>
    <mergeCell ref="F287:H287"/>
    <mergeCell ref="AB400:AD400"/>
    <mergeCell ref="AB95:AD95"/>
    <mergeCell ref="Y243:AA243"/>
    <mergeCell ref="C99:C100"/>
    <mergeCell ref="U85:V86"/>
    <mergeCell ref="AE188:AF188"/>
    <mergeCell ref="E191:E192"/>
    <mergeCell ref="B65:B66"/>
    <mergeCell ref="AE402:AF402"/>
    <mergeCell ref="AB128:AD128"/>
    <mergeCell ref="U385:V386"/>
    <mergeCell ref="B365:B366"/>
    <mergeCell ref="AG256:AI256"/>
    <mergeCell ref="X173:X174"/>
    <mergeCell ref="U13:V14"/>
    <mergeCell ref="AG257:AI257"/>
    <mergeCell ref="F242:H242"/>
    <mergeCell ref="AG213:AI213"/>
    <mergeCell ref="AE330:AF330"/>
    <mergeCell ref="U313:V314"/>
    <mergeCell ref="U307:V308"/>
    <mergeCell ref="E87:E88"/>
    <mergeCell ref="Y13:AA13"/>
    <mergeCell ref="E245:E246"/>
    <mergeCell ref="O356:T356"/>
    <mergeCell ref="AG398:AI398"/>
    <mergeCell ref="X163:X164"/>
    <mergeCell ref="X321:X322"/>
    <mergeCell ref="O199:T199"/>
    <mergeCell ref="X315:X316"/>
    <mergeCell ref="Y8:AA8"/>
    <mergeCell ref="A143:A144"/>
    <mergeCell ref="U155:V156"/>
    <mergeCell ref="U341:V342"/>
    <mergeCell ref="O340:T340"/>
    <mergeCell ref="O41:T41"/>
    <mergeCell ref="A153:A154"/>
    <mergeCell ref="O35:T35"/>
    <mergeCell ref="D195:D196"/>
    <mergeCell ref="O341:T341"/>
    <mergeCell ref="A65:A66"/>
    <mergeCell ref="AG321:AI321"/>
    <mergeCell ref="A365:A366"/>
    <mergeCell ref="C131:C132"/>
    <mergeCell ref="O395:T395"/>
    <mergeCell ref="M298:N298"/>
    <mergeCell ref="M325:N325"/>
    <mergeCell ref="I348:L348"/>
    <mergeCell ref="D223:D224"/>
    <mergeCell ref="I43:L43"/>
    <mergeCell ref="W147:W148"/>
    <mergeCell ref="A49:A50"/>
    <mergeCell ref="A207:A208"/>
    <mergeCell ref="AE277:AF277"/>
    <mergeCell ref="U405:V406"/>
    <mergeCell ref="M9:N9"/>
    <mergeCell ref="I59:L59"/>
    <mergeCell ref="C115:C116"/>
    <mergeCell ref="W163:W164"/>
    <mergeCell ref="C273:C274"/>
    <mergeCell ref="W321:W322"/>
    <mergeCell ref="F357:H357"/>
    <mergeCell ref="F58:H58"/>
    <mergeCell ref="I359:L359"/>
    <mergeCell ref="F52:H52"/>
    <mergeCell ref="A409:A410"/>
    <mergeCell ref="O291:T291"/>
    <mergeCell ref="AJ227:AK228"/>
    <mergeCell ref="F358:H358"/>
    <mergeCell ref="I271:L271"/>
    <mergeCell ref="F352:H352"/>
    <mergeCell ref="AE288:AF288"/>
    <mergeCell ref="F53:H53"/>
    <mergeCell ref="AB139:AD139"/>
    <mergeCell ref="Y15:AA15"/>
    <mergeCell ref="I87:L87"/>
    <mergeCell ref="C195:C196"/>
    <mergeCell ref="AJ69:AK70"/>
    <mergeCell ref="F42:H42"/>
    <mergeCell ref="F80:H80"/>
    <mergeCell ref="AE16:AF16"/>
    <mergeCell ref="AG268:AI268"/>
    <mergeCell ref="E261:E262"/>
    <mergeCell ref="AJ369:AK370"/>
    <mergeCell ref="C223:C224"/>
    <mergeCell ref="Y151:AA151"/>
    <mergeCell ref="C337:C338"/>
    <mergeCell ref="AB62:AD62"/>
    <mergeCell ref="AG110:AI110"/>
    <mergeCell ref="AE69:AF69"/>
    <mergeCell ref="I141:L141"/>
    <mergeCell ref="AJ297:AK298"/>
    <mergeCell ref="AG279:AI279"/>
    <mergeCell ref="E289:E290"/>
    <mergeCell ref="AG410:AI410"/>
    <mergeCell ref="AE375:AF375"/>
    <mergeCell ref="AE369:AF369"/>
    <mergeCell ref="B115:B116"/>
    <mergeCell ref="AB209:AD209"/>
    <mergeCell ref="B273:B274"/>
    <mergeCell ref="U47:V48"/>
    <mergeCell ref="M114:N114"/>
    <mergeCell ref="Y79:AA79"/>
    <mergeCell ref="AE370:AF370"/>
    <mergeCell ref="AG312:AI312"/>
    <mergeCell ref="AG7:AI7"/>
    <mergeCell ref="AB204:AD204"/>
    <mergeCell ref="Y379:AA379"/>
    <mergeCell ref="F150:H150"/>
    <mergeCell ref="X229:X230"/>
    <mergeCell ref="U63:V64"/>
    <mergeCell ref="AG332:AI332"/>
    <mergeCell ref="AG307:AI307"/>
    <mergeCell ref="X55:X56"/>
    <mergeCell ref="U221:V222"/>
    <mergeCell ref="O106:T106"/>
    <mergeCell ref="M36:N36"/>
    <mergeCell ref="A77:A78"/>
    <mergeCell ref="U189:V190"/>
    <mergeCell ref="Y63:AA63"/>
    <mergeCell ref="AG365:AI365"/>
    <mergeCell ref="Y221:AA221"/>
    <mergeCell ref="M336:N336"/>
    <mergeCell ref="X71:X72"/>
    <mergeCell ref="B169:B170"/>
    <mergeCell ref="O107:T107"/>
    <mergeCell ref="D261:D262"/>
    <mergeCell ref="X371:X372"/>
    <mergeCell ref="AG366:AI366"/>
    <mergeCell ref="O407:T407"/>
    <mergeCell ref="AG360:AI360"/>
    <mergeCell ref="E353:E354"/>
    <mergeCell ref="M64:N64"/>
    <mergeCell ref="U117:V118"/>
    <mergeCell ref="M178:N178"/>
    <mergeCell ref="M364:N364"/>
    <mergeCell ref="AG376:AI376"/>
    <mergeCell ref="M65:N65"/>
    <mergeCell ref="M21:N21"/>
    <mergeCell ref="D289:D290"/>
    <mergeCell ref="A121:A122"/>
    <mergeCell ref="A115:A116"/>
    <mergeCell ref="B213:B214"/>
    <mergeCell ref="O176:T176"/>
    <mergeCell ref="M206:N206"/>
    <mergeCell ref="D131:D132"/>
    <mergeCell ref="F97:H97"/>
    <mergeCell ref="M49:N49"/>
    <mergeCell ref="W55:W56"/>
    <mergeCell ref="I10:L10"/>
    <mergeCell ref="I99:L99"/>
    <mergeCell ref="I310:L310"/>
    <mergeCell ref="A263:A264"/>
    <mergeCell ref="C23:C24"/>
    <mergeCell ref="W71:W72"/>
    <mergeCell ref="M217:N217"/>
    <mergeCell ref="W371:W372"/>
    <mergeCell ref="AB231:AD231"/>
    <mergeCell ref="AJ135:AK136"/>
    <mergeCell ref="F108:H108"/>
    <mergeCell ref="I21:L21"/>
    <mergeCell ref="I152:L152"/>
    <mergeCell ref="C235:C236"/>
    <mergeCell ref="W283:W284"/>
    <mergeCell ref="F20:H20"/>
    <mergeCell ref="AB47:AD47"/>
    <mergeCell ref="AE81:AF81"/>
    <mergeCell ref="M276:N276"/>
    <mergeCell ref="C251:C252"/>
    <mergeCell ref="AB101:AD101"/>
    <mergeCell ref="C403:C404"/>
    <mergeCell ref="AG18:AI18"/>
    <mergeCell ref="AB215:AD215"/>
    <mergeCell ref="F167:H167"/>
    <mergeCell ref="E11:E12"/>
    <mergeCell ref="F161:H161"/>
    <mergeCell ref="I49:L49"/>
    <mergeCell ref="AE141:AF141"/>
    <mergeCell ref="AE135:AF135"/>
    <mergeCell ref="M271:N271"/>
    <mergeCell ref="I163:L163"/>
    <mergeCell ref="W267:W268"/>
    <mergeCell ref="AJ31:AK32"/>
    <mergeCell ref="F162:H162"/>
    <mergeCell ref="AE136:AF136"/>
    <mergeCell ref="AB275:AD275"/>
    <mergeCell ref="AJ331:AK332"/>
    <mergeCell ref="Y118:AA118"/>
    <mergeCell ref="C279:C280"/>
    <mergeCell ref="Y232:AA232"/>
    <mergeCell ref="C393:C394"/>
    <mergeCell ref="AG77:AI77"/>
    <mergeCell ref="AB270:AD270"/>
    <mergeCell ref="F189:H189"/>
    <mergeCell ref="AE125:AF125"/>
    <mergeCell ref="I191:L191"/>
    <mergeCell ref="AE283:AF283"/>
    <mergeCell ref="Y233:AA233"/>
    <mergeCell ref="B29:B30"/>
    <mergeCell ref="B23:B24"/>
    <mergeCell ref="A355:A356"/>
    <mergeCell ref="E65:E66"/>
    <mergeCell ref="AB328:AD328"/>
    <mergeCell ref="AE120:AF120"/>
    <mergeCell ref="E365:E366"/>
    <mergeCell ref="Y260:AA260"/>
    <mergeCell ref="AB171:AD171"/>
    <mergeCell ref="C27:C28"/>
    <mergeCell ref="AG88:AI88"/>
    <mergeCell ref="AG82:AI82"/>
    <mergeCell ref="Y130:AA130"/>
    <mergeCell ref="C327:C328"/>
    <mergeCell ref="AG388:AI388"/>
    <mergeCell ref="E93:E94"/>
    <mergeCell ref="AG115:AI115"/>
    <mergeCell ref="M92:N92"/>
    <mergeCell ref="AJ401:AK402"/>
    <mergeCell ref="B77:B78"/>
    <mergeCell ref="D17:D18"/>
    <mergeCell ref="Y188:AA188"/>
    <mergeCell ref="D11:D12"/>
    <mergeCell ref="C343:C344"/>
    <mergeCell ref="O74:T74"/>
    <mergeCell ref="AG116:AI116"/>
    <mergeCell ref="B377:B378"/>
    <mergeCell ref="F259:H259"/>
    <mergeCell ref="M218:N218"/>
    <mergeCell ref="Y183:AA183"/>
    <mergeCell ref="X33:X34"/>
    <mergeCell ref="D143:D144"/>
    <mergeCell ref="X185:X186"/>
    <mergeCell ref="E409:E410"/>
    <mergeCell ref="F254:H254"/>
    <mergeCell ref="M120:N120"/>
    <mergeCell ref="B393:B394"/>
    <mergeCell ref="M234:N234"/>
    <mergeCell ref="U325:V326"/>
    <mergeCell ref="D159:D160"/>
    <mergeCell ref="O216:T216"/>
    <mergeCell ref="O210:T210"/>
    <mergeCell ref="M115:N115"/>
    <mergeCell ref="D65:D66"/>
    <mergeCell ref="B121:B122"/>
    <mergeCell ref="M287:N287"/>
    <mergeCell ref="M262:N262"/>
    <mergeCell ref="O58:T58"/>
    <mergeCell ref="O244:T244"/>
    <mergeCell ref="M168:N168"/>
    <mergeCell ref="O358:T358"/>
    <mergeCell ref="AE152:AF152"/>
    <mergeCell ref="M282:N282"/>
    <mergeCell ref="I218:L218"/>
    <mergeCell ref="D93:D94"/>
    <mergeCell ref="D207:D208"/>
    <mergeCell ref="AE147:AF147"/>
    <mergeCell ref="M184:N184"/>
    <mergeCell ref="M342:N342"/>
    <mergeCell ref="D109:D110"/>
    <mergeCell ref="F75:H75"/>
    <mergeCell ref="W33:W34"/>
    <mergeCell ref="O280:T280"/>
    <mergeCell ref="O255:T255"/>
    <mergeCell ref="C143:C144"/>
    <mergeCell ref="AJ191:AK192"/>
    <mergeCell ref="D409:D410"/>
    <mergeCell ref="AE294:AF294"/>
    <mergeCell ref="AJ103:AK104"/>
    <mergeCell ref="AJ97:AK98"/>
    <mergeCell ref="A393:A394"/>
    <mergeCell ref="AB314:AD314"/>
    <mergeCell ref="C159:C160"/>
    <mergeCell ref="M326:N326"/>
    <mergeCell ref="Y304:AA304"/>
    <mergeCell ref="Y298:AA298"/>
    <mergeCell ref="D251:D252"/>
    <mergeCell ref="AG143:AI143"/>
    <mergeCell ref="O308:T308"/>
    <mergeCell ref="F217:H217"/>
    <mergeCell ref="W175:W176"/>
    <mergeCell ref="F375:H375"/>
    <mergeCell ref="AE191:AF191"/>
    <mergeCell ref="Y299:AA299"/>
    <mergeCell ref="AB25:AD25"/>
    <mergeCell ref="AJ87:AK88"/>
    <mergeCell ref="AJ245:AK246"/>
    <mergeCell ref="E131:E132"/>
    <mergeCell ref="AJ239:AK240"/>
    <mergeCell ref="Y26:AA26"/>
    <mergeCell ref="C93:C94"/>
    <mergeCell ref="AG127:AI127"/>
    <mergeCell ref="AE33:AF33"/>
    <mergeCell ref="AB351:AD351"/>
    <mergeCell ref="AG285:AI285"/>
    <mergeCell ref="F270:H270"/>
    <mergeCell ref="AJ255:AK256"/>
    <mergeCell ref="AE244:AF244"/>
    <mergeCell ref="I316:L316"/>
    <mergeCell ref="Y194:AA194"/>
    <mergeCell ref="I272:L272"/>
    <mergeCell ref="AE358:AF358"/>
    <mergeCell ref="AE333:AF333"/>
    <mergeCell ref="AJ167:AK168"/>
    <mergeCell ref="F271:H271"/>
    <mergeCell ref="U11:V12"/>
    <mergeCell ref="E115:E116"/>
    <mergeCell ref="F265:H265"/>
    <mergeCell ref="AE245:AF245"/>
    <mergeCell ref="AB384:AD384"/>
    <mergeCell ref="E273:E274"/>
    <mergeCell ref="AB378:AD378"/>
    <mergeCell ref="M289:N289"/>
    <mergeCell ref="AB79:AD79"/>
    <mergeCell ref="Y368:AA368"/>
    <mergeCell ref="AB379:AD379"/>
    <mergeCell ref="F298:H298"/>
    <mergeCell ref="F325:H325"/>
    <mergeCell ref="E175:E176"/>
    <mergeCell ref="AE255:AF255"/>
    <mergeCell ref="Y222:AA222"/>
    <mergeCell ref="AE386:AF386"/>
    <mergeCell ref="AJ309:AK310"/>
    <mergeCell ref="Y96:AA96"/>
    <mergeCell ref="B127:B128"/>
    <mergeCell ref="AB221:AD221"/>
    <mergeCell ref="Y396:AA396"/>
    <mergeCell ref="AG349:AI349"/>
    <mergeCell ref="E317:E318"/>
    <mergeCell ref="AE397:AF397"/>
    <mergeCell ref="X241:X242"/>
    <mergeCell ref="M53:N53"/>
    <mergeCell ref="E223:E224"/>
    <mergeCell ref="U75:V76"/>
    <mergeCell ref="AE309:AF309"/>
    <mergeCell ref="M353:N353"/>
    <mergeCell ref="O124:T124"/>
    <mergeCell ref="M48:N48"/>
    <mergeCell ref="X299:X300"/>
    <mergeCell ref="O335:T335"/>
    <mergeCell ref="AG377:AI377"/>
    <mergeCell ref="M354:N354"/>
    <mergeCell ref="D273:D274"/>
    <mergeCell ref="M81:N81"/>
    <mergeCell ref="M37:N37"/>
    <mergeCell ref="M381:N381"/>
    <mergeCell ref="O19:T19"/>
    <mergeCell ref="M38:N38"/>
    <mergeCell ref="O325:T325"/>
    <mergeCell ref="O319:T319"/>
    <mergeCell ref="O20:T20"/>
    <mergeCell ref="M338:N338"/>
    <mergeCell ref="O320:T320"/>
    <mergeCell ref="A133:A134"/>
    <mergeCell ref="O47:T47"/>
    <mergeCell ref="I27:L27"/>
    <mergeCell ref="D317:D318"/>
    <mergeCell ref="AE44:AF44"/>
    <mergeCell ref="I116:L116"/>
    <mergeCell ref="O374:T374"/>
    <mergeCell ref="I327:L327"/>
    <mergeCell ref="I22:L22"/>
    <mergeCell ref="AJ153:AK154"/>
    <mergeCell ref="AB222:AD222"/>
    <mergeCell ref="F309:H309"/>
    <mergeCell ref="AE256:AF256"/>
    <mergeCell ref="Y54:AA54"/>
    <mergeCell ref="AB90:AD90"/>
    <mergeCell ref="I343:L343"/>
    <mergeCell ref="F36:H36"/>
    <mergeCell ref="I38:L38"/>
    <mergeCell ref="AE97:AF97"/>
    <mergeCell ref="C121:C122"/>
    <mergeCell ref="I169:L169"/>
    <mergeCell ref="AB390:AD390"/>
    <mergeCell ref="F342:H342"/>
    <mergeCell ref="F336:H336"/>
    <mergeCell ref="I338:L338"/>
    <mergeCell ref="F31:H31"/>
    <mergeCell ref="D213:D214"/>
    <mergeCell ref="AE98:AF98"/>
    <mergeCell ref="I164:L164"/>
    <mergeCell ref="F337:H337"/>
    <mergeCell ref="AJ295:AK296"/>
    <mergeCell ref="Y107:AA107"/>
    <mergeCell ref="AE398:AF398"/>
    <mergeCell ref="AB118:AD118"/>
    <mergeCell ref="F64:H64"/>
    <mergeCell ref="AG35:AI35"/>
    <mergeCell ref="Y407:AA407"/>
    <mergeCell ref="F178:H178"/>
    <mergeCell ref="I66:L66"/>
    <mergeCell ref="AG252:AI252"/>
    <mergeCell ref="Y102:AA102"/>
    <mergeCell ref="F364:H364"/>
    <mergeCell ref="C263:C264"/>
    <mergeCell ref="AE300:AF300"/>
    <mergeCell ref="F21:H21"/>
    <mergeCell ref="AB134:AD134"/>
    <mergeCell ref="AE295:AF295"/>
    <mergeCell ref="C321:C322"/>
    <mergeCell ref="AG263:AI263"/>
    <mergeCell ref="AG394:AI394"/>
    <mergeCell ref="E381:E382"/>
    <mergeCell ref="F49:H49"/>
    <mergeCell ref="AE48:AF48"/>
    <mergeCell ref="B257:B258"/>
    <mergeCell ref="U31:V32"/>
    <mergeCell ref="U145:V146"/>
    <mergeCell ref="E251:E252"/>
    <mergeCell ref="AJ359:AK360"/>
    <mergeCell ref="AE348:AF348"/>
    <mergeCell ref="U331:V332"/>
    <mergeCell ref="Y146:AA146"/>
    <mergeCell ref="AG404:AI404"/>
    <mergeCell ref="AB188:AD188"/>
    <mergeCell ref="AG105:AI105"/>
    <mergeCell ref="M93:N93"/>
    <mergeCell ref="P6:R6"/>
    <mergeCell ref="X39:X40"/>
    <mergeCell ref="A149:A150"/>
    <mergeCell ref="AG405:AI405"/>
    <mergeCell ref="F129:H129"/>
    <mergeCell ref="M109:N109"/>
    <mergeCell ref="U173:V174"/>
    <mergeCell ref="E279:E280"/>
    <mergeCell ref="O91:T91"/>
    <mergeCell ref="M409:N409"/>
    <mergeCell ref="O85:T85"/>
    <mergeCell ref="M15:N15"/>
    <mergeCell ref="AG133:AI133"/>
    <mergeCell ref="M104:N104"/>
    <mergeCell ref="M235:N235"/>
    <mergeCell ref="Y42:AA42"/>
    <mergeCell ref="O391:T391"/>
    <mergeCell ref="O385:T385"/>
    <mergeCell ref="Y200:AA200"/>
    <mergeCell ref="D29:D30"/>
    <mergeCell ref="C355:C356"/>
    <mergeCell ref="O86:T86"/>
    <mergeCell ref="M404:N404"/>
    <mergeCell ref="D329:D330"/>
    <mergeCell ref="M162:N162"/>
    <mergeCell ref="A197:A198"/>
    <mergeCell ref="O75:T75"/>
    <mergeCell ref="O233:T233"/>
    <mergeCell ref="M157:N157"/>
    <mergeCell ref="D387:D388"/>
    <mergeCell ref="W311:W312"/>
    <mergeCell ref="AG355:AI355"/>
    <mergeCell ref="X103:X104"/>
    <mergeCell ref="O70:T70"/>
    <mergeCell ref="F48:H48"/>
    <mergeCell ref="O228:T228"/>
    <mergeCell ref="A231:A232"/>
    <mergeCell ref="C165:C166"/>
    <mergeCell ref="O155:T155"/>
    <mergeCell ref="O130:T130"/>
    <mergeCell ref="W39:W40"/>
    <mergeCell ref="M185:N185"/>
    <mergeCell ref="I235:L235"/>
    <mergeCell ref="W339:W340"/>
    <mergeCell ref="A241:A242"/>
    <mergeCell ref="AJ65:AK66"/>
    <mergeCell ref="A399:A400"/>
    <mergeCell ref="F76:H76"/>
    <mergeCell ref="I78:L78"/>
    <mergeCell ref="AE164:AF164"/>
    <mergeCell ref="AB303:AD303"/>
    <mergeCell ref="M201:N201"/>
    <mergeCell ref="W355:W356"/>
    <mergeCell ref="F92:H92"/>
    <mergeCell ref="I136:L136"/>
    <mergeCell ref="M196:N196"/>
    <mergeCell ref="I225:L225"/>
    <mergeCell ref="O178:T178"/>
    <mergeCell ref="F87:H87"/>
    <mergeCell ref="AE65:AF65"/>
    <mergeCell ref="F218:H218"/>
    <mergeCell ref="I131:L131"/>
    <mergeCell ref="M343:N343"/>
    <mergeCell ref="C387:C388"/>
    <mergeCell ref="F145:H145"/>
    <mergeCell ref="Y69:AA69"/>
    <mergeCell ref="AE233:AF233"/>
    <mergeCell ref="AE208:AF208"/>
    <mergeCell ref="Y158:AA158"/>
    <mergeCell ref="Y369:AA369"/>
    <mergeCell ref="F140:H140"/>
    <mergeCell ref="F229:H229"/>
    <mergeCell ref="U211:V212"/>
    <mergeCell ref="C371:C372"/>
    <mergeCell ref="AB254:AD254"/>
    <mergeCell ref="AG144:AI144"/>
    <mergeCell ref="AG302:AI302"/>
    <mergeCell ref="AE261:AF261"/>
    <mergeCell ref="Y211:AA211"/>
    <mergeCell ref="X61:X62"/>
    <mergeCell ref="X219:X220"/>
    <mergeCell ref="O97:T97"/>
    <mergeCell ref="AG139:AI139"/>
    <mergeCell ref="F282:H282"/>
    <mergeCell ref="B307:B308"/>
    <mergeCell ref="I170:L170"/>
    <mergeCell ref="U239:V240"/>
    <mergeCell ref="AB96:AD96"/>
    <mergeCell ref="AG172:AI172"/>
    <mergeCell ref="F184:H184"/>
    <mergeCell ref="AB396:AD396"/>
    <mergeCell ref="Y108:AA108"/>
    <mergeCell ref="Y239:AA239"/>
    <mergeCell ref="X89:X90"/>
    <mergeCell ref="X141:X142"/>
    <mergeCell ref="F2:G2"/>
    <mergeCell ref="AG67:AI67"/>
    <mergeCell ref="F179:H179"/>
    <mergeCell ref="Y255:AA255"/>
    <mergeCell ref="B203:B204"/>
    <mergeCell ref="B361:B362"/>
    <mergeCell ref="M71:N71"/>
    <mergeCell ref="M202:N202"/>
    <mergeCell ref="F326:H326"/>
    <mergeCell ref="X169:X170"/>
    <mergeCell ref="Y250:AA250"/>
    <mergeCell ref="U309:V310"/>
    <mergeCell ref="M370:N370"/>
    <mergeCell ref="D137:D138"/>
    <mergeCell ref="O194:T194"/>
    <mergeCell ref="W61:W62"/>
    <mergeCell ref="W219:W220"/>
    <mergeCell ref="M213:N213"/>
    <mergeCell ref="X153:X154"/>
    <mergeCell ref="O195:T195"/>
    <mergeCell ref="X311:X312"/>
    <mergeCell ref="AJ131:AK132"/>
    <mergeCell ref="D349:D350"/>
    <mergeCell ref="O205:T205"/>
    <mergeCell ref="W89:W90"/>
    <mergeCell ref="O336:T336"/>
    <mergeCell ref="M266:N266"/>
    <mergeCell ref="M241:N241"/>
    <mergeCell ref="I202:L202"/>
    <mergeCell ref="I291:L291"/>
    <mergeCell ref="C399:C400"/>
    <mergeCell ref="AJ115:AK116"/>
    <mergeCell ref="O337:T337"/>
    <mergeCell ref="AE131:AF131"/>
    <mergeCell ref="AJ273:AK274"/>
    <mergeCell ref="O331:T331"/>
    <mergeCell ref="I197:L197"/>
    <mergeCell ref="A203:A204"/>
    <mergeCell ref="A361:A362"/>
    <mergeCell ref="M321:N321"/>
    <mergeCell ref="I344:L344"/>
    <mergeCell ref="I39:L39"/>
    <mergeCell ref="O259:T259"/>
    <mergeCell ref="O234:T234"/>
    <mergeCell ref="W143:W144"/>
    <mergeCell ref="AJ195:AK196"/>
    <mergeCell ref="A45:A46"/>
    <mergeCell ref="AE115:AF115"/>
    <mergeCell ref="AE273:AF273"/>
    <mergeCell ref="I339:L339"/>
    <mergeCell ref="A351:A352"/>
    <mergeCell ref="A345:A346"/>
    <mergeCell ref="AB107:AD107"/>
    <mergeCell ref="AB293:AD293"/>
    <mergeCell ref="W159:W160"/>
    <mergeCell ref="AG210:AI210"/>
    <mergeCell ref="AB407:AD407"/>
    <mergeCell ref="F353:H353"/>
    <mergeCell ref="M305:N305"/>
    <mergeCell ref="Y283:AA283"/>
    <mergeCell ref="I355:L355"/>
    <mergeCell ref="AJ223:AK224"/>
    <mergeCell ref="F196:H196"/>
    <mergeCell ref="F354:H354"/>
    <mergeCell ref="F348:H348"/>
    <mergeCell ref="AE284:AF284"/>
    <mergeCell ref="AB135:AD135"/>
    <mergeCell ref="F38:H38"/>
    <mergeCell ref="AG106:AI106"/>
    <mergeCell ref="AG264:AI264"/>
    <mergeCell ref="E99:E100"/>
    <mergeCell ref="F249:H249"/>
    <mergeCell ref="E257:E258"/>
    <mergeCell ref="AJ365:AK366"/>
    <mergeCell ref="F338:H338"/>
    <mergeCell ref="I251:L251"/>
    <mergeCell ref="AE337:AF337"/>
    <mergeCell ref="B83:B84"/>
    <mergeCell ref="AB146:AD146"/>
    <mergeCell ref="U15:V16"/>
    <mergeCell ref="B269:B270"/>
    <mergeCell ref="AB357:AD357"/>
    <mergeCell ref="B383:B384"/>
    <mergeCell ref="AG280:AI280"/>
    <mergeCell ref="AB58:AD58"/>
    <mergeCell ref="Y347:AA347"/>
    <mergeCell ref="X191:X192"/>
    <mergeCell ref="E285:E286"/>
    <mergeCell ref="AG406:AI406"/>
    <mergeCell ref="AE234:AF234"/>
    <mergeCell ref="AE365:AF365"/>
    <mergeCell ref="B111:B112"/>
    <mergeCell ref="X323:X324"/>
    <mergeCell ref="U43:V44"/>
    <mergeCell ref="M110:N110"/>
    <mergeCell ref="O380:T380"/>
    <mergeCell ref="AG308:AI308"/>
    <mergeCell ref="M410:N410"/>
    <mergeCell ref="O48:T48"/>
    <mergeCell ref="AB200:AD200"/>
    <mergeCell ref="Y375:AA375"/>
    <mergeCell ref="X225:X226"/>
    <mergeCell ref="A47:A48"/>
    <mergeCell ref="U59:V60"/>
    <mergeCell ref="E321:E322"/>
    <mergeCell ref="M337:N337"/>
    <mergeCell ref="AE376:AF376"/>
    <mergeCell ref="U359:V360"/>
    <mergeCell ref="M32:N32"/>
    <mergeCell ref="I55:L55"/>
    <mergeCell ref="M121:N121"/>
    <mergeCell ref="O250:T250"/>
    <mergeCell ref="O408:T408"/>
    <mergeCell ref="O402:T402"/>
    <mergeCell ref="M332:N332"/>
    <mergeCell ref="O103:T103"/>
    <mergeCell ref="D99:D100"/>
    <mergeCell ref="D257:D258"/>
    <mergeCell ref="O403:T403"/>
    <mergeCell ref="AG356:AI356"/>
    <mergeCell ref="E349:E350"/>
    <mergeCell ref="U201:V202"/>
    <mergeCell ref="A389:A390"/>
    <mergeCell ref="M16:N16"/>
    <mergeCell ref="C149:C150"/>
    <mergeCell ref="O87:T87"/>
    <mergeCell ref="F65:H65"/>
    <mergeCell ref="M17:N17"/>
    <mergeCell ref="D241:D242"/>
    <mergeCell ref="O304:T304"/>
    <mergeCell ref="D399:D400"/>
    <mergeCell ref="O298:T298"/>
    <mergeCell ref="A117:A118"/>
    <mergeCell ref="A111:A112"/>
    <mergeCell ref="F365:H365"/>
    <mergeCell ref="M376:N376"/>
    <mergeCell ref="M44:N44"/>
    <mergeCell ref="Y22:AA22"/>
    <mergeCell ref="I94:L94"/>
    <mergeCell ref="C177:C178"/>
    <mergeCell ref="M371:N371"/>
    <mergeCell ref="F93:H93"/>
    <mergeCell ref="D269:D270"/>
    <mergeCell ref="AE23:AF23"/>
    <mergeCell ref="I95:L95"/>
    <mergeCell ref="I89:L89"/>
    <mergeCell ref="AE181:AF181"/>
    <mergeCell ref="AJ251:AK252"/>
    <mergeCell ref="I306:L306"/>
    <mergeCell ref="A259:A260"/>
    <mergeCell ref="A253:A254"/>
    <mergeCell ref="C19:C20"/>
    <mergeCell ref="Y164:AA164"/>
    <mergeCell ref="C319:C320"/>
    <mergeCell ref="I322:L322"/>
    <mergeCell ref="F15:H15"/>
    <mergeCell ref="F104:H104"/>
    <mergeCell ref="I17:L17"/>
    <mergeCell ref="C73:C74"/>
    <mergeCell ref="AE76:AF76"/>
    <mergeCell ref="I148:L148"/>
    <mergeCell ref="O368:T368"/>
    <mergeCell ref="C231:C232"/>
    <mergeCell ref="F321:H321"/>
    <mergeCell ref="AJ279:AK280"/>
    <mergeCell ref="F315:H315"/>
    <mergeCell ref="E165:E166"/>
    <mergeCell ref="AE251:AF251"/>
    <mergeCell ref="F404:H404"/>
    <mergeCell ref="AE382:AF382"/>
    <mergeCell ref="AE77:AF77"/>
    <mergeCell ref="AG19:AI19"/>
    <mergeCell ref="AB216:AD216"/>
    <mergeCell ref="Y86:AA86"/>
    <mergeCell ref="C247:C248"/>
    <mergeCell ref="AE377:AF377"/>
    <mergeCell ref="AG319:AI319"/>
    <mergeCell ref="C241:C242"/>
    <mergeCell ref="Y175:AA175"/>
    <mergeCell ref="AG14:AI14"/>
    <mergeCell ref="Y386:AA386"/>
    <mergeCell ref="AJ121:AK122"/>
    <mergeCell ref="F157:H157"/>
    <mergeCell ref="I159:L159"/>
    <mergeCell ref="AG314:AI314"/>
    <mergeCell ref="E307:E308"/>
    <mergeCell ref="AJ27:AK28"/>
    <mergeCell ref="AE393:AF393"/>
    <mergeCell ref="AB113:AD113"/>
    <mergeCell ref="AG72:AI72"/>
    <mergeCell ref="AB271:AD271"/>
    <mergeCell ref="E219:E220"/>
    <mergeCell ref="AJ327:AK328"/>
    <mergeCell ref="C269:C270"/>
    <mergeCell ref="Y228:AA228"/>
    <mergeCell ref="C389:C390"/>
    <mergeCell ref="C383:C384"/>
    <mergeCell ref="O114:T114"/>
    <mergeCell ref="E35:E36"/>
    <mergeCell ref="AG156:AI156"/>
    <mergeCell ref="Y397:AA397"/>
    <mergeCell ref="AE121:AF121"/>
    <mergeCell ref="AG242:AI242"/>
    <mergeCell ref="AG373:AI373"/>
    <mergeCell ref="AJ343:AK344"/>
    <mergeCell ref="B19:B20"/>
    <mergeCell ref="M77:N77"/>
    <mergeCell ref="AB255:AD255"/>
    <mergeCell ref="M160:N160"/>
    <mergeCell ref="E361:E362"/>
    <mergeCell ref="Y125:AA125"/>
    <mergeCell ref="AG389:AI389"/>
    <mergeCell ref="AG383:AI383"/>
    <mergeCell ref="AG84:AI84"/>
    <mergeCell ref="M72:N72"/>
    <mergeCell ref="M87:N87"/>
    <mergeCell ref="U151:V152"/>
    <mergeCell ref="AG384:AI384"/>
    <mergeCell ref="E371:E372"/>
    <mergeCell ref="O69:T69"/>
    <mergeCell ref="B247:B248"/>
    <mergeCell ref="O158:T158"/>
    <mergeCell ref="U21:V22"/>
    <mergeCell ref="M88:N88"/>
    <mergeCell ref="M82:N82"/>
    <mergeCell ref="M219:N219"/>
    <mergeCell ref="O369:T369"/>
    <mergeCell ref="D13:D14"/>
    <mergeCell ref="M388:N388"/>
    <mergeCell ref="O64:T64"/>
    <mergeCell ref="A269:A270"/>
    <mergeCell ref="O153:T153"/>
    <mergeCell ref="E105:E106"/>
    <mergeCell ref="D307:D308"/>
    <mergeCell ref="O370:T370"/>
    <mergeCell ref="I106:L106"/>
    <mergeCell ref="X29:X30"/>
    <mergeCell ref="E405:E406"/>
    <mergeCell ref="X329:X330"/>
    <mergeCell ref="O211:T211"/>
    <mergeCell ref="M141:N141"/>
    <mergeCell ref="B389:B390"/>
    <mergeCell ref="U163:V164"/>
    <mergeCell ref="M230:N230"/>
    <mergeCell ref="M224:N224"/>
    <mergeCell ref="Y44:AA44"/>
    <mergeCell ref="D155:D156"/>
    <mergeCell ref="O54:T54"/>
    <mergeCell ref="D149:D150"/>
    <mergeCell ref="O212:T212"/>
    <mergeCell ref="O206:T206"/>
    <mergeCell ref="W79:W80"/>
    <mergeCell ref="F27:H27"/>
    <mergeCell ref="AJ143:AK144"/>
    <mergeCell ref="I61:L61"/>
    <mergeCell ref="M283:N283"/>
    <mergeCell ref="D25:D26"/>
    <mergeCell ref="F174:H174"/>
    <mergeCell ref="F168:H168"/>
    <mergeCell ref="I56:L56"/>
    <mergeCell ref="AE148:AF148"/>
    <mergeCell ref="A9:A10"/>
    <mergeCell ref="I176:L176"/>
    <mergeCell ref="I214:L214"/>
    <mergeCell ref="F55:H55"/>
    <mergeCell ref="F169:H169"/>
    <mergeCell ref="AE143:AF143"/>
    <mergeCell ref="AB282:AD282"/>
    <mergeCell ref="M180:N180"/>
    <mergeCell ref="A221:A222"/>
    <mergeCell ref="D105:D106"/>
    <mergeCell ref="F71:H71"/>
    <mergeCell ref="D405:D406"/>
    <mergeCell ref="AE132:AF132"/>
    <mergeCell ref="I204:L204"/>
    <mergeCell ref="I198:L198"/>
    <mergeCell ref="AE290:AF290"/>
    <mergeCell ref="AB10:AD10"/>
    <mergeCell ref="AJ93:AK94"/>
    <mergeCell ref="F197:H197"/>
    <mergeCell ref="C39:C40"/>
    <mergeCell ref="AB335:AD335"/>
    <mergeCell ref="AB310:AD310"/>
    <mergeCell ref="AE127:AF127"/>
    <mergeCell ref="C155:C156"/>
    <mergeCell ref="AG227:AI227"/>
    <mergeCell ref="Y142:AA142"/>
    <mergeCell ref="C339:C340"/>
    <mergeCell ref="Y294:AA294"/>
    <mergeCell ref="F213:H213"/>
    <mergeCell ref="AE212:AF212"/>
    <mergeCell ref="AE187:AF187"/>
    <mergeCell ref="Y137:AA137"/>
    <mergeCell ref="AB21:AD21"/>
    <mergeCell ref="AJ83:AK84"/>
    <mergeCell ref="C25:C26"/>
    <mergeCell ref="Y195:AA195"/>
    <mergeCell ref="X197:X198"/>
    <mergeCell ref="Y284:AA284"/>
    <mergeCell ref="AG123:AI123"/>
    <mergeCell ref="F266:H266"/>
    <mergeCell ref="D19:D20"/>
    <mergeCell ref="C351:C352"/>
    <mergeCell ref="U337:V338"/>
    <mergeCell ref="E111:E112"/>
    <mergeCell ref="AB380:AD380"/>
    <mergeCell ref="M127:N127"/>
    <mergeCell ref="AG297:AI297"/>
    <mergeCell ref="M285:N285"/>
    <mergeCell ref="O223:T223"/>
    <mergeCell ref="AB375:AD375"/>
    <mergeCell ref="AG134:AI134"/>
    <mergeCell ref="E171:E172"/>
    <mergeCell ref="AG292:AI292"/>
    <mergeCell ref="D47:D48"/>
    <mergeCell ref="M269:N269"/>
    <mergeCell ref="Y234:AA234"/>
    <mergeCell ref="D63:D64"/>
    <mergeCell ref="O120:T120"/>
    <mergeCell ref="AG187:AI187"/>
    <mergeCell ref="F305:H305"/>
    <mergeCell ref="W45:W46"/>
    <mergeCell ref="M191:N191"/>
    <mergeCell ref="M349:N349"/>
    <mergeCell ref="W345:W346"/>
    <mergeCell ref="D205:D206"/>
    <mergeCell ref="A405:A406"/>
    <mergeCell ref="O262:T262"/>
    <mergeCell ref="M192:N192"/>
    <mergeCell ref="I242:L242"/>
    <mergeCell ref="D117:D118"/>
    <mergeCell ref="W187:W188"/>
    <mergeCell ref="M333:N333"/>
    <mergeCell ref="I269:L269"/>
    <mergeCell ref="M34:N34"/>
    <mergeCell ref="O184:T184"/>
    <mergeCell ref="O321:T321"/>
    <mergeCell ref="O315:T315"/>
    <mergeCell ref="M245:N245"/>
    <mergeCell ref="F268:H268"/>
    <mergeCell ref="F224:H224"/>
    <mergeCell ref="AE198:AF198"/>
    <mergeCell ref="M334:N334"/>
    <mergeCell ref="I270:L270"/>
    <mergeCell ref="W399:W400"/>
    <mergeCell ref="AB38:AD38"/>
    <mergeCell ref="D253:D254"/>
    <mergeCell ref="O316:T316"/>
    <mergeCell ref="C219:C220"/>
    <mergeCell ref="W215:W216"/>
    <mergeCell ref="AB33:AD33"/>
    <mergeCell ref="Y339:AA339"/>
    <mergeCell ref="AE40:AF40"/>
    <mergeCell ref="O326:T326"/>
    <mergeCell ref="F304:H304"/>
    <mergeCell ref="I165:L165"/>
    <mergeCell ref="AE257:AF257"/>
    <mergeCell ref="I323:L323"/>
    <mergeCell ref="AE340:AF340"/>
    <mergeCell ref="AB91:AD91"/>
    <mergeCell ref="AJ149:AK150"/>
    <mergeCell ref="AE94:AF94"/>
    <mergeCell ref="AJ263:AK264"/>
    <mergeCell ref="C89:C90"/>
    <mergeCell ref="AG194:AI194"/>
    <mergeCell ref="AE252:AF252"/>
    <mergeCell ref="AB391:AD391"/>
    <mergeCell ref="AB385:AD385"/>
    <mergeCell ref="Y50:AA50"/>
    <mergeCell ref="C205:C206"/>
    <mergeCell ref="AB86:AD86"/>
    <mergeCell ref="F3:G3"/>
    <mergeCell ref="Y350:AA350"/>
    <mergeCell ref="I34:L34"/>
    <mergeCell ref="C117:C118"/>
    <mergeCell ref="AG189:AI189"/>
    <mergeCell ref="AB386:AD386"/>
    <mergeCell ref="Y18:AA18"/>
    <mergeCell ref="AJ321:AK322"/>
    <mergeCell ref="F332:H332"/>
    <mergeCell ref="AE262:AF262"/>
    <mergeCell ref="I334:L334"/>
    <mergeCell ref="B139:B140"/>
    <mergeCell ref="F175:H175"/>
    <mergeCell ref="Y103:AA103"/>
    <mergeCell ref="B51:B52"/>
    <mergeCell ref="AB114:AD114"/>
    <mergeCell ref="AG31:AI31"/>
    <mergeCell ref="X253:X254"/>
    <mergeCell ref="Y403:AA403"/>
    <mergeCell ref="Y98:AA98"/>
    <mergeCell ref="E235:E236"/>
    <mergeCell ref="F322:H322"/>
    <mergeCell ref="U87:V88"/>
    <mergeCell ref="AG331:AI331"/>
    <mergeCell ref="AE321:AF321"/>
    <mergeCell ref="F17:H17"/>
    <mergeCell ref="AE404:AF404"/>
    <mergeCell ref="AB130:AD130"/>
    <mergeCell ref="M60:N60"/>
    <mergeCell ref="AE105:AF105"/>
    <mergeCell ref="M35:N35"/>
    <mergeCell ref="F317:H317"/>
    <mergeCell ref="U299:V300"/>
    <mergeCell ref="M366:N366"/>
    <mergeCell ref="M360:N360"/>
    <mergeCell ref="B37:B38"/>
    <mergeCell ref="AB125:AD125"/>
    <mergeCell ref="D285:D286"/>
    <mergeCell ref="AG42:AI42"/>
    <mergeCell ref="AG259:AI259"/>
    <mergeCell ref="M361:N361"/>
    <mergeCell ref="E377:E378"/>
    <mergeCell ref="B209:B210"/>
    <mergeCell ref="M50:N50"/>
    <mergeCell ref="U141:V142"/>
    <mergeCell ref="E247:E248"/>
    <mergeCell ref="M394:N394"/>
    <mergeCell ref="X317:X318"/>
    <mergeCell ref="A145:A146"/>
    <mergeCell ref="AG401:AI401"/>
    <mergeCell ref="O27:T27"/>
    <mergeCell ref="A139:A140"/>
    <mergeCell ref="U343:V344"/>
    <mergeCell ref="M105:N105"/>
    <mergeCell ref="U169:V170"/>
    <mergeCell ref="O386:T386"/>
    <mergeCell ref="M316:N316"/>
    <mergeCell ref="E389:E390"/>
    <mergeCell ref="M405:N405"/>
    <mergeCell ref="X345:X346"/>
    <mergeCell ref="AJ165:AK166"/>
    <mergeCell ref="O387:T387"/>
    <mergeCell ref="O381:T381"/>
    <mergeCell ref="O343:T343"/>
    <mergeCell ref="A173:A174"/>
    <mergeCell ref="A41:A42"/>
    <mergeCell ref="W5:X5"/>
    <mergeCell ref="A193:A194"/>
    <mergeCell ref="U391:V392"/>
    <mergeCell ref="O71:T71"/>
    <mergeCell ref="F43:H43"/>
    <mergeCell ref="D225:D226"/>
    <mergeCell ref="I45:L45"/>
    <mergeCell ref="W149:W150"/>
    <mergeCell ref="O371:T371"/>
    <mergeCell ref="F349:H349"/>
    <mergeCell ref="AJ307:AK308"/>
    <mergeCell ref="A209:A210"/>
    <mergeCell ref="O66:T66"/>
    <mergeCell ref="I345:L345"/>
    <mergeCell ref="F344:H344"/>
    <mergeCell ref="C161:C162"/>
    <mergeCell ref="Y114:AA114"/>
    <mergeCell ref="Y89:AA89"/>
    <mergeCell ref="C275:C276"/>
    <mergeCell ref="AE7:AF7"/>
    <mergeCell ref="I79:L79"/>
    <mergeCell ref="I73:L73"/>
    <mergeCell ref="AJ387:AK388"/>
    <mergeCell ref="A237:A238"/>
    <mergeCell ref="AE307:AF307"/>
    <mergeCell ref="F72:H72"/>
    <mergeCell ref="AJ55:AK56"/>
    <mergeCell ref="F28:H28"/>
    <mergeCell ref="AB299:AD299"/>
    <mergeCell ref="C303:C304"/>
    <mergeCell ref="W351:W352"/>
    <mergeCell ref="F88:H88"/>
    <mergeCell ref="AJ71:AK72"/>
    <mergeCell ref="AB294:AD294"/>
    <mergeCell ref="AE176:AF176"/>
    <mergeCell ref="Y143:AA143"/>
    <mergeCell ref="I215:L215"/>
    <mergeCell ref="C323:C324"/>
    <mergeCell ref="F388:H388"/>
    <mergeCell ref="AJ371:AK372"/>
    <mergeCell ref="AE360:AF360"/>
    <mergeCell ref="F83:H83"/>
    <mergeCell ref="AE55:AF55"/>
    <mergeCell ref="AE144:AF144"/>
    <mergeCell ref="F383:H383"/>
    <mergeCell ref="AE361:AF361"/>
    <mergeCell ref="C225:C226"/>
    <mergeCell ref="Y159:AA159"/>
    <mergeCell ref="Y153:AA153"/>
    <mergeCell ref="B101:B102"/>
    <mergeCell ref="AB195:AD195"/>
    <mergeCell ref="Y370:AA370"/>
    <mergeCell ref="F141:H141"/>
    <mergeCell ref="AG112:AI112"/>
    <mergeCell ref="F230:H230"/>
    <mergeCell ref="Y65:AA65"/>
    <mergeCell ref="AG298:AI298"/>
    <mergeCell ref="Y154:AA154"/>
    <mergeCell ref="E291:E292"/>
    <mergeCell ref="AE371:AF371"/>
    <mergeCell ref="Y365:AA365"/>
    <mergeCell ref="F136:H136"/>
    <mergeCell ref="X215:X216"/>
    <mergeCell ref="X373:X374"/>
    <mergeCell ref="B275:B276"/>
    <mergeCell ref="U49:V50"/>
    <mergeCell ref="M116:N116"/>
    <mergeCell ref="U207:V208"/>
    <mergeCell ref="Y212:AA212"/>
    <mergeCell ref="AE372:AF372"/>
    <mergeCell ref="C367:C368"/>
    <mergeCell ref="O98:T98"/>
    <mergeCell ref="AG9:AI9"/>
    <mergeCell ref="AG140:AI140"/>
    <mergeCell ref="F283:H283"/>
    <mergeCell ref="O398:T398"/>
    <mergeCell ref="Y207:AA207"/>
    <mergeCell ref="X57:X58"/>
    <mergeCell ref="O93:T93"/>
    <mergeCell ref="X357:X358"/>
    <mergeCell ref="B303:B304"/>
    <mergeCell ref="M144:N144"/>
    <mergeCell ref="E339:E340"/>
    <mergeCell ref="U191:V192"/>
    <mergeCell ref="O126:T126"/>
    <mergeCell ref="AB234:AD234"/>
    <mergeCell ref="O240:T240"/>
    <mergeCell ref="M164:N164"/>
    <mergeCell ref="M139:N139"/>
    <mergeCell ref="AG368:AI368"/>
    <mergeCell ref="O409:T409"/>
    <mergeCell ref="AG362:AI362"/>
    <mergeCell ref="U251:V252"/>
    <mergeCell ref="E355:E356"/>
    <mergeCell ref="M66:N66"/>
    <mergeCell ref="A107:A108"/>
    <mergeCell ref="M197:N197"/>
    <mergeCell ref="Y251:AA251"/>
    <mergeCell ref="O137:T137"/>
    <mergeCell ref="M67:N67"/>
    <mergeCell ref="D291:D292"/>
    <mergeCell ref="M208:N208"/>
    <mergeCell ref="A249:A250"/>
    <mergeCell ref="D133:D134"/>
    <mergeCell ref="O190:T190"/>
    <mergeCell ref="F99:H99"/>
    <mergeCell ref="W57:W58"/>
    <mergeCell ref="O279:T279"/>
    <mergeCell ref="M209:N209"/>
    <mergeCell ref="W357:W358"/>
    <mergeCell ref="F94:H94"/>
    <mergeCell ref="M236:N236"/>
    <mergeCell ref="A277:A278"/>
    <mergeCell ref="AB39:AD39"/>
    <mergeCell ref="AE399:AF399"/>
    <mergeCell ref="Y170:AA170"/>
    <mergeCell ref="O332:T332"/>
    <mergeCell ref="AE126:AF126"/>
    <mergeCell ref="W199:W200"/>
    <mergeCell ref="C237:C238"/>
    <mergeCell ref="AE215:AF215"/>
    <mergeCell ref="AB49:AD49"/>
    <mergeCell ref="AJ111:AK112"/>
    <mergeCell ref="F147:H147"/>
    <mergeCell ref="AB266:AD266"/>
    <mergeCell ref="AB50:AD50"/>
    <mergeCell ref="AB261:AD261"/>
    <mergeCell ref="C79:C80"/>
    <mergeCell ref="AG151:AI151"/>
    <mergeCell ref="I182:L182"/>
    <mergeCell ref="AE268:AF268"/>
    <mergeCell ref="Y218:AA218"/>
    <mergeCell ref="C379:C380"/>
    <mergeCell ref="AE111:AF111"/>
    <mergeCell ref="B15:B16"/>
    <mergeCell ref="Y120:AA120"/>
    <mergeCell ref="A341:A342"/>
    <mergeCell ref="AB103:AD103"/>
    <mergeCell ref="Y278:AA278"/>
    <mergeCell ref="AG206:AI206"/>
    <mergeCell ref="F191:H191"/>
    <mergeCell ref="AB403:AD403"/>
    <mergeCell ref="E199:E200"/>
    <mergeCell ref="Y121:AA121"/>
    <mergeCell ref="Y115:AA115"/>
    <mergeCell ref="Y273:AA273"/>
    <mergeCell ref="I351:L351"/>
    <mergeCell ref="B25:B26"/>
    <mergeCell ref="AJ219:AK220"/>
    <mergeCell ref="F192:H192"/>
    <mergeCell ref="AE280:AF280"/>
    <mergeCell ref="X181:X182"/>
    <mergeCell ref="Y262:AA262"/>
    <mergeCell ref="AG101:AI101"/>
    <mergeCell ref="AB300:AD300"/>
    <mergeCell ref="F333:H333"/>
    <mergeCell ref="C329:C330"/>
    <mergeCell ref="Y263:AA263"/>
    <mergeCell ref="AG102:AI102"/>
    <mergeCell ref="E95:E96"/>
    <mergeCell ref="F245:H245"/>
    <mergeCell ref="AE175:AF175"/>
    <mergeCell ref="H3:I3"/>
    <mergeCell ref="E395:E396"/>
    <mergeCell ref="B79:B80"/>
    <mergeCell ref="AG276:AI276"/>
    <mergeCell ref="M264:N264"/>
    <mergeCell ref="M220:N220"/>
    <mergeCell ref="D145:D146"/>
    <mergeCell ref="O202:T202"/>
    <mergeCell ref="B107:B108"/>
    <mergeCell ref="B407:B408"/>
    <mergeCell ref="M273:N273"/>
    <mergeCell ref="M248:N248"/>
    <mergeCell ref="I298:L298"/>
    <mergeCell ref="D173:D174"/>
    <mergeCell ref="A373:A374"/>
    <mergeCell ref="U355:V356"/>
    <mergeCell ref="I51:L51"/>
    <mergeCell ref="O246:T246"/>
    <mergeCell ref="M170:N170"/>
    <mergeCell ref="W113:W114"/>
    <mergeCell ref="M328:N328"/>
    <mergeCell ref="D95:D96"/>
    <mergeCell ref="D209:D210"/>
    <mergeCell ref="O241:T241"/>
    <mergeCell ref="AJ177:AK178"/>
    <mergeCell ref="D395:D396"/>
    <mergeCell ref="M317:N317"/>
    <mergeCell ref="AB89:AD89"/>
    <mergeCell ref="Y289:AA289"/>
    <mergeCell ref="C145:C146"/>
    <mergeCell ref="O388:T388"/>
    <mergeCell ref="AE182:AF182"/>
    <mergeCell ref="M318:N318"/>
    <mergeCell ref="F360:H360"/>
    <mergeCell ref="M312:N312"/>
    <mergeCell ref="I248:L248"/>
    <mergeCell ref="AE296:AF296"/>
    <mergeCell ref="Y290:AA290"/>
    <mergeCell ref="I368:L368"/>
    <mergeCell ref="AJ19:AK20"/>
    <mergeCell ref="AB16:AD16"/>
    <mergeCell ref="D237:D238"/>
    <mergeCell ref="O294:T294"/>
    <mergeCell ref="F203:H203"/>
    <mergeCell ref="F361:H361"/>
    <mergeCell ref="AE177:AF177"/>
    <mergeCell ref="I249:L249"/>
    <mergeCell ref="AB11:AD11"/>
    <mergeCell ref="AJ231:AK232"/>
    <mergeCell ref="I90:L90"/>
    <mergeCell ref="C173:C174"/>
    <mergeCell ref="I390:L390"/>
    <mergeCell ref="AE19:AF19"/>
    <mergeCell ref="AJ247:AK248"/>
    <mergeCell ref="AJ241:AK242"/>
    <mergeCell ref="AJ399:AK400"/>
    <mergeCell ref="AE344:AF344"/>
    <mergeCell ref="AE319:AF319"/>
    <mergeCell ref="AB159:AD159"/>
    <mergeCell ref="AB153:AD153"/>
    <mergeCell ref="AB370:AD370"/>
    <mergeCell ref="AB364:AD364"/>
    <mergeCell ref="Y29:AA29"/>
    <mergeCell ref="AG287:AI287"/>
    <mergeCell ref="W205:W206"/>
    <mergeCell ref="I318:L318"/>
    <mergeCell ref="Y354:AA354"/>
    <mergeCell ref="Y329:AA329"/>
    <mergeCell ref="I13:L13"/>
    <mergeCell ref="X335:X336"/>
    <mergeCell ref="U55:V56"/>
    <mergeCell ref="F311:H311"/>
    <mergeCell ref="E161:E162"/>
    <mergeCell ref="AJ269:AK270"/>
    <mergeCell ref="AE247:AF247"/>
    <mergeCell ref="AJ389:AK390"/>
    <mergeCell ref="E275:E276"/>
    <mergeCell ref="AG15:AI15"/>
    <mergeCell ref="AG315:AI315"/>
    <mergeCell ref="F300:H300"/>
    <mergeCell ref="Y224:AA224"/>
    <mergeCell ref="AG10:AI10"/>
    <mergeCell ref="AE388:AF388"/>
    <mergeCell ref="Y382:AA382"/>
    <mergeCell ref="Y338:AA338"/>
    <mergeCell ref="F301:H301"/>
    <mergeCell ref="AG310:AI310"/>
    <mergeCell ref="F295:H295"/>
    <mergeCell ref="E303:E304"/>
    <mergeCell ref="AE389:AF389"/>
    <mergeCell ref="M39:N39"/>
    <mergeCell ref="AG157:AI157"/>
    <mergeCell ref="M339:N339"/>
    <mergeCell ref="AG326:AI326"/>
    <mergeCell ref="O110:T110"/>
    <mergeCell ref="X285:X286"/>
    <mergeCell ref="O410:T410"/>
    <mergeCell ref="B163:B164"/>
    <mergeCell ref="M29:N29"/>
    <mergeCell ref="M23:N23"/>
    <mergeCell ref="M373:N373"/>
    <mergeCell ref="A123:A124"/>
    <mergeCell ref="W335:W336"/>
    <mergeCell ref="D275:D276"/>
    <mergeCell ref="AG380:AI380"/>
    <mergeCell ref="M383:N383"/>
    <mergeCell ref="O154:T154"/>
    <mergeCell ref="M84:N84"/>
    <mergeCell ref="I101:L101"/>
    <mergeCell ref="M384:N384"/>
    <mergeCell ref="A265:A266"/>
    <mergeCell ref="D309:D310"/>
    <mergeCell ref="D303:D304"/>
    <mergeCell ref="AE30:AF30"/>
    <mergeCell ref="I102:L102"/>
    <mergeCell ref="O322:T322"/>
    <mergeCell ref="O49:T49"/>
    <mergeCell ref="U159:V160"/>
    <mergeCell ref="Y40:AA40"/>
    <mergeCell ref="O50:T50"/>
    <mergeCell ref="F22:H22"/>
    <mergeCell ref="F111:H111"/>
    <mergeCell ref="O350:T350"/>
    <mergeCell ref="A163:A164"/>
    <mergeCell ref="AG26:AI26"/>
    <mergeCell ref="Y93:AA93"/>
    <mergeCell ref="Y68:AA68"/>
    <mergeCell ref="I146:L146"/>
    <mergeCell ref="I171:L171"/>
    <mergeCell ref="AJ39:AK40"/>
    <mergeCell ref="F12:H12"/>
    <mergeCell ref="F164:H164"/>
    <mergeCell ref="AJ155:AK156"/>
    <mergeCell ref="I52:L52"/>
    <mergeCell ref="AE100:AF100"/>
    <mergeCell ref="AJ339:AK340"/>
    <mergeCell ref="I166:L166"/>
    <mergeCell ref="C281:C282"/>
    <mergeCell ref="AE400:AF400"/>
    <mergeCell ref="AB120:AD120"/>
    <mergeCell ref="AB278:AD278"/>
    <mergeCell ref="AG37:AI37"/>
    <mergeCell ref="I199:L199"/>
    <mergeCell ref="Y104:AA104"/>
    <mergeCell ref="AE128:AF128"/>
    <mergeCell ref="AE155:AF155"/>
    <mergeCell ref="B331:B332"/>
    <mergeCell ref="F367:H367"/>
    <mergeCell ref="Y138:AA138"/>
    <mergeCell ref="Y132:AA132"/>
    <mergeCell ref="AB174:AD174"/>
    <mergeCell ref="AG91:AI91"/>
    <mergeCell ref="E59:E60"/>
    <mergeCell ref="B259:B260"/>
    <mergeCell ref="AE350:AF350"/>
    <mergeCell ref="O165:T165"/>
    <mergeCell ref="M95:N95"/>
    <mergeCell ref="M89:N89"/>
    <mergeCell ref="D319:D320"/>
    <mergeCell ref="X41:X42"/>
    <mergeCell ref="X35:X36"/>
    <mergeCell ref="O77:T77"/>
    <mergeCell ref="Y274:AA274"/>
    <mergeCell ref="AG119:AI119"/>
    <mergeCell ref="O160:T160"/>
    <mergeCell ref="X341:X342"/>
    <mergeCell ref="O377:T377"/>
    <mergeCell ref="B401:B402"/>
    <mergeCell ref="U175:V176"/>
    <mergeCell ref="E107:E108"/>
    <mergeCell ref="O218:T218"/>
    <mergeCell ref="W91:W92"/>
    <mergeCell ref="M123:N123"/>
    <mergeCell ref="A179:A180"/>
    <mergeCell ref="O61:T61"/>
    <mergeCell ref="O219:T219"/>
    <mergeCell ref="D373:D374"/>
    <mergeCell ref="AG130:AI130"/>
    <mergeCell ref="W119:W120"/>
    <mergeCell ref="M159:N159"/>
    <mergeCell ref="M134:N134"/>
    <mergeCell ref="X105:X106"/>
    <mergeCell ref="D59:D60"/>
    <mergeCell ref="O230:T230"/>
    <mergeCell ref="X405:X406"/>
    <mergeCell ref="D359:D360"/>
    <mergeCell ref="A233:A234"/>
    <mergeCell ref="A227:A228"/>
    <mergeCell ref="W41:W42"/>
    <mergeCell ref="AB289:AD289"/>
    <mergeCell ref="W155:W156"/>
    <mergeCell ref="M187:N187"/>
    <mergeCell ref="I210:L210"/>
    <mergeCell ref="I237:L237"/>
    <mergeCell ref="C293:C294"/>
    <mergeCell ref="W341:W342"/>
    <mergeCell ref="F78:H78"/>
    <mergeCell ref="O283:T283"/>
    <mergeCell ref="AE139:AF139"/>
    <mergeCell ref="AE166:AF166"/>
    <mergeCell ref="I238:L238"/>
    <mergeCell ref="W25:W26"/>
    <mergeCell ref="W183:W184"/>
    <mergeCell ref="M329:N329"/>
    <mergeCell ref="Y149:AA149"/>
    <mergeCell ref="I265:L265"/>
    <mergeCell ref="C373:C374"/>
    <mergeCell ref="AJ95:AK96"/>
    <mergeCell ref="AJ89:AK90"/>
    <mergeCell ref="O311:T311"/>
    <mergeCell ref="F220:H220"/>
    <mergeCell ref="I133:L133"/>
    <mergeCell ref="I108:L108"/>
    <mergeCell ref="AE219:AF219"/>
    <mergeCell ref="AE194:AF194"/>
    <mergeCell ref="A297:A298"/>
    <mergeCell ref="AB34:AD34"/>
    <mergeCell ref="AB28:AD28"/>
    <mergeCell ref="AB29:AD29"/>
    <mergeCell ref="Y177:AA177"/>
    <mergeCell ref="C363:C364"/>
    <mergeCell ref="C357:C358"/>
    <mergeCell ref="E123:E124"/>
    <mergeCell ref="X47:X48"/>
    <mergeCell ref="Y345:AA345"/>
    <mergeCell ref="B293:B294"/>
    <mergeCell ref="AG190:AI190"/>
    <mergeCell ref="AB387:AD387"/>
    <mergeCell ref="AG304:AI304"/>
    <mergeCell ref="B9:B10"/>
    <mergeCell ref="AG185:AI185"/>
    <mergeCell ref="AB382:AD382"/>
    <mergeCell ref="F328:H328"/>
    <mergeCell ref="F284:H284"/>
    <mergeCell ref="U241:V242"/>
    <mergeCell ref="B141:B142"/>
    <mergeCell ref="B135:B136"/>
    <mergeCell ref="Y247:AA247"/>
    <mergeCell ref="Y241:AA241"/>
    <mergeCell ref="Y399:AA399"/>
    <mergeCell ref="O127:T127"/>
    <mergeCell ref="X249:X250"/>
    <mergeCell ref="F318:H318"/>
    <mergeCell ref="U83:V84"/>
    <mergeCell ref="F312:H312"/>
    <mergeCell ref="Y242:AA242"/>
    <mergeCell ref="U383:V384"/>
    <mergeCell ref="B363:B364"/>
    <mergeCell ref="O274:T274"/>
    <mergeCell ref="M204:N204"/>
    <mergeCell ref="M356:N356"/>
    <mergeCell ref="AG343:AI343"/>
    <mergeCell ref="D129:D130"/>
    <mergeCell ref="D123:D124"/>
    <mergeCell ref="O186:T186"/>
    <mergeCell ref="O269:T269"/>
    <mergeCell ref="M372:N372"/>
    <mergeCell ref="D297:D298"/>
    <mergeCell ref="D151:D152"/>
    <mergeCell ref="M227:N227"/>
    <mergeCell ref="A141:A142"/>
    <mergeCell ref="I277:L277"/>
    <mergeCell ref="M400:N400"/>
    <mergeCell ref="W249:W250"/>
    <mergeCell ref="AB40:AD40"/>
    <mergeCell ref="AJ161:AK162"/>
    <mergeCell ref="W6:X6"/>
    <mergeCell ref="AE264:AF264"/>
    <mergeCell ref="I288:L288"/>
    <mergeCell ref="A363:A364"/>
    <mergeCell ref="I46:L46"/>
    <mergeCell ref="C129:C130"/>
    <mergeCell ref="Y57:AA57"/>
    <mergeCell ref="M296:N296"/>
    <mergeCell ref="O67:T67"/>
    <mergeCell ref="AB93:AD93"/>
    <mergeCell ref="AB68:AD68"/>
    <mergeCell ref="Y268:AA268"/>
    <mergeCell ref="I346:L346"/>
    <mergeCell ref="D221:D222"/>
    <mergeCell ref="Y357:AA357"/>
    <mergeCell ref="I41:L41"/>
    <mergeCell ref="W145:W146"/>
    <mergeCell ref="O367:T367"/>
    <mergeCell ref="AJ303:AK304"/>
    <mergeCell ref="F339:H339"/>
    <mergeCell ref="E189:E190"/>
    <mergeCell ref="AE275:AF275"/>
    <mergeCell ref="I347:L347"/>
    <mergeCell ref="AE269:AF269"/>
    <mergeCell ref="I341:L341"/>
    <mergeCell ref="AB295:AD295"/>
    <mergeCell ref="C113:C114"/>
    <mergeCell ref="Y110:AA110"/>
    <mergeCell ref="C271:C272"/>
    <mergeCell ref="F355:H355"/>
    <mergeCell ref="I374:L374"/>
    <mergeCell ref="F23:H23"/>
    <mergeCell ref="Y410:AA410"/>
    <mergeCell ref="I69:L69"/>
    <mergeCell ref="AE117:AF117"/>
    <mergeCell ref="AJ225:AK226"/>
    <mergeCell ref="F350:H350"/>
    <mergeCell ref="AE303:AF303"/>
    <mergeCell ref="B49:B50"/>
    <mergeCell ref="AB137:AD137"/>
    <mergeCell ref="B207:B208"/>
    <mergeCell ref="AB138:AD138"/>
    <mergeCell ref="Y313:AA313"/>
    <mergeCell ref="AB132:AD132"/>
    <mergeCell ref="F84:H84"/>
    <mergeCell ref="AG266:AI266"/>
    <mergeCell ref="E259:E260"/>
    <mergeCell ref="AJ367:AK368"/>
    <mergeCell ref="F378:H378"/>
    <mergeCell ref="B191:B192"/>
    <mergeCell ref="AG293:AI293"/>
    <mergeCell ref="E287:E288"/>
    <mergeCell ref="AG408:AI408"/>
    <mergeCell ref="E401:E402"/>
    <mergeCell ref="AE367:AF367"/>
    <mergeCell ref="X211:X212"/>
    <mergeCell ref="B113:B114"/>
    <mergeCell ref="B271:B272"/>
    <mergeCell ref="U45:V46"/>
    <mergeCell ref="M112:N112"/>
    <mergeCell ref="AE368:AF368"/>
    <mergeCell ref="D179:D180"/>
    <mergeCell ref="M107:N107"/>
    <mergeCell ref="D337:D338"/>
    <mergeCell ref="O236:T236"/>
    <mergeCell ref="D331:D332"/>
    <mergeCell ref="O394:T394"/>
    <mergeCell ref="X53:X54"/>
    <mergeCell ref="AG305:AI305"/>
    <mergeCell ref="X353:X354"/>
    <mergeCell ref="B255:B256"/>
    <mergeCell ref="E335:E336"/>
    <mergeCell ref="U187:V188"/>
    <mergeCell ref="O404:T404"/>
    <mergeCell ref="O78:T78"/>
    <mergeCell ref="O105:T105"/>
    <mergeCell ref="M8:N8"/>
    <mergeCell ref="I58:L58"/>
    <mergeCell ref="O378:T378"/>
    <mergeCell ref="O405:T405"/>
    <mergeCell ref="A191:A192"/>
    <mergeCell ref="F51:H51"/>
    <mergeCell ref="A103:A104"/>
    <mergeCell ref="M193:N193"/>
    <mergeCell ref="M362:N362"/>
    <mergeCell ref="W305:W306"/>
    <mergeCell ref="I385:L385"/>
    <mergeCell ref="D287:D288"/>
    <mergeCell ref="AE14:AF14"/>
    <mergeCell ref="I86:L86"/>
    <mergeCell ref="I80:L80"/>
    <mergeCell ref="D401:D402"/>
    <mergeCell ref="AE314:AF314"/>
    <mergeCell ref="AJ237:AK238"/>
    <mergeCell ref="Y24:AA24"/>
    <mergeCell ref="A245:A246"/>
    <mergeCell ref="C179:C180"/>
    <mergeCell ref="F95:H95"/>
    <mergeCell ref="W53:W54"/>
    <mergeCell ref="AE25:AF25"/>
    <mergeCell ref="Y19:AA19"/>
    <mergeCell ref="AE183:AF183"/>
    <mergeCell ref="F395:H395"/>
    <mergeCell ref="AE394:AF394"/>
    <mergeCell ref="AJ79:AK80"/>
    <mergeCell ref="I397:L397"/>
    <mergeCell ref="F90:H90"/>
    <mergeCell ref="AJ265:AK266"/>
    <mergeCell ref="C21:C22"/>
    <mergeCell ref="AJ379:AK380"/>
    <mergeCell ref="Y166:AA166"/>
    <mergeCell ref="Y160:AA160"/>
    <mergeCell ref="F148:H148"/>
    <mergeCell ref="F123:H123"/>
    <mergeCell ref="F237:H237"/>
    <mergeCell ref="Y72:AA72"/>
    <mergeCell ref="Y47:AA47"/>
    <mergeCell ref="I150:L150"/>
    <mergeCell ref="C233:C234"/>
    <mergeCell ref="U219:V220"/>
    <mergeCell ref="Y161:AA161"/>
    <mergeCell ref="AB45:AD45"/>
    <mergeCell ref="F143:H143"/>
    <mergeCell ref="AJ101:AK102"/>
    <mergeCell ref="AE79:AF79"/>
    <mergeCell ref="AB345:AD345"/>
    <mergeCell ref="E293:E294"/>
    <mergeCell ref="Y219:AA219"/>
    <mergeCell ref="AB257:AD257"/>
    <mergeCell ref="AG16:AI16"/>
    <mergeCell ref="AG147:AI147"/>
    <mergeCell ref="AG174:AI174"/>
    <mergeCell ref="E9:E10"/>
    <mergeCell ref="F134:H134"/>
    <mergeCell ref="X369:X370"/>
    <mergeCell ref="E167:E168"/>
    <mergeCell ref="I178:L178"/>
    <mergeCell ref="U89:V90"/>
    <mergeCell ref="Y214:AA214"/>
    <mergeCell ref="AJ29:AK30"/>
    <mergeCell ref="AE107:AF107"/>
    <mergeCell ref="AB246:AD246"/>
    <mergeCell ref="AG163:AI163"/>
    <mergeCell ref="M151:N151"/>
    <mergeCell ref="AE407:AF407"/>
    <mergeCell ref="Y230:AA230"/>
    <mergeCell ref="AG44:AI44"/>
    <mergeCell ref="AB241:AD241"/>
    <mergeCell ref="B311:B312"/>
    <mergeCell ref="E37:E38"/>
    <mergeCell ref="AG158:AI158"/>
    <mergeCell ref="AG375:AI375"/>
    <mergeCell ref="M79:N79"/>
    <mergeCell ref="U259:V260"/>
    <mergeCell ref="E363:E364"/>
    <mergeCell ref="U253:V254"/>
    <mergeCell ref="Y258:AA258"/>
    <mergeCell ref="D87:D88"/>
    <mergeCell ref="O144:T144"/>
    <mergeCell ref="M74:N74"/>
    <mergeCell ref="W11:W12"/>
    <mergeCell ref="E179:E180"/>
    <mergeCell ref="W69:W70"/>
    <mergeCell ref="M221:N221"/>
    <mergeCell ref="M215:N215"/>
    <mergeCell ref="E391:E392"/>
    <mergeCell ref="W369:W370"/>
    <mergeCell ref="O197:T197"/>
    <mergeCell ref="O172:T172"/>
    <mergeCell ref="O286:T286"/>
    <mergeCell ref="M216:N216"/>
    <mergeCell ref="O40:T40"/>
    <mergeCell ref="D141:D142"/>
    <mergeCell ref="D135:D136"/>
    <mergeCell ref="W97:W98"/>
    <mergeCell ref="M243:N243"/>
    <mergeCell ref="D37:D38"/>
    <mergeCell ref="I293:L293"/>
    <mergeCell ref="AE222:AF222"/>
    <mergeCell ref="AJ145:AK146"/>
    <mergeCell ref="C277:C278"/>
    <mergeCell ref="AB268:AD268"/>
    <mergeCell ref="AE150:AF150"/>
    <mergeCell ref="I189:L189"/>
    <mergeCell ref="F57:H57"/>
    <mergeCell ref="F171:H171"/>
    <mergeCell ref="AE118:AF118"/>
    <mergeCell ref="M313:N313"/>
    <mergeCell ref="AB110:AD110"/>
    <mergeCell ref="Y285:AA285"/>
    <mergeCell ref="X135:X136"/>
    <mergeCell ref="F204:H204"/>
    <mergeCell ref="C141:C142"/>
    <mergeCell ref="F198:H198"/>
    <mergeCell ref="AB410:AD410"/>
    <mergeCell ref="F356:H356"/>
    <mergeCell ref="M308:N308"/>
    <mergeCell ref="Y128:AA128"/>
    <mergeCell ref="I244:L244"/>
    <mergeCell ref="AE292:AF292"/>
    <mergeCell ref="I358:L358"/>
    <mergeCell ref="AB12:AD12"/>
    <mergeCell ref="U269:V270"/>
    <mergeCell ref="F199:H199"/>
    <mergeCell ref="AE173:AF173"/>
    <mergeCell ref="AB312:AD312"/>
    <mergeCell ref="AE287:AF287"/>
    <mergeCell ref="AG229:AI229"/>
    <mergeCell ref="AB13:AD13"/>
    <mergeCell ref="AB7:AD7"/>
    <mergeCell ref="Y269:AA269"/>
    <mergeCell ref="AB307:AD307"/>
    <mergeCell ref="C125:C126"/>
    <mergeCell ref="AG230:AI230"/>
    <mergeCell ref="AG224:AI224"/>
    <mergeCell ref="Y181:AA181"/>
    <mergeCell ref="AE320:AF320"/>
    <mergeCell ref="Y270:AA270"/>
    <mergeCell ref="F252:H252"/>
    <mergeCell ref="E129:E130"/>
    <mergeCell ref="U323:V324"/>
    <mergeCell ref="B61:B62"/>
    <mergeCell ref="Y330:AA330"/>
    <mergeCell ref="Y324:AA324"/>
    <mergeCell ref="AB366:AD366"/>
    <mergeCell ref="AG125:AI125"/>
    <mergeCell ref="A27:A28"/>
    <mergeCell ref="AG283:AI283"/>
    <mergeCell ref="AE373:AF373"/>
    <mergeCell ref="A327:A328"/>
    <mergeCell ref="B119:B120"/>
    <mergeCell ref="U51:V52"/>
    <mergeCell ref="U9:V10"/>
    <mergeCell ref="E113:E114"/>
    <mergeCell ref="E271:E272"/>
    <mergeCell ref="X347:X348"/>
    <mergeCell ref="D49:D50"/>
    <mergeCell ref="U367:V368"/>
    <mergeCell ref="M129:N129"/>
    <mergeCell ref="F291:H291"/>
    <mergeCell ref="M315:N315"/>
    <mergeCell ref="O42:T42"/>
    <mergeCell ref="O253:T253"/>
    <mergeCell ref="M183:N183"/>
    <mergeCell ref="AJ189:AK190"/>
    <mergeCell ref="M335:N335"/>
    <mergeCell ref="D191:D192"/>
    <mergeCell ref="M24:N24"/>
    <mergeCell ref="M324:N324"/>
    <mergeCell ref="M351:N351"/>
    <mergeCell ref="D249:D250"/>
    <mergeCell ref="O306:T306"/>
    <mergeCell ref="W173:W174"/>
    <mergeCell ref="F373:H373"/>
    <mergeCell ref="AE189:AF189"/>
    <mergeCell ref="M319:N319"/>
    <mergeCell ref="AB181:AD181"/>
    <mergeCell ref="F210:H210"/>
    <mergeCell ref="I256:L256"/>
    <mergeCell ref="W347:W348"/>
    <mergeCell ref="M379:N379"/>
    <mergeCell ref="AB18:AD18"/>
    <mergeCell ref="I103:L103"/>
    <mergeCell ref="I97:L97"/>
    <mergeCell ref="O317:T317"/>
    <mergeCell ref="AE331:AF331"/>
    <mergeCell ref="I403:L403"/>
    <mergeCell ref="AE26:AF26"/>
    <mergeCell ref="AB165:AD165"/>
    <mergeCell ref="W217:W218"/>
    <mergeCell ref="W375:W376"/>
    <mergeCell ref="AB166:AD166"/>
    <mergeCell ref="Y341:AA341"/>
    <mergeCell ref="AE42:AF42"/>
    <mergeCell ref="Y36:AA36"/>
    <mergeCell ref="F323:H323"/>
    <mergeCell ref="E173:E174"/>
    <mergeCell ref="AJ281:AK282"/>
    <mergeCell ref="I325:L325"/>
    <mergeCell ref="Y336:AA336"/>
    <mergeCell ref="AE254:AF254"/>
    <mergeCell ref="AB63:AD63"/>
    <mergeCell ref="AG22:AI22"/>
    <mergeCell ref="Y394:AA394"/>
    <mergeCell ref="AE70:AF70"/>
    <mergeCell ref="I167:L167"/>
    <mergeCell ref="F307:H307"/>
    <mergeCell ref="F334:H334"/>
    <mergeCell ref="F8:H8"/>
    <mergeCell ref="AE401:AF401"/>
    <mergeCell ref="AE395:AF395"/>
    <mergeCell ref="X239:X240"/>
    <mergeCell ref="AE96:AF96"/>
    <mergeCell ref="AJ335:AK336"/>
    <mergeCell ref="U73:V74"/>
    <mergeCell ref="F308:H308"/>
    <mergeCell ref="AE396:AF396"/>
    <mergeCell ref="AG338:AI338"/>
    <mergeCell ref="AB116:AD116"/>
    <mergeCell ref="O122:T122"/>
    <mergeCell ref="AG33:AI33"/>
    <mergeCell ref="Y405:AA405"/>
    <mergeCell ref="X255:X256"/>
    <mergeCell ref="AJ351:AK352"/>
    <mergeCell ref="X81:X82"/>
    <mergeCell ref="Y231:AA231"/>
    <mergeCell ref="AG333:AI333"/>
    <mergeCell ref="AB117:AD117"/>
    <mergeCell ref="AG34:AI34"/>
    <mergeCell ref="E21:E22"/>
    <mergeCell ref="X381:X382"/>
    <mergeCell ref="B327:B328"/>
    <mergeCell ref="U101:V102"/>
    <mergeCell ref="AG392:AI392"/>
    <mergeCell ref="X309:X310"/>
    <mergeCell ref="A131:A132"/>
    <mergeCell ref="M396:N396"/>
    <mergeCell ref="M390:N390"/>
    <mergeCell ref="W333:W334"/>
    <mergeCell ref="O161:T161"/>
    <mergeCell ref="M91:N91"/>
    <mergeCell ref="D315:D316"/>
    <mergeCell ref="I114:L114"/>
    <mergeCell ref="W239:W240"/>
    <mergeCell ref="M391:N391"/>
    <mergeCell ref="X337:X338"/>
    <mergeCell ref="X331:X332"/>
    <mergeCell ref="O373:T373"/>
    <mergeCell ref="U171:V172"/>
    <mergeCell ref="O62:T62"/>
    <mergeCell ref="O56:T56"/>
    <mergeCell ref="W81:W82"/>
    <mergeCell ref="M75:N75"/>
    <mergeCell ref="I11:L11"/>
    <mergeCell ref="M233:N233"/>
    <mergeCell ref="O362:T362"/>
    <mergeCell ref="O389:T389"/>
    <mergeCell ref="A175:A176"/>
    <mergeCell ref="O57:T57"/>
    <mergeCell ref="W381:W382"/>
    <mergeCell ref="D211:D212"/>
    <mergeCell ref="O357:T357"/>
    <mergeCell ref="AJ293:AK294"/>
    <mergeCell ref="F1:G1"/>
    <mergeCell ref="AB232:AD232"/>
    <mergeCell ref="I64:L64"/>
    <mergeCell ref="I153:L153"/>
    <mergeCell ref="C261:C262"/>
    <mergeCell ref="W309:W310"/>
    <mergeCell ref="I364:L364"/>
    <mergeCell ref="A317:A318"/>
    <mergeCell ref="F46:H46"/>
    <mergeCell ref="O226:T226"/>
    <mergeCell ref="I65:L65"/>
    <mergeCell ref="X401:X402"/>
    <mergeCell ref="AJ373:AK374"/>
    <mergeCell ref="W125:W126"/>
    <mergeCell ref="F346:H346"/>
    <mergeCell ref="A223:A224"/>
    <mergeCell ref="C163:C164"/>
    <mergeCell ref="AE293:AF293"/>
    <mergeCell ref="F73:H73"/>
    <mergeCell ref="AB285:AD285"/>
    <mergeCell ref="I75:L75"/>
    <mergeCell ref="AE167:AF167"/>
    <mergeCell ref="I206:L206"/>
    <mergeCell ref="Y117:AA117"/>
    <mergeCell ref="C289:C290"/>
    <mergeCell ref="F379:H379"/>
    <mergeCell ref="F74:H74"/>
    <mergeCell ref="AJ57:AK58"/>
    <mergeCell ref="AE162:AF162"/>
    <mergeCell ref="AB301:AD301"/>
    <mergeCell ref="AJ363:AK364"/>
    <mergeCell ref="F374:H374"/>
    <mergeCell ref="AJ357:AK358"/>
    <mergeCell ref="Y144:AA144"/>
    <mergeCell ref="C305:C306"/>
    <mergeCell ref="Y302:AA302"/>
    <mergeCell ref="C211:C212"/>
    <mergeCell ref="Y145:AA145"/>
    <mergeCell ref="Y139:AA139"/>
    <mergeCell ref="I217:L217"/>
    <mergeCell ref="X147:X148"/>
    <mergeCell ref="AJ91:AK92"/>
    <mergeCell ref="AJ85:AK86"/>
    <mergeCell ref="AG98:AI98"/>
    <mergeCell ref="F216:H216"/>
    <mergeCell ref="I129:L129"/>
    <mergeCell ref="B241:B242"/>
    <mergeCell ref="AE146:AF146"/>
    <mergeCell ref="AJ391:AK392"/>
    <mergeCell ref="E277:E278"/>
    <mergeCell ref="AJ385:AK386"/>
    <mergeCell ref="AB24:AD24"/>
    <mergeCell ref="Y286:AA286"/>
    <mergeCell ref="AG131:AI131"/>
    <mergeCell ref="B261:B262"/>
    <mergeCell ref="M102:N102"/>
    <mergeCell ref="AB324:AD324"/>
    <mergeCell ref="D27:D28"/>
    <mergeCell ref="C353:C354"/>
    <mergeCell ref="Y287:AA287"/>
    <mergeCell ref="AG126:AI126"/>
    <mergeCell ref="B289:B290"/>
    <mergeCell ref="AG142:AI142"/>
    <mergeCell ref="D55:D56"/>
    <mergeCell ref="Y209:AA209"/>
    <mergeCell ref="X59:X60"/>
    <mergeCell ref="X403:X404"/>
    <mergeCell ref="A39:A40"/>
    <mergeCell ref="X359:X360"/>
    <mergeCell ref="B305:B306"/>
    <mergeCell ref="M146:N146"/>
    <mergeCell ref="U237:V238"/>
    <mergeCell ref="B131:B132"/>
    <mergeCell ref="O128:T128"/>
    <mergeCell ref="M52:N52"/>
    <mergeCell ref="O242:T242"/>
    <mergeCell ref="AG170:AI170"/>
    <mergeCell ref="D371:D372"/>
    <mergeCell ref="Y237:AA237"/>
    <mergeCell ref="X87:X88"/>
    <mergeCell ref="O123:T123"/>
    <mergeCell ref="D277:D278"/>
    <mergeCell ref="U79:V80"/>
    <mergeCell ref="M199:N199"/>
    <mergeCell ref="M288:N288"/>
    <mergeCell ref="U379:V380"/>
    <mergeCell ref="O270:T270"/>
    <mergeCell ref="M200:N200"/>
    <mergeCell ref="M194:N194"/>
    <mergeCell ref="W137:W138"/>
    <mergeCell ref="A83:A84"/>
    <mergeCell ref="D119:D120"/>
    <mergeCell ref="A383:A384"/>
    <mergeCell ref="O290:T290"/>
    <mergeCell ref="O265:T265"/>
    <mergeCell ref="I245:L245"/>
    <mergeCell ref="A251:A252"/>
    <mergeCell ref="C55:C56"/>
    <mergeCell ref="C11:C12"/>
    <mergeCell ref="W59:W60"/>
    <mergeCell ref="I120:L120"/>
    <mergeCell ref="I278:L278"/>
    <mergeCell ref="Y156:AA156"/>
    <mergeCell ref="I234:L234"/>
    <mergeCell ref="AJ129:AK130"/>
    <mergeCell ref="AJ123:AK124"/>
    <mergeCell ref="F227:H227"/>
    <mergeCell ref="I115:L115"/>
    <mergeCell ref="AB340:AD340"/>
    <mergeCell ref="A279:A280"/>
    <mergeCell ref="AB41:AD41"/>
    <mergeCell ref="AB35:AD35"/>
    <mergeCell ref="W87:W88"/>
    <mergeCell ref="W201:W202"/>
    <mergeCell ref="AB36:AD36"/>
    <mergeCell ref="AE217:AF217"/>
    <mergeCell ref="I262:L262"/>
    <mergeCell ref="AE43:AF43"/>
    <mergeCell ref="AJ151:AK152"/>
    <mergeCell ref="AJ113:AK114"/>
    <mergeCell ref="AJ271:AK272"/>
    <mergeCell ref="E157:E158"/>
    <mergeCell ref="I168:L168"/>
    <mergeCell ref="C213:C214"/>
    <mergeCell ref="Y352:AA352"/>
    <mergeCell ref="AG197:AI197"/>
    <mergeCell ref="AB394:AD394"/>
    <mergeCell ref="I184:L184"/>
    <mergeCell ref="Y264:AA264"/>
    <mergeCell ref="I342:L342"/>
    <mergeCell ref="F177:H177"/>
    <mergeCell ref="F297:H297"/>
    <mergeCell ref="E185:E186"/>
    <mergeCell ref="F335:H335"/>
    <mergeCell ref="AE271:AF271"/>
    <mergeCell ref="B17:B18"/>
    <mergeCell ref="AB122:AD122"/>
    <mergeCell ref="B11:B12"/>
    <mergeCell ref="A343:A344"/>
    <mergeCell ref="AB105:AD105"/>
    <mergeCell ref="C109:C110"/>
    <mergeCell ref="AB405:AD405"/>
    <mergeCell ref="Y37:AA37"/>
    <mergeCell ref="AG339:AI339"/>
    <mergeCell ref="E201:E202"/>
    <mergeCell ref="Y254:AA254"/>
    <mergeCell ref="B143:B144"/>
    <mergeCell ref="Y248:AA248"/>
    <mergeCell ref="C409:C410"/>
    <mergeCell ref="Y406:AA406"/>
    <mergeCell ref="E27:E28"/>
    <mergeCell ref="AJ221:AK222"/>
    <mergeCell ref="E327:E328"/>
    <mergeCell ref="B45:B46"/>
    <mergeCell ref="AB133:AD133"/>
    <mergeCell ref="E81:E82"/>
    <mergeCell ref="AG50:AI50"/>
    <mergeCell ref="O281:T281"/>
    <mergeCell ref="AG236:AI236"/>
    <mergeCell ref="AG350:AI350"/>
    <mergeCell ref="E343:E344"/>
    <mergeCell ref="Y303:AA303"/>
    <mergeCell ref="F247:H247"/>
    <mergeCell ref="M239:N239"/>
    <mergeCell ref="Y318:AA318"/>
    <mergeCell ref="M407:N407"/>
    <mergeCell ref="B109:B110"/>
    <mergeCell ref="U41:V42"/>
    <mergeCell ref="B409:B410"/>
    <mergeCell ref="M250:N250"/>
    <mergeCell ref="M408:N408"/>
    <mergeCell ref="O21:T21"/>
    <mergeCell ref="O46:T46"/>
    <mergeCell ref="M402:N402"/>
    <mergeCell ref="I300:L300"/>
    <mergeCell ref="D175:D176"/>
    <mergeCell ref="O232:T232"/>
    <mergeCell ref="D327:D328"/>
    <mergeCell ref="O346:T346"/>
    <mergeCell ref="F293:H293"/>
    <mergeCell ref="B251:B252"/>
    <mergeCell ref="I28:L28"/>
    <mergeCell ref="M309:N309"/>
    <mergeCell ref="M303:N303"/>
    <mergeCell ref="M330:N330"/>
    <mergeCell ref="I353:L353"/>
    <mergeCell ref="I48:L48"/>
    <mergeCell ref="AJ179:AK180"/>
    <mergeCell ref="O401:T401"/>
    <mergeCell ref="D397:D398"/>
    <mergeCell ref="M304:N304"/>
    <mergeCell ref="I354:L354"/>
    <mergeCell ref="I81:L81"/>
    <mergeCell ref="N5:O5"/>
    <mergeCell ref="I381:L381"/>
    <mergeCell ref="AJ21:AK22"/>
    <mergeCell ref="AE10:AF10"/>
    <mergeCell ref="I76:L76"/>
    <mergeCell ref="F363:H363"/>
    <mergeCell ref="AE310:AF310"/>
    <mergeCell ref="I382:L382"/>
    <mergeCell ref="AB144:AD144"/>
    <mergeCell ref="Y319:AA319"/>
    <mergeCell ref="AB302:AD302"/>
    <mergeCell ref="Y20:AA20"/>
    <mergeCell ref="Y14:AA14"/>
    <mergeCell ref="C175:C176"/>
    <mergeCell ref="F390:H390"/>
    <mergeCell ref="AB145:AD145"/>
    <mergeCell ref="AE326:AF326"/>
    <mergeCell ref="Y320:AA320"/>
    <mergeCell ref="F91:H91"/>
    <mergeCell ref="Y314:AA314"/>
    <mergeCell ref="D267:D268"/>
    <mergeCell ref="AE21:AF21"/>
    <mergeCell ref="AG273:AI273"/>
    <mergeCell ref="F391:H391"/>
    <mergeCell ref="I304:L304"/>
    <mergeCell ref="F385:H385"/>
    <mergeCell ref="I393:L393"/>
    <mergeCell ref="AB172:AD172"/>
    <mergeCell ref="C17:C18"/>
    <mergeCell ref="AG89:AI89"/>
    <mergeCell ref="AJ375:AK376"/>
    <mergeCell ref="AG306:AI306"/>
    <mergeCell ref="Y162:AA162"/>
    <mergeCell ref="C317:C318"/>
    <mergeCell ref="Y373:AA373"/>
    <mergeCell ref="X223:X224"/>
    <mergeCell ref="E83:E84"/>
    <mergeCell ref="AE49:AF49"/>
    <mergeCell ref="AE163:AF163"/>
    <mergeCell ref="AE380:AF380"/>
    <mergeCell ref="AE374:AF374"/>
    <mergeCell ref="AG17:AI17"/>
    <mergeCell ref="M119:N119"/>
    <mergeCell ref="Y84:AA84"/>
    <mergeCell ref="X65:X66"/>
    <mergeCell ref="AG317:AI317"/>
    <mergeCell ref="AG12:AI12"/>
    <mergeCell ref="Y384:AA384"/>
    <mergeCell ref="X365:X366"/>
    <mergeCell ref="U199:V200"/>
    <mergeCell ref="E305:E306"/>
    <mergeCell ref="O117:T117"/>
    <mergeCell ref="AG159:AI159"/>
    <mergeCell ref="M147:N147"/>
    <mergeCell ref="AG370:AI370"/>
    <mergeCell ref="B149:B150"/>
    <mergeCell ref="O112:T112"/>
    <mergeCell ref="E33:E34"/>
    <mergeCell ref="AG154:AI154"/>
    <mergeCell ref="E333:E334"/>
    <mergeCell ref="B317:B318"/>
    <mergeCell ref="M158:N158"/>
    <mergeCell ref="M375:N375"/>
    <mergeCell ref="M369:N369"/>
    <mergeCell ref="O140:T140"/>
    <mergeCell ref="I93:L93"/>
    <mergeCell ref="A257:A258"/>
    <mergeCell ref="W65:W66"/>
    <mergeCell ref="M59:N59"/>
    <mergeCell ref="I109:L109"/>
    <mergeCell ref="W365:W366"/>
    <mergeCell ref="M359:N359"/>
    <mergeCell ref="F102:H102"/>
    <mergeCell ref="M54:N54"/>
    <mergeCell ref="I104:L104"/>
    <mergeCell ref="A285:A286"/>
    <mergeCell ref="F402:H402"/>
    <mergeCell ref="D279:D280"/>
    <mergeCell ref="W207:W208"/>
    <mergeCell ref="Y173:AA173"/>
    <mergeCell ref="I289:L289"/>
    <mergeCell ref="AB211:AD211"/>
    <mergeCell ref="F113:H113"/>
    <mergeCell ref="D333:D334"/>
    <mergeCell ref="I157:L157"/>
    <mergeCell ref="I132:L132"/>
    <mergeCell ref="AE218:AF218"/>
    <mergeCell ref="AJ141:AK142"/>
    <mergeCell ref="AG186:AI186"/>
    <mergeCell ref="AB358:AD358"/>
    <mergeCell ref="Y70:AA70"/>
    <mergeCell ref="AB264:AD264"/>
    <mergeCell ref="AG23:AI23"/>
    <mergeCell ref="AE119:AF119"/>
    <mergeCell ref="I54:L54"/>
    <mergeCell ref="I185:L185"/>
    <mergeCell ref="I212:L212"/>
    <mergeCell ref="AE229:AF229"/>
    <mergeCell ref="AJ11:AK12"/>
    <mergeCell ref="AJ125:AK126"/>
    <mergeCell ref="AE114:AF114"/>
    <mergeCell ref="AG56:AI56"/>
    <mergeCell ref="AB280:AD280"/>
    <mergeCell ref="Y129:AA129"/>
    <mergeCell ref="Y123:AA123"/>
    <mergeCell ref="I201:L201"/>
    <mergeCell ref="X131:X132"/>
    <mergeCell ref="F200:H200"/>
    <mergeCell ref="AB406:AD406"/>
    <mergeCell ref="AE130:AF130"/>
    <mergeCell ref="Y124:AA124"/>
    <mergeCell ref="B333:B334"/>
    <mergeCell ref="I196:L196"/>
    <mergeCell ref="AB8:AD8"/>
    <mergeCell ref="U265:V266"/>
    <mergeCell ref="F37:H37"/>
    <mergeCell ref="F195:H195"/>
    <mergeCell ref="AB308:AD308"/>
    <mergeCell ref="W23:W24"/>
    <mergeCell ref="AG225:AI225"/>
    <mergeCell ref="Y134:AA134"/>
    <mergeCell ref="Y271:AA271"/>
    <mergeCell ref="X115:X116"/>
    <mergeCell ref="Y265:AA265"/>
    <mergeCell ref="X273:X274"/>
    <mergeCell ref="O151:T151"/>
    <mergeCell ref="X27:X28"/>
    <mergeCell ref="E213:E214"/>
    <mergeCell ref="Y266:AA266"/>
    <mergeCell ref="E403:E404"/>
    <mergeCell ref="U293:V294"/>
    <mergeCell ref="X327:X328"/>
    <mergeCell ref="B387:B388"/>
    <mergeCell ref="U161:V162"/>
    <mergeCell ref="M228:N228"/>
    <mergeCell ref="M222:N222"/>
    <mergeCell ref="D147:D148"/>
    <mergeCell ref="W77:W78"/>
    <mergeCell ref="AG121:AI121"/>
    <mergeCell ref="M223:N223"/>
    <mergeCell ref="A165:A166"/>
    <mergeCell ref="A323:A324"/>
    <mergeCell ref="E109:E110"/>
    <mergeCell ref="M125:N125"/>
    <mergeCell ref="M256:N256"/>
    <mergeCell ref="O221:T221"/>
    <mergeCell ref="AJ157:AK158"/>
    <mergeCell ref="A51:A52"/>
    <mergeCell ref="D45:D46"/>
    <mergeCell ref="U205:V206"/>
    <mergeCell ref="U363:V364"/>
    <mergeCell ref="A307:A308"/>
    <mergeCell ref="W121:W122"/>
    <mergeCell ref="W115:W116"/>
    <mergeCell ref="A219:A220"/>
    <mergeCell ref="W273:W274"/>
    <mergeCell ref="M267:N267"/>
    <mergeCell ref="D103:D104"/>
    <mergeCell ref="W27:W28"/>
    <mergeCell ref="O249:T249"/>
    <mergeCell ref="AJ185:AK186"/>
    <mergeCell ref="D403:D404"/>
    <mergeCell ref="A35:A36"/>
    <mergeCell ref="I223:L223"/>
    <mergeCell ref="A387:A388"/>
    <mergeCell ref="W263:W264"/>
    <mergeCell ref="I370:L370"/>
    <mergeCell ref="O302:T302"/>
    <mergeCell ref="F211:H211"/>
    <mergeCell ref="W169:W170"/>
    <mergeCell ref="AE185:AF185"/>
    <mergeCell ref="I257:L257"/>
    <mergeCell ref="Y135:AA135"/>
    <mergeCell ref="I213:L213"/>
    <mergeCell ref="AE299:AF299"/>
    <mergeCell ref="AB19:AD19"/>
    <mergeCell ref="AJ81:AK82"/>
    <mergeCell ref="A371:A372"/>
    <mergeCell ref="AB108:AD108"/>
    <mergeCell ref="F206:H206"/>
    <mergeCell ref="AB319:AD319"/>
    <mergeCell ref="C181:C182"/>
    <mergeCell ref="AB20:AD20"/>
    <mergeCell ref="AB14:AD14"/>
    <mergeCell ref="Y282:AA282"/>
    <mergeCell ref="Y309:AA309"/>
    <mergeCell ref="AE27:AF27"/>
    <mergeCell ref="AJ249:AK250"/>
    <mergeCell ref="AE196:AF196"/>
    <mergeCell ref="I241:L241"/>
    <mergeCell ref="AE327:AF327"/>
    <mergeCell ref="Y277:AA277"/>
    <mergeCell ref="B73:B74"/>
    <mergeCell ref="AB161:AD161"/>
    <mergeCell ref="B231:B232"/>
    <mergeCell ref="W213:W214"/>
    <mergeCell ref="Y179:AA179"/>
    <mergeCell ref="AB162:AD162"/>
    <mergeCell ref="Y337:AA337"/>
    <mergeCell ref="AB156:AD156"/>
    <mergeCell ref="Y331:AA331"/>
    <mergeCell ref="I409:L409"/>
    <mergeCell ref="AB373:AD373"/>
    <mergeCell ref="AE38:AF38"/>
    <mergeCell ref="E169:E170"/>
    <mergeCell ref="AJ277:AK278"/>
    <mergeCell ref="AG290:AI290"/>
    <mergeCell ref="F250:H250"/>
    <mergeCell ref="E283:E284"/>
    <mergeCell ref="I321:L321"/>
    <mergeCell ref="X93:X94"/>
    <mergeCell ref="AE338:AF338"/>
    <mergeCell ref="X207:X208"/>
    <mergeCell ref="F276:H276"/>
    <mergeCell ref="AB389:AD389"/>
    <mergeCell ref="Y21:AA21"/>
    <mergeCell ref="O364:T364"/>
    <mergeCell ref="U227:V228"/>
    <mergeCell ref="M294:N294"/>
    <mergeCell ref="AB84:AD84"/>
    <mergeCell ref="O65:T65"/>
    <mergeCell ref="D219:D220"/>
    <mergeCell ref="AG160:AI160"/>
    <mergeCell ref="Y16:AA16"/>
    <mergeCell ref="F303:H303"/>
    <mergeCell ref="E153:E154"/>
    <mergeCell ref="E311:E312"/>
    <mergeCell ref="X235:X236"/>
    <mergeCell ref="B181:B182"/>
    <mergeCell ref="B137:B138"/>
    <mergeCell ref="M22:N22"/>
    <mergeCell ref="U69:V70"/>
    <mergeCell ref="AE392:AF392"/>
    <mergeCell ref="AG334:AI334"/>
    <mergeCell ref="U369:V370"/>
    <mergeCell ref="D89:D90"/>
    <mergeCell ref="AG29:AI29"/>
    <mergeCell ref="AB226:AD226"/>
    <mergeCell ref="D203:D204"/>
    <mergeCell ref="Y401:AA401"/>
    <mergeCell ref="X251:X252"/>
    <mergeCell ref="O260:T260"/>
    <mergeCell ref="AJ347:AK348"/>
    <mergeCell ref="A73:A74"/>
    <mergeCell ref="AG329:AI329"/>
  </mergeCells>
  <dataValidations count="10">
    <dataValidation sqref="F2:O3 F4 H4 J4 L4 N4" showDropDown="0" showInputMessage="1" showErrorMessage="0" allowBlank="0" type="list">
      <formula1>"Lt Qualls,Ofc Hall,Ofc James,Ofc Jennings,Cpl Stephens,LCpl Adams,,"</formula1>
    </dataValidation>
    <dataValidation sqref="P6:X6 W5:X5" showDropDown="0" showInputMessage="1" showErrorMessage="1" allowBlank="0" type="list">
      <formula1>"Cpl Burroughs,LCpl Lavoie,Sgt Medders,Sgt Rottinghaus,Cpl Giese,LCpl Schillinger,Cpl Martinez,Cpl Acevedo,,"</formula1>
    </dataValidation>
    <dataValidation sqref="Y10:AA10 Y12:AA12 Y14:AA14 Y16:AA16 Y18:AA18 Y20:AA20 Y22:AA22 Y24:AA24 Y26:AA26 Y28:AA28 Y30:AI30 Y32:AA32 Y34:AA34 Y36:AA36 Y38:AA38 Y40:AA40 Y42:AA42 Y44:AA44 Y46:AA46 Y48:AA48 Y50:AA50 Y52:AA52 Y54:AA54 Y56:AA56 Y58:AA58 Y60:AA60 Y62:AA62 Y64:AA64 Y66:AA66 Y68:AA68 Y70:AA70 Y72:AA72 Y74:AA74 Y76:AA76 Y78:AA78 Y80:AA80 Y82:AA82 Y84:AA84 Y86:AA86 Y88:AA88 Y90:AA90 Y92:AA92 Y94:AA94 Y96:AA96 Y98:AA98 Y100:AA100 Y102:AA102 Y104:AI104 Y106:AA106 Y108:AA108 Y110:AA110 Y112:AA112 Y114:AA114 Y116:AA116 Y118:AA118 Y120:AA120 Y122:AA122 Y124:AA124 Y126:AA126 Y128:AA128 Y130:AA130 Y132:AA132 Y134:AA134 Y136:AA136 Y138:AA138 Y140:AA140 Y142:AA142 Y144:AA144 Y146:AA146 Y148:AA148 Y150:AA150 Y152:AA152 Y154:AA154 Y156:AA156 Y158:AA158 Y160:AA160 Y162:AA162 Y164:AA164 Y166:AA166 Y168:AA168 Y170:AA170 Y172:AA172 Y174:AA174 Y176:AA176 Y178:AA178 Y180:AA180 Y182:AA182 Y184:AA184 Y186:AA186 Y188:AA188 Y190:AA190 Y192:AA192 Y194:AA194 Y196:AA196 Y198:AA198 Y200:AA200 Y202:AA202 Y204:AA204 Y206:AA206 Y208:AA208 Y210:AA210 Y212:AA212 Y214:AA214 Y216:AA216 Y218:AA218 Y220:AA220 Y222:AA222 Y224:AA224 Y226:AA226 Y228:AA228 Y230:AA230 Y232:AA232 Y234:AA234 Y236:AA236 Y238:AA238 Y240:AA240 Y242:AA242 Y244:AA244 Y246:AA246 Y248:AA248 Y250:AA250 Y252:AA252 Y254:AA254 Y256:AA256 Y258:AA258 Y260:AA260 Y262:AA262 Y264:AA264 Y266:AA266 Y268:AA268 Y270:AA270 Y272:AA272 Y274:AA274 Y276:AA276 Y278:AA278 Y280:AA280 Y282:AA282 Y284:AA284 Y286:AA286 Y288:AA288 Y290:AA290 Y292:AA292 Y294:AA294 Y296:AA296 Y298:AA298 Y300:AA300 Y302:AA302 Y304:AA304 Y306:AA306 Y308:AA308 Y310:AA310 Y312:AA312 Y314:AA314 Y316:AA316 Y318:AA318 Y320:AA320 Y322:AA322 Y324:AA324 Y326:AA326 Y328:AA328 Y330:AA330 Y332:AA332 Y334:AA334 Y336:AA336 Y338:AA338 Y340:AA340 Y342:AA342 Y344:AA344 Y346:AA346 Y348:AA348 Y350:AA350 Y352:AA352 Y354:AA354 Y356:AA356 Y358:AA358 Y360:AA360 Y362:AA362 Y364:AA364 Y366:AA366 Y368:AA368 Y370:AA370 Y372:AA372 Y374:AA374 Y376:AA376 Y378:AA378 Y380:AA380 Y382:AA382 Y384:AA384 Y386:AA386 Y388:AA388 Y390:AA390 Y392:AA392 Y394:AA394 Y396:AA396 Y398:AA398 Y400:AA400 Y402:AA402 Y404:AA404 Y406:AA406 Y408:AA408 Y410:AA410 AB7:AI7 AB9:AD29 AB31:AI103 AB105:AI410 AE8:AI29 AJ7:AK410" showDropDown="0" showInputMessage="1" showErrorMessage="0" allowBlank="0" type="list">
      <formula1>IF(,,AL7)</formula1>
    </dataValidation>
    <dataValidation sqref="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showDropDown="0" showInputMessage="1" showErrorMessage="1" allowBlank="0" type="list">
      <formula1>IF(,,Y10)</formula1>
    </dataValidation>
    <dataValidation sqref="M9:T410" showDropDown="0" showInputMessage="1" showErrorMessage="0" allowBlank="0" type="list">
      <formula1>IF(,,AE9)</formula1>
    </dataValidation>
    <dataValidation sqref="U9:V410" showDropDown="0" showInputMessage="1" showErrorMessage="0" allowBlank="0" type="list">
      <formula1>IF(,,AJ9)</formula1>
    </dataValidation>
    <dataValidation sqref="D9:D410" showDropDown="0" showInputMessage="1" showErrorMessage="1" allowBlank="0" type="list">
      <formula1>"LG,SM,,"</formula1>
    </dataValidation>
    <dataValidation sqref="P5:V5" showDropDown="0" showInputMessage="1" showErrorMessage="0" allowBlank="0" type="list">
      <formula1>"Cpl Burroughs,LCpl Lavoie,Sgt Medders,Sgt Rottinghaus,Cpl Giese,LCpl Schillinger,Cpl Martinez,Cpl Acevedo,,"</formula1>
    </dataValidation>
    <dataValidation sqref="B9:B410" showDropDown="0" showInputMessage="1" showErrorMessage="1" allowBlank="0" type="list">
      <formula1>"G,R,F"</formula1>
    </dataValidation>
    <dataValidation sqref="I9:L410" showDropDown="0" showInputMessage="1" showErrorMessage="0" allowBlank="0" type="list">
      <formula1>IF(,,AB9)</formula1>
    </dataValidation>
  </dataValidations>
  <pageMargins left="0.7" right="0.7" top="0.75" bottom="0.75" header="0.3" footer="0.3"/>
  <pageSetup orientation="landscape" scale="54" fitToHeight="0"/>
  <headerFooter differentOddEven="1" alignWithMargins="0">
    <oddHeader>&amp;C&amp;"Arial,Bold"&amp;16 Commercial Vehicle Entrance(Gate 5/15) Log:   Normal Ops (Comm. Veh.)</oddHeader>
    <oddFooter>&amp;R&amp;"Arial,Bold"&amp;12 Page____ of ____Pages</oddFooter>
    <evenHeader/>
    <evenFooter/>
    <firstHeader/>
    <firstFooter/>
  </headerFooter>
  <rowBreaks count="5" manualBreakCount="5">
    <brk id="32" min="0" max="16383" man="1"/>
    <brk id="53" min="0" max="16383" man="1"/>
    <brk id="56" min="0" max="16383" man="1"/>
    <brk id="103" min="0" max="16383" man="1"/>
    <brk id="290" min="0" max="16383" man="1"/>
  </rowBreaks>
</worksheet>
</file>

<file path=xl/worksheets/sheet3.xml><?xml version="1.0" encoding="utf-8"?>
<worksheet xmlns="http://schemas.openxmlformats.org/spreadsheetml/2006/main">
  <sheetPr>
    <outlinePr summaryBelow="1" summaryRight="1"/>
    <pageSetUpPr/>
  </sheetPr>
  <dimension ref="A1:N4246"/>
  <sheetViews>
    <sheetView topLeftCell="A4234" zoomScale="81" zoomScaleNormal="81" workbookViewId="0">
      <selection activeCell="A4246" sqref="A4246"/>
    </sheetView>
  </sheetViews>
  <sheetFormatPr baseColWidth="8" defaultColWidth="9.1796875" defaultRowHeight="18" customHeight="1"/>
  <cols>
    <col width="33.54296875" customWidth="1" style="144" min="1" max="2"/>
    <col width="24.1796875" customWidth="1" style="144" min="3" max="4"/>
    <col width="16.54296875" customWidth="1" style="144" min="5" max="5"/>
    <col width="30.26953125" customWidth="1" style="144" min="6" max="6"/>
    <col width="27.54296875" customWidth="1" style="144" min="7" max="7"/>
    <col width="18" customWidth="1" style="144" min="8" max="9"/>
    <col width="9.1796875" customWidth="1" style="144" min="10" max="16384"/>
  </cols>
  <sheetData>
    <row r="1" ht="36" customHeight="1" s="7">
      <c r="A1" s="53" t="inlineStr">
        <is>
          <t xml:space="preserve">DRIVER NAME DRIVER </t>
        </is>
      </c>
      <c r="B1" s="53" t="inlineStr">
        <is>
          <t>LICENCE NUMBER AND STATE</t>
        </is>
      </c>
      <c r="C1" s="53" t="inlineStr">
        <is>
          <t>COMPANY NAME</t>
        </is>
      </c>
      <c r="D1" s="53" t="inlineStr">
        <is>
          <t>PHONE NUMBER</t>
        </is>
      </c>
      <c r="E1" s="54" t="inlineStr">
        <is>
          <t>TYPE</t>
        </is>
      </c>
      <c r="F1" s="53" t="inlineStr">
        <is>
          <t>VEHICLE REGISTRATION, STATE</t>
        </is>
      </c>
      <c r="G1" s="53" t="inlineStr">
        <is>
          <t>MAKE MODEL COLOR</t>
        </is>
      </c>
      <c r="H1" s="54" t="inlineStr">
        <is>
          <t>DESTINATION</t>
        </is>
      </c>
      <c r="I1" s="54" t="inlineStr">
        <is>
          <t xml:space="preserve">TYPE </t>
        </is>
      </c>
    </row>
    <row r="2" hidden="1" ht="15.5" customHeight="1" s="7">
      <c r="A2" s="54" t="n"/>
      <c r="B2" s="54" t="n"/>
      <c r="C2" s="54" t="n"/>
      <c r="D2" s="54" t="n"/>
      <c r="E2" s="54" t="n"/>
      <c r="F2" s="54" t="n"/>
      <c r="G2" s="54" t="n"/>
      <c r="H2" s="54" t="n"/>
      <c r="I2" s="54" t="n"/>
    </row>
    <row r="3" hidden="1" ht="15.5" customHeight="1" s="7">
      <c r="A3" s="54" t="n"/>
      <c r="B3" s="54" t="n"/>
      <c r="C3" s="54" t="n"/>
      <c r="D3" s="54" t="n"/>
      <c r="E3" s="54" t="n"/>
      <c r="F3" s="54" t="n"/>
      <c r="G3" s="54" t="n"/>
      <c r="H3" s="54" t="n"/>
      <c r="I3" s="54" t="n"/>
    </row>
    <row r="4" hidden="1" ht="15.5" customHeight="1" s="7">
      <c r="A4" s="54" t="n"/>
      <c r="B4" s="54" t="n"/>
      <c r="C4" s="54" t="n"/>
      <c r="D4" s="54" t="n"/>
      <c r="E4" s="54" t="n"/>
      <c r="F4" s="54" t="n"/>
      <c r="G4" s="54" t="n"/>
      <c r="H4" s="54" t="n"/>
      <c r="I4" s="54" t="n"/>
    </row>
    <row r="5" hidden="1" ht="15.5" customHeight="1" s="7">
      <c r="A5" s="54" t="n"/>
      <c r="B5" s="54" t="n"/>
      <c r="C5" s="54" t="n"/>
      <c r="D5" s="54" t="n"/>
      <c r="E5" s="54" t="n"/>
      <c r="F5" s="54" t="n"/>
      <c r="G5" s="54" t="n"/>
      <c r="H5" s="54" t="n"/>
      <c r="I5" s="54" t="n"/>
    </row>
    <row r="6" hidden="1" ht="15.5" customHeight="1" s="7">
      <c r="A6" s="54" t="n"/>
      <c r="B6" s="54" t="n"/>
      <c r="C6" s="54" t="n"/>
      <c r="D6" s="54" t="n"/>
      <c r="E6" s="54" t="n"/>
      <c r="F6" s="54" t="n"/>
      <c r="G6" s="54" t="n"/>
      <c r="H6" s="54" t="n"/>
      <c r="I6" s="54" t="n"/>
    </row>
    <row r="7" hidden="1" ht="15.5" customHeight="1" s="7">
      <c r="A7" s="54" t="n"/>
      <c r="B7" s="54" t="n"/>
      <c r="C7" s="54" t="n"/>
      <c r="D7" s="54" t="n"/>
      <c r="E7" s="54" t="n"/>
      <c r="F7" s="54" t="n"/>
      <c r="G7" s="54" t="n"/>
      <c r="H7" s="54" t="n"/>
      <c r="I7" s="54" t="n"/>
    </row>
    <row r="8" hidden="1" ht="15.5" customHeight="1" s="7">
      <c r="A8" s="54" t="n"/>
      <c r="B8" s="54" t="n"/>
      <c r="C8" s="54" t="n"/>
      <c r="D8" s="54" t="n"/>
      <c r="E8" s="54" t="n"/>
      <c r="F8" s="54" t="n"/>
      <c r="G8" s="54" t="n"/>
      <c r="H8" s="54" t="n"/>
      <c r="I8" s="54" t="n"/>
    </row>
    <row r="9" hidden="1" ht="15.5" customHeight="1" s="7">
      <c r="A9" s="54" t="n"/>
      <c r="B9" s="54" t="n"/>
      <c r="C9" s="54" t="n"/>
      <c r="D9" s="54" t="n"/>
      <c r="E9" s="54" t="n"/>
      <c r="F9" s="54" t="n"/>
      <c r="G9" s="54" t="n"/>
      <c r="H9" s="54" t="n"/>
      <c r="I9" s="54" t="n"/>
    </row>
    <row r="10" hidden="1" ht="15.5" customHeight="1" s="7">
      <c r="A10" s="54" t="n"/>
      <c r="B10" s="54" t="n"/>
      <c r="C10" s="54" t="n"/>
      <c r="D10" s="54" t="n"/>
      <c r="E10" s="54" t="n"/>
      <c r="F10" s="54" t="n"/>
      <c r="G10" s="54" t="n"/>
      <c r="H10" s="54" t="n"/>
      <c r="I10" s="54" t="n"/>
    </row>
    <row r="11" ht="18" customHeight="1" s="7">
      <c r="A11" s="54" t="inlineStr">
        <is>
          <t>STEPHEN COOK</t>
        </is>
      </c>
      <c r="B11" s="54" t="inlineStr">
        <is>
          <t>051737078 GA</t>
        </is>
      </c>
      <c r="C11" s="54" t="inlineStr">
        <is>
          <t>A WEST</t>
        </is>
      </c>
      <c r="D11" s="54" t="n">
        <v>2298888347</v>
      </c>
      <c r="E11" s="54" t="inlineStr">
        <is>
          <t>PU</t>
        </is>
      </c>
      <c r="F11" s="54" t="inlineStr">
        <is>
          <t>DBF4190 GA</t>
        </is>
      </c>
      <c r="G11" s="54" t="inlineStr">
        <is>
          <t>CHEVY, WHITE</t>
        </is>
      </c>
      <c r="H11" s="54" t="inlineStr">
        <is>
          <t>BASEWIDE</t>
        </is>
      </c>
      <c r="I11" s="54" t="inlineStr">
        <is>
          <t xml:space="preserve">CONTRACTOR </t>
        </is>
      </c>
    </row>
    <row r="12" ht="18" customHeight="1" s="7">
      <c r="A12" s="54" t="inlineStr">
        <is>
          <t>FRANK GRIFFIN</t>
        </is>
      </c>
      <c r="B12" s="54" t="inlineStr">
        <is>
          <t>*049722562 GA</t>
        </is>
      </c>
      <c r="C12" s="54" t="inlineStr">
        <is>
          <t>EMCO SERVICES</t>
        </is>
      </c>
      <c r="D12" s="54" t="n">
        <v>8505144822</v>
      </c>
      <c r="E12" s="54" t="inlineStr">
        <is>
          <t>VAN</t>
        </is>
      </c>
      <c r="F12" s="54" t="inlineStr">
        <is>
          <t>PXQK65 FL</t>
        </is>
      </c>
      <c r="G12" s="54" t="inlineStr">
        <is>
          <t>FORD, WHITE</t>
        </is>
      </c>
      <c r="H12" s="54" t="inlineStr">
        <is>
          <t>BASEWIDE</t>
        </is>
      </c>
      <c r="I12" s="54" t="inlineStr">
        <is>
          <t xml:space="preserve">CONTRACTOR </t>
        </is>
      </c>
    </row>
    <row r="13" ht="18" customHeight="1" s="7">
      <c r="A13" s="54" t="inlineStr">
        <is>
          <t>THOMAS CAMP</t>
        </is>
      </c>
      <c r="B13" s="54" t="inlineStr">
        <is>
          <t>*052037364 GA</t>
        </is>
      </c>
      <c r="C13" s="54" t="inlineStr">
        <is>
          <t>GTPC</t>
        </is>
      </c>
      <c r="D13" s="54" t="n">
        <v>8009490223</v>
      </c>
      <c r="E13" s="54" t="inlineStr">
        <is>
          <t>PU</t>
        </is>
      </c>
      <c r="F13" s="54" t="inlineStr">
        <is>
          <t>6EH0777 MD</t>
        </is>
      </c>
      <c r="G13" s="54" t="inlineStr">
        <is>
          <t>CHEVY, WHITE</t>
        </is>
      </c>
      <c r="H13" s="54" t="inlineStr">
        <is>
          <t>BASEWIDE</t>
        </is>
      </c>
      <c r="I13" s="54" t="inlineStr">
        <is>
          <t xml:space="preserve">CONTRACTOR </t>
        </is>
      </c>
    </row>
    <row r="14" ht="18" customHeight="1" s="7">
      <c r="A14" s="54" t="inlineStr">
        <is>
          <t>CHRIS SMITH</t>
        </is>
      </c>
      <c r="B14" s="54" t="inlineStr">
        <is>
          <t>*055371195 GA</t>
        </is>
      </c>
      <c r="C14" s="54" t="inlineStr">
        <is>
          <t>S&amp;S CONCRETE</t>
        </is>
      </c>
      <c r="D14" s="54" t="n">
        <v>2294388566</v>
      </c>
      <c r="E14" s="54" t="inlineStr">
        <is>
          <t>PU</t>
        </is>
      </c>
      <c r="F14" s="54" t="inlineStr">
        <is>
          <t>SSCRET7 GA</t>
        </is>
      </c>
      <c r="G14" s="54" t="inlineStr">
        <is>
          <t>DODGE, WHITE</t>
        </is>
      </c>
      <c r="H14" s="54" t="n">
        <v>1330</v>
      </c>
      <c r="I14" s="54" t="inlineStr">
        <is>
          <t xml:space="preserve">CONTRACTOR </t>
        </is>
      </c>
    </row>
    <row r="15" ht="18" customHeight="1" s="7">
      <c r="A15" s="54" t="inlineStr">
        <is>
          <t>DONALD LOWE</t>
        </is>
      </c>
      <c r="B15" s="54" t="inlineStr">
        <is>
          <t>*052635058 GA</t>
        </is>
      </c>
      <c r="C15" s="54" t="inlineStr">
        <is>
          <t>S&amp;S CONCRETE</t>
        </is>
      </c>
      <c r="D15" s="54" t="n">
        <v>2294388566</v>
      </c>
      <c r="E15" s="54" t="inlineStr">
        <is>
          <t>DUMP</t>
        </is>
      </c>
      <c r="F15" s="54" t="inlineStr">
        <is>
          <t>EBJ071 GA</t>
        </is>
      </c>
      <c r="G15" s="54" t="inlineStr">
        <is>
          <t>FREIGHTLINER, WHITE</t>
        </is>
      </c>
      <c r="H15" s="54" t="inlineStr">
        <is>
          <t>BASEWIDE</t>
        </is>
      </c>
      <c r="I15" s="54" t="inlineStr">
        <is>
          <t>COMMERCIAL</t>
        </is>
      </c>
    </row>
    <row r="16" ht="18" customHeight="1" s="7">
      <c r="A16" s="54" t="inlineStr">
        <is>
          <t>GREG BROCK</t>
        </is>
      </c>
      <c r="B16" s="54" t="inlineStr">
        <is>
          <t>*054614269 GA</t>
        </is>
      </c>
      <c r="C16" s="54" t="inlineStr">
        <is>
          <t>TASTY KAKE</t>
        </is>
      </c>
      <c r="D16" s="54" t="n">
        <v>2298547008</v>
      </c>
      <c r="E16" s="54" t="inlineStr">
        <is>
          <t>SEMI BOX</t>
        </is>
      </c>
      <c r="F16" s="54" t="inlineStr">
        <is>
          <t>GBW501 GA</t>
        </is>
      </c>
      <c r="G16" s="54" t="inlineStr">
        <is>
          <t>FREIGHTLINER, WHITE</t>
        </is>
      </c>
      <c r="H16" s="54" t="inlineStr">
        <is>
          <t>BASEWIDE</t>
        </is>
      </c>
      <c r="I16" s="54" t="inlineStr">
        <is>
          <t>COMMERCIAL</t>
        </is>
      </c>
    </row>
    <row r="17" ht="18" customHeight="1" s="7">
      <c r="A17" s="54" t="inlineStr">
        <is>
          <t>SCOTT GILMER</t>
        </is>
      </c>
      <c r="B17" s="54" t="inlineStr">
        <is>
          <t>*049894146 GA</t>
        </is>
      </c>
      <c r="C17" s="54" t="inlineStr">
        <is>
          <t>ALBANY AIR</t>
        </is>
      </c>
      <c r="D17" s="54" t="n">
        <v>2294360341</v>
      </c>
      <c r="E17" s="54" t="inlineStr">
        <is>
          <t>PU</t>
        </is>
      </c>
      <c r="F17" s="54" t="inlineStr">
        <is>
          <t>CSE7190 GA</t>
        </is>
      </c>
      <c r="G17" s="54" t="inlineStr">
        <is>
          <t>FORD, WHITE</t>
        </is>
      </c>
      <c r="H17" s="54" t="n">
        <v>1210</v>
      </c>
      <c r="I17" s="54" t="inlineStr">
        <is>
          <t xml:space="preserve">CONTRACTOR </t>
        </is>
      </c>
    </row>
    <row r="18" ht="18" customHeight="1" s="7">
      <c r="A18" s="54" t="inlineStr">
        <is>
          <t>KHALIF COLLIER</t>
        </is>
      </c>
      <c r="B18" s="54" t="inlineStr">
        <is>
          <t>*052140621 GA</t>
        </is>
      </c>
      <c r="C18" s="54" t="inlineStr">
        <is>
          <t>JB MASONRY</t>
        </is>
      </c>
      <c r="D18" s="54" t="n">
        <v>2294180828</v>
      </c>
      <c r="E18" s="54" t="inlineStr">
        <is>
          <t>SUV</t>
        </is>
      </c>
      <c r="F18" s="54" t="inlineStr">
        <is>
          <t>SPDWAGN GA</t>
        </is>
      </c>
      <c r="G18" s="54" t="inlineStr">
        <is>
          <t>CHEVY, GREEN</t>
        </is>
      </c>
      <c r="H18" s="54" t="inlineStr">
        <is>
          <t>KENNELS</t>
        </is>
      </c>
      <c r="I18" s="54" t="inlineStr">
        <is>
          <t xml:space="preserve">CONTRACTOR </t>
        </is>
      </c>
    </row>
    <row r="19" ht="18" customHeight="1" s="7">
      <c r="A19" s="54" t="inlineStr">
        <is>
          <t>CALVIN CATON</t>
        </is>
      </c>
      <c r="B19" s="54" t="inlineStr">
        <is>
          <t>*051354218 GA</t>
        </is>
      </c>
      <c r="C19" s="54" t="inlineStr">
        <is>
          <t>A WEST</t>
        </is>
      </c>
      <c r="D19" s="54" t="n">
        <v>2298888347</v>
      </c>
      <c r="E19" s="54" t="inlineStr">
        <is>
          <t>PU</t>
        </is>
      </c>
      <c r="F19" s="54" t="inlineStr">
        <is>
          <t>CIZ5500 GA</t>
        </is>
      </c>
      <c r="G19" s="54" t="inlineStr">
        <is>
          <t>CHEVY, WHITE</t>
        </is>
      </c>
      <c r="H19" s="54" t="inlineStr">
        <is>
          <t>BASEWIDE</t>
        </is>
      </c>
      <c r="I19" s="54" t="inlineStr">
        <is>
          <t xml:space="preserve">CONTRACTOR </t>
        </is>
      </c>
    </row>
    <row r="20" ht="18" customHeight="1" s="7">
      <c r="A20" s="54" t="inlineStr">
        <is>
          <t>DAVID WIDNER</t>
        </is>
      </c>
      <c r="B20" s="54" t="inlineStr">
        <is>
          <t>*057894921 GA</t>
        </is>
      </c>
      <c r="C20" s="54" t="inlineStr">
        <is>
          <t>RHC</t>
        </is>
      </c>
      <c r="D20" s="54" t="n">
        <v>2294353500</v>
      </c>
      <c r="E20" s="54" t="inlineStr">
        <is>
          <t>PU</t>
        </is>
      </c>
      <c r="F20" s="54" t="inlineStr">
        <is>
          <t>PLX3051 GA</t>
        </is>
      </c>
      <c r="G20" s="54" t="inlineStr">
        <is>
          <t>FORD, SILVER</t>
        </is>
      </c>
      <c r="H20" s="54" t="inlineStr">
        <is>
          <t>HOUSING</t>
        </is>
      </c>
      <c r="I20" s="54" t="inlineStr">
        <is>
          <t xml:space="preserve">CONTRACTOR </t>
        </is>
      </c>
    </row>
    <row r="21" ht="18" customHeight="1" s="7">
      <c r="A21" s="54" t="inlineStr">
        <is>
          <t>KELVONTE JONES</t>
        </is>
      </c>
      <c r="B21" s="54" t="inlineStr">
        <is>
          <t>*053008698 GA</t>
        </is>
      </c>
      <c r="C21" s="54" t="inlineStr">
        <is>
          <t>SPARTAN NASH</t>
        </is>
      </c>
      <c r="D21" s="54" t="n">
        <v>7063290642</v>
      </c>
      <c r="E21" s="54" t="inlineStr">
        <is>
          <t>SEMI BOX</t>
        </is>
      </c>
      <c r="F21" s="54" t="inlineStr">
        <is>
          <t>223642 NE</t>
        </is>
      </c>
      <c r="G21" s="54" t="inlineStr">
        <is>
          <t>INTERNATIONAL, WHITE</t>
        </is>
      </c>
      <c r="H21" s="54" t="n">
        <v>7501</v>
      </c>
      <c r="I21" s="54" t="inlineStr">
        <is>
          <t>COMMERCIAL</t>
        </is>
      </c>
    </row>
    <row r="22" ht="18" customHeight="1" s="7">
      <c r="A22" s="54" t="inlineStr">
        <is>
          <t>DAVID ROGERS</t>
        </is>
      </c>
      <c r="B22" s="54" t="inlineStr">
        <is>
          <t>*058937219 GA</t>
        </is>
      </c>
      <c r="C22" s="54" t="inlineStr">
        <is>
          <t>SEPTIC PLUMBING</t>
        </is>
      </c>
      <c r="D22" s="54" t="n">
        <v>2294325376</v>
      </c>
      <c r="E22" s="54" t="inlineStr">
        <is>
          <t>BOX SEMI</t>
        </is>
      </c>
      <c r="F22" s="54" t="inlineStr">
        <is>
          <t>CXD2341 GA</t>
        </is>
      </c>
      <c r="G22" s="54" t="inlineStr">
        <is>
          <t>FORD, WHITE</t>
        </is>
      </c>
      <c r="H22" s="54" t="inlineStr">
        <is>
          <t>KENNELS</t>
        </is>
      </c>
      <c r="I22" s="54" t="inlineStr">
        <is>
          <t xml:space="preserve">CONTRACTOR </t>
        </is>
      </c>
    </row>
    <row r="23" ht="18" customHeight="1" s="7">
      <c r="A23" s="54" t="inlineStr">
        <is>
          <t>FRANK GRIFFIN</t>
        </is>
      </c>
      <c r="B23" s="54" t="inlineStr">
        <is>
          <t>*055499949 GA</t>
        </is>
      </c>
      <c r="C23" s="54" t="inlineStr">
        <is>
          <t>ADAMS EXTERMINATOR</t>
        </is>
      </c>
      <c r="D23" s="54" t="n">
        <v>2298943420</v>
      </c>
      <c r="E23" s="54" t="inlineStr">
        <is>
          <t>VAN</t>
        </is>
      </c>
      <c r="F23" s="54" t="inlineStr">
        <is>
          <t>RUQ7451 GA</t>
        </is>
      </c>
      <c r="G23" s="54" t="inlineStr">
        <is>
          <t>NISSAN, WHITE</t>
        </is>
      </c>
      <c r="H23" s="54" t="inlineStr">
        <is>
          <t>HOUSING</t>
        </is>
      </c>
      <c r="I23" s="54" t="inlineStr">
        <is>
          <t xml:space="preserve">CONTRACTOR </t>
        </is>
      </c>
    </row>
    <row r="24" ht="18" customHeight="1" s="7">
      <c r="A24" s="54" t="inlineStr">
        <is>
          <t>WILLIAM BOREFIELD</t>
        </is>
      </c>
      <c r="B24" s="54" t="inlineStr">
        <is>
          <t>*050951758 GA</t>
        </is>
      </c>
      <c r="C24" s="54" t="inlineStr">
        <is>
          <t>ALBANY BEVERAGE</t>
        </is>
      </c>
      <c r="D24" s="54" t="n">
        <v>2298811092</v>
      </c>
      <c r="E24" s="54" t="inlineStr">
        <is>
          <t>VAN</t>
        </is>
      </c>
      <c r="F24" s="54" t="inlineStr">
        <is>
          <t>CPU1706 GA</t>
        </is>
      </c>
      <c r="G24" s="54" t="inlineStr">
        <is>
          <t>FORD, WHITE</t>
        </is>
      </c>
      <c r="H24" s="54" t="n">
        <v>7500</v>
      </c>
      <c r="I24" s="54" t="inlineStr">
        <is>
          <t xml:space="preserve">CONTRACTOR </t>
        </is>
      </c>
    </row>
    <row r="25" ht="18" customHeight="1" s="7">
      <c r="A25" s="54" t="inlineStr">
        <is>
          <t>VERNON COOK</t>
        </is>
      </c>
      <c r="B25" s="54" t="inlineStr">
        <is>
          <t>*055782627 GA</t>
        </is>
      </c>
      <c r="C25" s="54" t="inlineStr">
        <is>
          <t>CONCRETE ENTERPRISE</t>
        </is>
      </c>
      <c r="D25" s="54" t="n">
        <v>2298881104</v>
      </c>
      <c r="E25" s="54" t="inlineStr">
        <is>
          <t>CEMENT</t>
        </is>
      </c>
      <c r="F25" s="54" t="inlineStr">
        <is>
          <t>GAI103 GA</t>
        </is>
      </c>
      <c r="G25" s="54" t="inlineStr">
        <is>
          <t>MACK, GREEN</t>
        </is>
      </c>
      <c r="H25" s="54" t="inlineStr">
        <is>
          <t>GOLF COURSE</t>
        </is>
      </c>
      <c r="I25" s="54" t="inlineStr">
        <is>
          <t>COMMERCIAL</t>
        </is>
      </c>
    </row>
    <row r="26" ht="18" customHeight="1" s="7">
      <c r="A26" s="54" t="inlineStr">
        <is>
          <t>JEFFREY JONES</t>
        </is>
      </c>
      <c r="B26" s="54" t="inlineStr">
        <is>
          <t>*056016504 GA</t>
        </is>
      </c>
      <c r="C26" s="54" t="inlineStr">
        <is>
          <t>RHC</t>
        </is>
      </c>
      <c r="D26" s="54" t="n">
        <v>2298889896</v>
      </c>
      <c r="E26" s="54" t="inlineStr">
        <is>
          <t>PU</t>
        </is>
      </c>
      <c r="F26" s="54" t="inlineStr">
        <is>
          <t>RDQ2218 GA</t>
        </is>
      </c>
      <c r="G26" s="54" t="inlineStr">
        <is>
          <t>FORD, RED</t>
        </is>
      </c>
      <c r="H26" s="54" t="inlineStr">
        <is>
          <t>HOUSING</t>
        </is>
      </c>
      <c r="I26" s="54" t="inlineStr">
        <is>
          <t xml:space="preserve">CONTRACTOR </t>
        </is>
      </c>
    </row>
    <row r="27" ht="18" customHeight="1" s="7">
      <c r="A27" s="54" t="inlineStr">
        <is>
          <t>WILLIAM SHIVER</t>
        </is>
      </c>
      <c r="B27" s="54" t="inlineStr">
        <is>
          <t>*055739155 GA</t>
        </is>
      </c>
      <c r="C27" s="54" t="inlineStr">
        <is>
          <t>GEM</t>
        </is>
      </c>
      <c r="D27" s="54" t="n">
        <v>2298812598</v>
      </c>
      <c r="E27" s="54" t="inlineStr">
        <is>
          <t>PU</t>
        </is>
      </c>
      <c r="F27" s="54" t="inlineStr">
        <is>
          <t>RJT8950 GA</t>
        </is>
      </c>
      <c r="G27" s="54" t="inlineStr">
        <is>
          <t>CHEVY, BLACK</t>
        </is>
      </c>
      <c r="H27" s="54" t="inlineStr">
        <is>
          <t>BASEWIDE</t>
        </is>
      </c>
      <c r="I27" s="54" t="inlineStr">
        <is>
          <t xml:space="preserve">CONTRACTOR </t>
        </is>
      </c>
    </row>
    <row r="28" ht="18" customHeight="1" s="7">
      <c r="A28" s="54" t="inlineStr">
        <is>
          <t>ROBERT ANDREWS</t>
        </is>
      </c>
      <c r="B28" s="54" t="inlineStr">
        <is>
          <t>*007795096 GA</t>
        </is>
      </c>
      <c r="C28" s="54" t="inlineStr">
        <is>
          <t>ESTES</t>
        </is>
      </c>
      <c r="D28" s="54" t="n">
        <v>2298943567</v>
      </c>
      <c r="E28" s="54" t="inlineStr">
        <is>
          <t>SEMI BOX</t>
        </is>
      </c>
      <c r="F28" s="54" t="inlineStr">
        <is>
          <t>3585749 IN</t>
        </is>
      </c>
      <c r="G28" s="54" t="inlineStr">
        <is>
          <t>FREIGHTLINER, YELLOW</t>
        </is>
      </c>
      <c r="H28" s="54" t="n">
        <v>1221</v>
      </c>
      <c r="I28" s="54" t="inlineStr">
        <is>
          <t>COMMERCIAL</t>
        </is>
      </c>
    </row>
    <row r="29" ht="18" customHeight="1" s="7">
      <c r="A29" s="54" t="inlineStr">
        <is>
          <t>DONALD SPILLERS</t>
        </is>
      </c>
      <c r="B29" s="54" t="inlineStr">
        <is>
          <t>*051592125 GA</t>
        </is>
      </c>
      <c r="C29" s="54" t="inlineStr">
        <is>
          <t>SUNBELT</t>
        </is>
      </c>
      <c r="D29" s="54" t="n">
        <v>2298865406</v>
      </c>
      <c r="E29" s="54" t="inlineStr">
        <is>
          <t>SEMI BOX</t>
        </is>
      </c>
      <c r="F29" s="54" t="inlineStr">
        <is>
          <t>P1249373 IL</t>
        </is>
      </c>
      <c r="G29" s="54" t="inlineStr">
        <is>
          <t>FREIGHTLINER, GREEN</t>
        </is>
      </c>
      <c r="H29" s="54" t="n">
        <v>1221</v>
      </c>
      <c r="I29" s="54" t="inlineStr">
        <is>
          <t>COMMERCIAL</t>
        </is>
      </c>
    </row>
    <row r="30" ht="18" customHeight="1" s="7">
      <c r="A30" s="54" t="inlineStr">
        <is>
          <t>PATRICK RICHARDSON</t>
        </is>
      </c>
      <c r="B30" s="54" t="inlineStr">
        <is>
          <t>*053987739 GA</t>
        </is>
      </c>
      <c r="C30" s="54" t="inlineStr">
        <is>
          <t>ACT</t>
        </is>
      </c>
      <c r="D30" s="54" t="n">
        <v>2296032516</v>
      </c>
      <c r="E30" s="54" t="inlineStr">
        <is>
          <t>SEMI BOX</t>
        </is>
      </c>
      <c r="F30" s="54" t="inlineStr">
        <is>
          <t>R675615 TX</t>
        </is>
      </c>
      <c r="G30" s="54" t="inlineStr">
        <is>
          <t>FREIGHTLINER, BLUE</t>
        </is>
      </c>
      <c r="H30" s="54" t="n">
        <v>1221</v>
      </c>
      <c r="I30" s="54" t="inlineStr">
        <is>
          <t>COMMERCIAL</t>
        </is>
      </c>
    </row>
    <row r="31" ht="18" customHeight="1" s="7">
      <c r="A31" s="54" t="inlineStr">
        <is>
          <t>ALLEN HAMPTON</t>
        </is>
      </c>
      <c r="B31" s="54" t="inlineStr">
        <is>
          <t>H366459920000 FL</t>
        </is>
      </c>
      <c r="C31" s="54" t="inlineStr">
        <is>
          <t>1ST COAST CARGO</t>
        </is>
      </c>
      <c r="D31" s="54" t="n">
        <v>8447312137</v>
      </c>
      <c r="E31" s="54" t="inlineStr">
        <is>
          <t>SEMI BOX</t>
        </is>
      </c>
      <c r="F31" s="54" t="inlineStr">
        <is>
          <t>3603944 IN</t>
        </is>
      </c>
      <c r="G31" s="54" t="inlineStr">
        <is>
          <t>FREIGHTLINER, WHITE</t>
        </is>
      </c>
      <c r="H31" s="54" t="n">
        <v>1221</v>
      </c>
      <c r="I31" s="54" t="inlineStr">
        <is>
          <t>COMMERCIAL</t>
        </is>
      </c>
    </row>
    <row r="32" ht="18" customHeight="1" s="7">
      <c r="A32" s="54" t="inlineStr">
        <is>
          <t>DONNIE ULMER</t>
        </is>
      </c>
      <c r="B32" s="54" t="inlineStr">
        <is>
          <t>*055999972 GA</t>
        </is>
      </c>
      <c r="C32" s="54" t="inlineStr">
        <is>
          <t>SUNBELT</t>
        </is>
      </c>
      <c r="D32" s="54" t="n">
        <v>2293643984</v>
      </c>
      <c r="E32" s="54" t="inlineStr">
        <is>
          <t>SEMI BOX</t>
        </is>
      </c>
      <c r="F32" s="54" t="inlineStr">
        <is>
          <t>P21081932 IL</t>
        </is>
      </c>
      <c r="G32" s="54" t="inlineStr">
        <is>
          <t>FREIGHTLINER, GREEN</t>
        </is>
      </c>
      <c r="H32" s="54" t="n">
        <v>1221</v>
      </c>
      <c r="I32" s="54" t="inlineStr">
        <is>
          <t>COMMERCIAL</t>
        </is>
      </c>
    </row>
    <row r="33" ht="18" customHeight="1" s="7">
      <c r="A33" s="54" t="inlineStr">
        <is>
          <t>MASON PEEPLES</t>
        </is>
      </c>
      <c r="B33" s="54" t="inlineStr">
        <is>
          <t>*057537613 GA</t>
        </is>
      </c>
      <c r="C33" s="54" t="inlineStr">
        <is>
          <t>S&amp;S CONCRETE</t>
        </is>
      </c>
      <c r="D33" s="54" t="n">
        <v>2294388566</v>
      </c>
      <c r="E33" s="54" t="inlineStr">
        <is>
          <t>PU</t>
        </is>
      </c>
      <c r="F33" s="54" t="inlineStr">
        <is>
          <t>SSCRET2 GA</t>
        </is>
      </c>
      <c r="G33" s="54" t="inlineStr">
        <is>
          <t>DODGE, WHITE</t>
        </is>
      </c>
      <c r="H33" s="54" t="inlineStr">
        <is>
          <t>BASEWIDE</t>
        </is>
      </c>
      <c r="I33" s="54" t="inlineStr">
        <is>
          <t xml:space="preserve">CONTRACTOR </t>
        </is>
      </c>
    </row>
    <row r="34" ht="18" customHeight="1" s="7">
      <c r="A34" s="54" t="inlineStr">
        <is>
          <t>SHUMONICA GRAHAM</t>
        </is>
      </c>
      <c r="B34" s="54" t="inlineStr">
        <is>
          <t>*051938874 GA</t>
        </is>
      </c>
      <c r="C34" s="54" t="inlineStr">
        <is>
          <t>DHL</t>
        </is>
      </c>
      <c r="D34" s="54" t="n">
        <v>2294857833</v>
      </c>
      <c r="E34" s="54" t="inlineStr">
        <is>
          <t>VAN</t>
        </is>
      </c>
      <c r="F34" s="54" t="inlineStr">
        <is>
          <t>48797ND GA</t>
        </is>
      </c>
      <c r="G34" s="54" t="inlineStr">
        <is>
          <t>FORD, YELLOW</t>
        </is>
      </c>
      <c r="H34" s="54" t="n">
        <v>1221</v>
      </c>
      <c r="I34" s="54" t="inlineStr">
        <is>
          <t xml:space="preserve">CONTRACTOR </t>
        </is>
      </c>
    </row>
    <row r="35" ht="18" customHeight="1" s="7">
      <c r="A35" s="54" t="inlineStr">
        <is>
          <t>JEFF FOWLER</t>
        </is>
      </c>
      <c r="B35" s="54" t="inlineStr">
        <is>
          <t>*054094646 GA</t>
        </is>
      </c>
      <c r="C35" s="54" t="inlineStr">
        <is>
          <t>S&amp;S CONCRETE</t>
        </is>
      </c>
      <c r="D35" s="54" t="n">
        <v>2294388566</v>
      </c>
      <c r="E35" s="54" t="inlineStr">
        <is>
          <t>PU</t>
        </is>
      </c>
      <c r="F35" s="54" t="inlineStr">
        <is>
          <t>TCG0009 GA</t>
        </is>
      </c>
      <c r="G35" s="54" t="inlineStr">
        <is>
          <t>DODGE, WHITE</t>
        </is>
      </c>
      <c r="H35" s="54" t="n">
        <v>1221</v>
      </c>
      <c r="I35" s="54" t="inlineStr">
        <is>
          <t xml:space="preserve">CONTRACTOR </t>
        </is>
      </c>
    </row>
    <row r="36" ht="18" customHeight="1" s="7">
      <c r="A36" s="54" t="inlineStr">
        <is>
          <t>MONTAVIOUS BUCHANAN</t>
        </is>
      </c>
      <c r="B36" s="54" t="inlineStr">
        <is>
          <t>*056819454 GA</t>
        </is>
      </c>
      <c r="C36" s="54" t="inlineStr">
        <is>
          <t>BUCHANAN SECURITY</t>
        </is>
      </c>
      <c r="D36" s="54" t="n">
        <v>2295663392</v>
      </c>
      <c r="E36" s="54" t="inlineStr">
        <is>
          <t>VAN</t>
        </is>
      </c>
      <c r="F36" s="54" t="inlineStr">
        <is>
          <t>SBR9305 GA</t>
        </is>
      </c>
      <c r="G36" s="54" t="inlineStr">
        <is>
          <t>FORD, WHITE</t>
        </is>
      </c>
      <c r="H36" s="54" t="n">
        <v>7000</v>
      </c>
      <c r="I36" s="54" t="inlineStr">
        <is>
          <t xml:space="preserve">CONTRACTOR </t>
        </is>
      </c>
    </row>
    <row r="37" ht="18" customHeight="1" s="7">
      <c r="A37" s="54" t="inlineStr">
        <is>
          <t>CRAIG GILLIS</t>
        </is>
      </c>
      <c r="B37" s="54" t="inlineStr">
        <is>
          <t>5819417 AL</t>
        </is>
      </c>
      <c r="C37" s="54" t="inlineStr">
        <is>
          <t>GA POWER</t>
        </is>
      </c>
      <c r="D37" s="54" t="n">
        <v>4045203683</v>
      </c>
      <c r="E37" s="54" t="inlineStr">
        <is>
          <t>PU</t>
        </is>
      </c>
      <c r="F37" s="54" t="inlineStr">
        <is>
          <t>CSC7473 GA</t>
        </is>
      </c>
      <c r="G37" s="54" t="inlineStr">
        <is>
          <t>FORD, WHITE</t>
        </is>
      </c>
      <c r="H37" s="54" t="inlineStr">
        <is>
          <t>SOLAR PANELS</t>
        </is>
      </c>
      <c r="I37" s="54" t="inlineStr">
        <is>
          <t xml:space="preserve">CONTRACTOR </t>
        </is>
      </c>
    </row>
    <row r="38" ht="18" customHeight="1" s="7">
      <c r="A38" s="54" t="inlineStr">
        <is>
          <t>COPELAND MAX</t>
        </is>
      </c>
      <c r="B38" s="54" t="inlineStr">
        <is>
          <t>*032829415 GA</t>
        </is>
      </c>
      <c r="C38" s="54" t="inlineStr">
        <is>
          <t>SAIA</t>
        </is>
      </c>
      <c r="D38" s="54" t="inlineStr">
        <is>
          <t>2295075148</t>
        </is>
      </c>
      <c r="E38" s="54" t="inlineStr">
        <is>
          <t>SEMI BOX</t>
        </is>
      </c>
      <c r="F38" s="54" t="inlineStr">
        <is>
          <t>P253486 LA</t>
        </is>
      </c>
      <c r="G38" s="54" t="inlineStr">
        <is>
          <t>FREIGHTLINER, RED</t>
        </is>
      </c>
      <c r="H38" s="54" t="inlineStr">
        <is>
          <t>1221</t>
        </is>
      </c>
      <c r="I38" s="54" t="inlineStr">
        <is>
          <t>COMMERCIAL</t>
        </is>
      </c>
    </row>
    <row r="39" ht="18" customHeight="1" s="7">
      <c r="A39" s="146" t="inlineStr">
        <is>
          <t>JOHN PRICE</t>
        </is>
      </c>
      <c r="B39" s="146" t="inlineStr">
        <is>
          <t>*054307270 GA</t>
        </is>
      </c>
      <c r="C39" s="146" t="inlineStr">
        <is>
          <t>UNIFIRST</t>
        </is>
      </c>
      <c r="D39" s="146" t="n">
        <v>2299390536</v>
      </c>
      <c r="E39" s="146" t="inlineStr">
        <is>
          <t>PU</t>
        </is>
      </c>
      <c r="F39" s="146" t="inlineStr">
        <is>
          <t>EJF362 GA</t>
        </is>
      </c>
      <c r="G39" s="146" t="n"/>
      <c r="H39" s="146" t="n"/>
      <c r="I39" s="146" t="inlineStr">
        <is>
          <t xml:space="preserve">CONTRACTOR </t>
        </is>
      </c>
    </row>
    <row r="40" ht="18" customHeight="1" s="7">
      <c r="A40" s="146" t="inlineStr">
        <is>
          <t>DARRYL SLAUGHTER</t>
        </is>
      </c>
      <c r="B40" s="146" t="inlineStr">
        <is>
          <t>*051217687 GA</t>
        </is>
      </c>
      <c r="C40" s="146" t="inlineStr">
        <is>
          <t>US FOODS</t>
        </is>
      </c>
      <c r="D40" s="146" t="n">
        <v>2292885451</v>
      </c>
      <c r="E40" s="146" t="inlineStr">
        <is>
          <t>SEMI BOX</t>
        </is>
      </c>
      <c r="F40" s="146" t="inlineStr">
        <is>
          <t>3047668 IN</t>
        </is>
      </c>
      <c r="G40" s="146" t="inlineStr">
        <is>
          <t>FREIGHTLINER, WHITE</t>
        </is>
      </c>
      <c r="H40" s="146" t="n">
        <v>7501</v>
      </c>
      <c r="I40" s="146" t="inlineStr">
        <is>
          <t>COMMERCIAL</t>
        </is>
      </c>
    </row>
    <row r="41" ht="18" customHeight="1" s="7">
      <c r="A41" s="54" t="inlineStr">
        <is>
          <t>STEVE COOK</t>
        </is>
      </c>
      <c r="B41" s="54" t="inlineStr">
        <is>
          <t>*051737078 GA</t>
        </is>
      </c>
      <c r="C41" s="54" t="inlineStr">
        <is>
          <t>A WEST</t>
        </is>
      </c>
      <c r="D41" s="54" t="n">
        <v>2298888347</v>
      </c>
      <c r="E41" s="54" t="inlineStr">
        <is>
          <t>PU</t>
        </is>
      </c>
      <c r="F41" s="54" t="inlineStr">
        <is>
          <t>DBF4190 GA</t>
        </is>
      </c>
      <c r="G41" s="54" t="inlineStr">
        <is>
          <t>CHEVY, WHITE</t>
        </is>
      </c>
      <c r="H41" s="54" t="inlineStr">
        <is>
          <t>BASEWIDE</t>
        </is>
      </c>
      <c r="I41" s="54" t="inlineStr">
        <is>
          <t xml:space="preserve">CONTRACTOR </t>
        </is>
      </c>
    </row>
    <row r="42" ht="18" customHeight="1" s="7">
      <c r="A42" s="146" t="inlineStr">
        <is>
          <t>ALEJO MENDEZ</t>
        </is>
      </c>
      <c r="B42" s="146" t="inlineStr">
        <is>
          <t>*051215374 GA</t>
        </is>
      </c>
      <c r="C42" s="146" t="inlineStr">
        <is>
          <t>METRO POWER</t>
        </is>
      </c>
      <c r="D42" s="146" t="n">
        <v>4782448291</v>
      </c>
      <c r="E42" s="54" t="inlineStr">
        <is>
          <t>PU</t>
        </is>
      </c>
      <c r="F42" s="146" t="inlineStr">
        <is>
          <t>RDB6220 GA</t>
        </is>
      </c>
      <c r="G42" s="146" t="inlineStr">
        <is>
          <t>CHEVY, WHITE</t>
        </is>
      </c>
      <c r="H42" s="146" t="inlineStr">
        <is>
          <t>FIRESTATION</t>
        </is>
      </c>
      <c r="I42" s="146" t="inlineStr">
        <is>
          <t xml:space="preserve">CONTRACTOR </t>
        </is>
      </c>
    </row>
    <row r="43" ht="18" customHeight="1" s="7">
      <c r="A43" s="146" t="inlineStr">
        <is>
          <t>CHAD PINTO</t>
        </is>
      </c>
      <c r="B43" s="146" t="inlineStr">
        <is>
          <t>*007414511 SC</t>
        </is>
      </c>
      <c r="C43" s="146" t="inlineStr">
        <is>
          <t>MITCHELL BROTHER</t>
        </is>
      </c>
      <c r="D43" s="146" t="n">
        <v>8432717308</v>
      </c>
      <c r="E43" s="146" t="inlineStr">
        <is>
          <t>PU</t>
        </is>
      </c>
      <c r="F43" s="146" t="inlineStr">
        <is>
          <t>P892296 SC</t>
        </is>
      </c>
      <c r="G43" s="146" t="inlineStr">
        <is>
          <t>GMC, WHITE</t>
        </is>
      </c>
      <c r="H43" s="146" t="n">
        <v>7360</v>
      </c>
      <c r="I43" s="146" t="inlineStr">
        <is>
          <t xml:space="preserve">CONTRACTOR </t>
        </is>
      </c>
    </row>
    <row r="44" ht="18" customHeight="1" s="7">
      <c r="A44" s="146" t="inlineStr">
        <is>
          <t>DONALD FREY</t>
        </is>
      </c>
      <c r="B44" s="146" t="inlineStr">
        <is>
          <t>*056476644 GA</t>
        </is>
      </c>
      <c r="C44" s="146" t="inlineStr">
        <is>
          <t>S&amp;S CONCRETE</t>
        </is>
      </c>
      <c r="D44" s="146" t="n">
        <v>2294388566</v>
      </c>
      <c r="E44" s="146" t="inlineStr">
        <is>
          <t>PU</t>
        </is>
      </c>
      <c r="F44" s="146" t="inlineStr">
        <is>
          <t>SSCRET6 GA</t>
        </is>
      </c>
      <c r="G44" s="146" t="inlineStr">
        <is>
          <t>DODGE, WHITE</t>
        </is>
      </c>
      <c r="H44" s="146" t="n">
        <v>7360</v>
      </c>
      <c r="I44" s="146" t="inlineStr">
        <is>
          <t xml:space="preserve">CONTRACTOR </t>
        </is>
      </c>
    </row>
    <row r="45" ht="18" customHeight="1" s="7">
      <c r="A45" s="146" t="inlineStr">
        <is>
          <t>WILLIAM DANIEL</t>
        </is>
      </c>
      <c r="B45" s="146" t="inlineStr">
        <is>
          <t>*053918006 GA</t>
        </is>
      </c>
      <c r="C45" s="146" t="inlineStr">
        <is>
          <t>MISSION FOODS</t>
        </is>
      </c>
      <c r="D45" s="146" t="n">
        <v>6786728923</v>
      </c>
      <c r="E45" s="146" t="inlineStr">
        <is>
          <t>PU</t>
        </is>
      </c>
      <c r="F45" s="146" t="inlineStr">
        <is>
          <t>EEG625 GA</t>
        </is>
      </c>
      <c r="G45" s="146" t="inlineStr">
        <is>
          <t>DODGE, RED</t>
        </is>
      </c>
      <c r="H45" s="146" t="n">
        <v>7501</v>
      </c>
      <c r="I45" s="146" t="inlineStr">
        <is>
          <t xml:space="preserve">CONTRACTOR </t>
        </is>
      </c>
    </row>
    <row r="46" ht="18" customHeight="1" s="7">
      <c r="A46" s="146" t="inlineStr">
        <is>
          <t>SAZI ERCAN</t>
        </is>
      </c>
      <c r="B46" s="146" t="inlineStr">
        <is>
          <t>*058316658 GA</t>
        </is>
      </c>
      <c r="C46" s="146" t="inlineStr">
        <is>
          <t>FAST TRANSP.</t>
        </is>
      </c>
      <c r="D46" s="146" t="n">
        <v>4158810909</v>
      </c>
      <c r="E46" s="146" t="inlineStr">
        <is>
          <t>SEMI BOX</t>
        </is>
      </c>
      <c r="F46" s="146" t="inlineStr">
        <is>
          <t>C747ES GA</t>
        </is>
      </c>
      <c r="G46" s="146" t="inlineStr">
        <is>
          <t>VOLVO, BLUE</t>
        </is>
      </c>
      <c r="H46" s="146" t="n">
        <v>1221</v>
      </c>
      <c r="I46" s="146" t="inlineStr">
        <is>
          <t>COMMERCIAL</t>
        </is>
      </c>
    </row>
    <row r="47" ht="18" customHeight="1" s="7">
      <c r="A47" s="146" t="inlineStr">
        <is>
          <t>LEON CANNON</t>
        </is>
      </c>
      <c r="B47" s="146" t="inlineStr">
        <is>
          <t>6844300 AL</t>
        </is>
      </c>
      <c r="C47" s="146" t="inlineStr">
        <is>
          <t>LANDSTAR</t>
        </is>
      </c>
      <c r="D47" s="146" t="n">
        <v>2052606016</v>
      </c>
      <c r="E47" s="146" t="inlineStr">
        <is>
          <t>SEMI BOX</t>
        </is>
      </c>
      <c r="F47" s="146" t="inlineStr">
        <is>
          <t>3400037 IN</t>
        </is>
      </c>
      <c r="G47" s="146" t="inlineStr">
        <is>
          <t>FREIGHTLINER, YELL</t>
        </is>
      </c>
      <c r="H47" s="146" t="n">
        <v>1221</v>
      </c>
      <c r="I47" s="146" t="inlineStr">
        <is>
          <t>COMMERCIAL</t>
        </is>
      </c>
    </row>
    <row r="48" ht="18" customHeight="1" s="7">
      <c r="A48" s="146" t="inlineStr">
        <is>
          <t>ALVIN CONLEY</t>
        </is>
      </c>
      <c r="B48" s="146" t="inlineStr">
        <is>
          <t>*050551154 GA</t>
        </is>
      </c>
      <c r="C48" s="146" t="inlineStr">
        <is>
          <t>DAVENPORT</t>
        </is>
      </c>
      <c r="D48" s="146" t="n">
        <v>2294461541</v>
      </c>
      <c r="E48" s="146" t="inlineStr">
        <is>
          <t>BOX</t>
        </is>
      </c>
      <c r="F48" s="146" t="inlineStr">
        <is>
          <t>YDR952 GA</t>
        </is>
      </c>
      <c r="G48" s="146" t="inlineStr">
        <is>
          <t>ISUZU, WHITE</t>
        </is>
      </c>
      <c r="H48" s="146" t="inlineStr">
        <is>
          <t>BASEWIDE</t>
        </is>
      </c>
      <c r="I48" s="146" t="inlineStr">
        <is>
          <t>COMMERCIAL</t>
        </is>
      </c>
    </row>
    <row r="49" ht="18" customHeight="1" s="7">
      <c r="A49" s="146" t="inlineStr">
        <is>
          <t>LONDON FRAZIER</t>
        </is>
      </c>
      <c r="B49" s="146" t="inlineStr">
        <is>
          <t>*06084146 GA</t>
        </is>
      </c>
      <c r="C49" s="146" t="inlineStr">
        <is>
          <t>FEDEX</t>
        </is>
      </c>
      <c r="D49" s="146" t="n">
        <v>2292964982</v>
      </c>
      <c r="E49" s="146" t="inlineStr">
        <is>
          <t>BOX</t>
        </is>
      </c>
      <c r="F49" s="146" t="inlineStr">
        <is>
          <t>AR07IK FL</t>
        </is>
      </c>
      <c r="G49" s="146" t="inlineStr">
        <is>
          <t>WHITE FORD</t>
        </is>
      </c>
      <c r="H49" s="146" t="inlineStr">
        <is>
          <t>BASEWIDE</t>
        </is>
      </c>
      <c r="I49" s="146" t="inlineStr">
        <is>
          <t xml:space="preserve">CONTRACTOR </t>
        </is>
      </c>
    </row>
    <row r="50" ht="18" customHeight="1" s="7">
      <c r="A50" s="146" t="inlineStr">
        <is>
          <t>VERNON JUSTICE</t>
        </is>
      </c>
      <c r="B50" s="146" t="inlineStr">
        <is>
          <t>*025595457 GA</t>
        </is>
      </c>
      <c r="C50" s="146" t="inlineStr">
        <is>
          <t>GA POWER</t>
        </is>
      </c>
      <c r="D50" s="146" t="n">
        <v>2296031230</v>
      </c>
      <c r="E50" s="146" t="inlineStr">
        <is>
          <t>PU</t>
        </is>
      </c>
      <c r="F50" s="146" t="inlineStr">
        <is>
          <t>DAFE9809 GA</t>
        </is>
      </c>
      <c r="G50" s="146" t="inlineStr">
        <is>
          <t>FORD, WHITE</t>
        </is>
      </c>
      <c r="H50" s="146" t="inlineStr">
        <is>
          <t>BASEWIDE</t>
        </is>
      </c>
      <c r="I50" s="146" t="inlineStr">
        <is>
          <t xml:space="preserve">CONTRACTOR </t>
        </is>
      </c>
    </row>
    <row r="51" ht="18" customHeight="1" s="7">
      <c r="A51" s="146" t="inlineStr">
        <is>
          <t>RICHARD CASEY</t>
        </is>
      </c>
      <c r="B51" s="146" t="inlineStr">
        <is>
          <t>*056646227 GA</t>
        </is>
      </c>
      <c r="C51" s="146" t="inlineStr">
        <is>
          <t>BAS</t>
        </is>
      </c>
      <c r="D51" s="146" t="n">
        <v>2292917694</v>
      </c>
      <c r="E51" s="146" t="inlineStr">
        <is>
          <t>VAN</t>
        </is>
      </c>
      <c r="F51" s="146" t="inlineStr">
        <is>
          <t>NLLPB03 FL</t>
        </is>
      </c>
      <c r="G51" s="146" t="inlineStr">
        <is>
          <t>FORD WHITE</t>
        </is>
      </c>
      <c r="H51" s="146" t="n">
        <v>7501</v>
      </c>
      <c r="I51" s="146" t="inlineStr">
        <is>
          <t xml:space="preserve">CONTRACTOR </t>
        </is>
      </c>
    </row>
    <row r="52" ht="18" customHeight="1" s="7">
      <c r="A52" s="146" t="inlineStr">
        <is>
          <t>JEFFERS DAVIS</t>
        </is>
      </c>
      <c r="B52" s="146" t="inlineStr">
        <is>
          <t>*000007052312 NC</t>
        </is>
      </c>
      <c r="C52" s="146" t="inlineStr">
        <is>
          <t>NORTHSTAR</t>
        </is>
      </c>
      <c r="D52" s="146" t="n">
        <v>9109907127</v>
      </c>
      <c r="E52" s="146" t="inlineStr">
        <is>
          <t>SEMI FLAT</t>
        </is>
      </c>
      <c r="F52" s="146" t="inlineStr">
        <is>
          <t>PWR5311 OH</t>
        </is>
      </c>
      <c r="G52" s="146" t="inlineStr">
        <is>
          <t>INTERNATIONAL, RED</t>
        </is>
      </c>
      <c r="H52" s="146" t="n">
        <v>1221</v>
      </c>
      <c r="I52" s="146" t="inlineStr">
        <is>
          <t>COMMERCIAL</t>
        </is>
      </c>
    </row>
    <row r="53" ht="18" customHeight="1" s="7">
      <c r="A53" s="146" t="inlineStr">
        <is>
          <t>CALEB FARMER</t>
        </is>
      </c>
      <c r="B53" s="146" t="inlineStr">
        <is>
          <t>*053125140 GA</t>
        </is>
      </c>
      <c r="C53" s="146" t="inlineStr">
        <is>
          <t>ADVANCE SPRINKLER</t>
        </is>
      </c>
      <c r="D53" s="146" t="n">
        <v>2298860242</v>
      </c>
      <c r="E53" s="146" t="inlineStr">
        <is>
          <t>BOX</t>
        </is>
      </c>
      <c r="F53" s="146" t="inlineStr">
        <is>
          <t>TEQ0596 GA</t>
        </is>
      </c>
      <c r="G53" s="146" t="inlineStr">
        <is>
          <t>ISUZU, WHITE</t>
        </is>
      </c>
      <c r="H53" s="146" t="inlineStr">
        <is>
          <t>BASEWIDE</t>
        </is>
      </c>
      <c r="I53" s="146" t="inlineStr">
        <is>
          <t xml:space="preserve">CONTRACTOR </t>
        </is>
      </c>
    </row>
    <row r="54" ht="18" customHeight="1" s="7">
      <c r="A54" s="146" t="inlineStr">
        <is>
          <t>SHAKIROR KAMIL</t>
        </is>
      </c>
      <c r="B54" s="146" t="inlineStr">
        <is>
          <t>*053036917 GA</t>
        </is>
      </c>
      <c r="C54" s="146" t="inlineStr">
        <is>
          <t>BROTHERS EXPRESS</t>
        </is>
      </c>
      <c r="D54" s="146" t="n">
        <v>4046424811</v>
      </c>
      <c r="E54" s="146" t="inlineStr">
        <is>
          <t>SEMI FLAT</t>
        </is>
      </c>
      <c r="F54" s="146" t="inlineStr">
        <is>
          <t>C099CK GA</t>
        </is>
      </c>
      <c r="G54" s="146" t="inlineStr">
        <is>
          <t>FREIGHTLINER, WHITE</t>
        </is>
      </c>
      <c r="H54" s="146" t="n">
        <v>1221</v>
      </c>
      <c r="I54" s="146" t="inlineStr">
        <is>
          <t>COMMERCIAL</t>
        </is>
      </c>
    </row>
    <row r="55" ht="18" customHeight="1" s="7">
      <c r="A55" s="146" t="inlineStr">
        <is>
          <t xml:space="preserve">JEFFREY BARBER </t>
        </is>
      </c>
      <c r="B55" s="146" t="inlineStr">
        <is>
          <t>B616424524700 FL</t>
        </is>
      </c>
      <c r="C55" s="146" t="inlineStr">
        <is>
          <t>LANDSTAR</t>
        </is>
      </c>
      <c r="D55" s="146" t="n">
        <v>7577532916</v>
      </c>
      <c r="E55" s="146" t="inlineStr">
        <is>
          <t>VAN</t>
        </is>
      </c>
      <c r="F55" s="146" t="inlineStr">
        <is>
          <t>P24615 FL</t>
        </is>
      </c>
      <c r="G55" s="146" t="inlineStr">
        <is>
          <t>MERCEDES, WHITE</t>
        </is>
      </c>
      <c r="H55" s="146" t="n">
        <v>1221</v>
      </c>
      <c r="I55" s="146" t="inlineStr">
        <is>
          <t xml:space="preserve">CONTRACTOR </t>
        </is>
      </c>
    </row>
    <row r="56" ht="18" customHeight="1" s="7">
      <c r="A56" s="146" t="inlineStr">
        <is>
          <t>YEMANE HENOK</t>
        </is>
      </c>
      <c r="B56" s="146" t="inlineStr">
        <is>
          <t>25474795 TX</t>
        </is>
      </c>
      <c r="C56" s="146" t="inlineStr">
        <is>
          <t>DNM TRANSPORT</t>
        </is>
      </c>
      <c r="D56" s="146" t="n">
        <v>8327565929</v>
      </c>
      <c r="E56" s="146" t="inlineStr">
        <is>
          <t>BOX</t>
        </is>
      </c>
      <c r="F56" s="146" t="inlineStr">
        <is>
          <t>R737536 TX</t>
        </is>
      </c>
      <c r="G56" s="146" t="inlineStr">
        <is>
          <t>FORD, WHITE</t>
        </is>
      </c>
      <c r="H56" s="146" t="n">
        <v>1221</v>
      </c>
      <c r="I56" s="146" t="inlineStr">
        <is>
          <t xml:space="preserve">CONTRACTOR </t>
        </is>
      </c>
    </row>
    <row r="57" ht="18" customHeight="1" s="7">
      <c r="A57" s="146" t="inlineStr">
        <is>
          <t>DAVIS ROGERS</t>
        </is>
      </c>
      <c r="B57" s="146" t="inlineStr">
        <is>
          <t>*058937219 GA</t>
        </is>
      </c>
      <c r="C57" s="146" t="inlineStr">
        <is>
          <t>SEPTIC SOLUTIONS</t>
        </is>
      </c>
      <c r="D57" s="146" t="n">
        <v>2294325376</v>
      </c>
      <c r="E57" s="146" t="inlineStr">
        <is>
          <t>BOX</t>
        </is>
      </c>
      <c r="F57" s="146" t="inlineStr">
        <is>
          <t>CXD2341 GA</t>
        </is>
      </c>
      <c r="G57" s="146" t="inlineStr">
        <is>
          <t>FREIGHTLINER, WHITE</t>
        </is>
      </c>
      <c r="H57" s="146" t="inlineStr">
        <is>
          <t>FIRESTATION</t>
        </is>
      </c>
      <c r="I57" s="146" t="inlineStr">
        <is>
          <t>COMMERCIAL</t>
        </is>
      </c>
    </row>
    <row r="58" ht="18" customHeight="1" s="7">
      <c r="A58" s="146" t="inlineStr">
        <is>
          <t>MARCUS WASHINGTON</t>
        </is>
      </c>
      <c r="B58" s="146" t="inlineStr">
        <is>
          <t>*050291321 GA</t>
        </is>
      </c>
      <c r="C58" s="146" t="inlineStr">
        <is>
          <t>ESTES</t>
        </is>
      </c>
      <c r="D58" s="146" t="n">
        <v>2296694299</v>
      </c>
      <c r="E58" s="146" t="inlineStr">
        <is>
          <t>SEMI BOX</t>
        </is>
      </c>
      <c r="F58" s="146" t="inlineStr">
        <is>
          <t>3589578 IN</t>
        </is>
      </c>
      <c r="G58" s="146" t="inlineStr">
        <is>
          <t>INTERNATIONAL, YLW</t>
        </is>
      </c>
      <c r="H58" s="146" t="n">
        <v>1221</v>
      </c>
      <c r="I58" s="146" t="inlineStr">
        <is>
          <t>COMMERCIAL</t>
        </is>
      </c>
    </row>
    <row r="59" ht="18" customHeight="1" s="7">
      <c r="A59" s="146" t="inlineStr">
        <is>
          <t>JONATHAN CURRY</t>
        </is>
      </c>
      <c r="B59" s="146" t="inlineStr">
        <is>
          <t>T63446226 VA</t>
        </is>
      </c>
      <c r="C59" s="146" t="inlineStr">
        <is>
          <t>ABEL'S CONSTRUCTION</t>
        </is>
      </c>
      <c r="D59" s="146" t="n">
        <v>5406618430</v>
      </c>
      <c r="E59" s="146" t="inlineStr">
        <is>
          <t>PU</t>
        </is>
      </c>
      <c r="F59" s="146" t="inlineStr">
        <is>
          <t>UC11431 VA</t>
        </is>
      </c>
      <c r="G59" s="146" t="inlineStr">
        <is>
          <t>DODGE, WHITE</t>
        </is>
      </c>
      <c r="H59" s="146" t="inlineStr">
        <is>
          <t>HOUSING</t>
        </is>
      </c>
      <c r="I59" s="146" t="inlineStr">
        <is>
          <t xml:space="preserve">CONTRACTOR </t>
        </is>
      </c>
    </row>
    <row r="60" ht="18" customHeight="1" s="7">
      <c r="A60" s="146" t="inlineStr">
        <is>
          <t>JEFFREY CREWS</t>
        </is>
      </c>
      <c r="B60" s="146" t="inlineStr">
        <is>
          <t>A61364132 VA</t>
        </is>
      </c>
      <c r="C60" s="146" t="inlineStr">
        <is>
          <t>ABEL'S CONSTRUCTION</t>
        </is>
      </c>
      <c r="D60" s="146" t="n">
        <v>5402260608</v>
      </c>
      <c r="E60" s="146" t="inlineStr">
        <is>
          <t>BOX</t>
        </is>
      </c>
      <c r="F60" s="146" t="inlineStr">
        <is>
          <t>106817 VA</t>
        </is>
      </c>
      <c r="G60" s="146" t="inlineStr">
        <is>
          <t>FREIGHTLINER, WHITE</t>
        </is>
      </c>
      <c r="H60" s="146" t="inlineStr">
        <is>
          <t>HOUSING</t>
        </is>
      </c>
      <c r="I60" s="146" t="inlineStr">
        <is>
          <t xml:space="preserve">CONTRACTOR </t>
        </is>
      </c>
    </row>
    <row r="61" ht="18" customHeight="1" s="7">
      <c r="A61" s="146" t="inlineStr">
        <is>
          <t>CHRIS PRICE</t>
        </is>
      </c>
      <c r="B61" s="146" t="inlineStr">
        <is>
          <t>20665238 TX</t>
        </is>
      </c>
      <c r="C61" s="146" t="inlineStr">
        <is>
          <t>ROCKWILD LOGISTICS</t>
        </is>
      </c>
      <c r="D61" s="146" t="n">
        <v>8328461155</v>
      </c>
      <c r="E61" s="146" t="inlineStr">
        <is>
          <t>PU</t>
        </is>
      </c>
      <c r="F61" s="146" t="inlineStr">
        <is>
          <t>VHJ034 TX</t>
        </is>
      </c>
      <c r="G61" s="146" t="inlineStr">
        <is>
          <t>FORD, BLUE</t>
        </is>
      </c>
      <c r="H61" s="146" t="n">
        <v>1331</v>
      </c>
      <c r="I61" s="146" t="inlineStr">
        <is>
          <t xml:space="preserve">CONTRACTOR </t>
        </is>
      </c>
    </row>
    <row r="62" ht="18" customHeight="1" s="7">
      <c r="A62" s="146" t="inlineStr">
        <is>
          <t>MONTAVIOUS BUCHANAN</t>
        </is>
      </c>
      <c r="B62" s="146" t="inlineStr">
        <is>
          <t>*056819454 GA</t>
        </is>
      </c>
      <c r="C62" s="146" t="inlineStr">
        <is>
          <t>BUCHANAN SECURITY</t>
        </is>
      </c>
      <c r="D62" s="146" t="n">
        <v>2295663392</v>
      </c>
      <c r="E62" s="146" t="inlineStr">
        <is>
          <t>VAN</t>
        </is>
      </c>
      <c r="F62" s="146" t="inlineStr">
        <is>
          <t>SBR9305 GA</t>
        </is>
      </c>
      <c r="G62" s="146" t="inlineStr">
        <is>
          <t>FORD, WHITE</t>
        </is>
      </c>
      <c r="H62" s="146" t="n">
        <v>7000</v>
      </c>
      <c r="I62" s="146" t="inlineStr">
        <is>
          <t xml:space="preserve">CONTRACTOR </t>
        </is>
      </c>
    </row>
    <row r="63" ht="18" customHeight="1" s="7">
      <c r="A63" s="146" t="inlineStr">
        <is>
          <t>RONALD HARPER</t>
        </is>
      </c>
      <c r="B63" s="146" t="inlineStr">
        <is>
          <t>*030201472 GA</t>
        </is>
      </c>
      <c r="C63" s="146" t="inlineStr">
        <is>
          <t>ADVANCE SPRINKLER</t>
        </is>
      </c>
      <c r="D63" s="146" t="n">
        <v>2298860242</v>
      </c>
      <c r="E63" s="146" t="inlineStr">
        <is>
          <t>PU</t>
        </is>
      </c>
      <c r="F63" s="146" t="inlineStr">
        <is>
          <t>DAA7490 GA</t>
        </is>
      </c>
      <c r="G63" s="146" t="inlineStr">
        <is>
          <t>CHEVY, GRAY</t>
        </is>
      </c>
      <c r="H63" s="146" t="inlineStr">
        <is>
          <t>BASEWIDE</t>
        </is>
      </c>
      <c r="I63" s="146" t="inlineStr">
        <is>
          <t xml:space="preserve">CONTRACTOR </t>
        </is>
      </c>
    </row>
    <row r="64" ht="18" customHeight="1" s="7">
      <c r="A64" s="146" t="inlineStr">
        <is>
          <t>BENJAMIN WIGGINS</t>
        </is>
      </c>
      <c r="B64" s="146" t="inlineStr">
        <is>
          <t>W2522024200 FL</t>
        </is>
      </c>
      <c r="C64" s="146" t="inlineStr">
        <is>
          <t>EHRLICH</t>
        </is>
      </c>
      <c r="D64" s="146" t="n">
        <v>8008176008</v>
      </c>
      <c r="E64" s="146" t="inlineStr">
        <is>
          <t>PU</t>
        </is>
      </c>
      <c r="F64" s="146" t="inlineStr">
        <is>
          <t>KCUG89 FL</t>
        </is>
      </c>
      <c r="G64" s="146" t="inlineStr">
        <is>
          <t>CHEVY, WHITE</t>
        </is>
      </c>
      <c r="H64" s="146" t="n">
        <v>7501</v>
      </c>
      <c r="I64" s="146" t="inlineStr">
        <is>
          <t xml:space="preserve">CONTRACTOR </t>
        </is>
      </c>
    </row>
    <row r="65" ht="18" customHeight="1" s="7">
      <c r="A65" s="146" t="inlineStr">
        <is>
          <t>JAVOSKI CHAMBERS</t>
        </is>
      </c>
      <c r="B65" s="146" t="inlineStr">
        <is>
          <t>*054288549 GA</t>
        </is>
      </c>
      <c r="C65" s="146" t="inlineStr">
        <is>
          <t>FEDEX</t>
        </is>
      </c>
      <c r="D65" s="146" t="n">
        <v>2294858010</v>
      </c>
      <c r="E65" s="146" t="inlineStr">
        <is>
          <t>BOX</t>
        </is>
      </c>
      <c r="F65" s="146" t="inlineStr">
        <is>
          <t>GLS248 GA</t>
        </is>
      </c>
      <c r="G65" s="146" t="inlineStr">
        <is>
          <t>FORD, WHITE</t>
        </is>
      </c>
      <c r="H65" s="146" t="inlineStr">
        <is>
          <t>BASEWIDE</t>
        </is>
      </c>
      <c r="I65" s="146" t="inlineStr">
        <is>
          <t xml:space="preserve">CONTRACTOR </t>
        </is>
      </c>
    </row>
    <row r="66" ht="18" customHeight="1" s="7">
      <c r="A66" s="146" t="inlineStr">
        <is>
          <t>BILLIE EFIK</t>
        </is>
      </c>
      <c r="B66" s="146" t="inlineStr">
        <is>
          <t>*052548123 GA</t>
        </is>
      </c>
      <c r="C66" s="146" t="inlineStr">
        <is>
          <t>LIQUID SOLUTIONS</t>
        </is>
      </c>
      <c r="D66" s="146" t="n">
        <v>8666947327</v>
      </c>
      <c r="E66" s="146" t="inlineStr">
        <is>
          <t>SEMI FLAT</t>
        </is>
      </c>
      <c r="F66" s="146" t="inlineStr">
        <is>
          <t>R152898 TX</t>
        </is>
      </c>
      <c r="G66" s="146" t="inlineStr">
        <is>
          <t>FREIGHTLINER, WHITE</t>
        </is>
      </c>
      <c r="H66" s="146" t="n">
        <v>7501</v>
      </c>
      <c r="I66" s="146" t="inlineStr">
        <is>
          <t>COMMERCIAL</t>
        </is>
      </c>
    </row>
    <row r="67" ht="18" customHeight="1" s="7">
      <c r="A67" s="146" t="inlineStr">
        <is>
          <t>MICHAEL WISE</t>
        </is>
      </c>
      <c r="B67" s="146" t="inlineStr">
        <is>
          <t>*053271015 GA</t>
        </is>
      </c>
      <c r="C67" s="146" t="inlineStr">
        <is>
          <t>SAIA</t>
        </is>
      </c>
      <c r="D67" s="146" t="n">
        <v>2293926466</v>
      </c>
      <c r="E67" s="146" t="inlineStr">
        <is>
          <t>SEMI BOX</t>
        </is>
      </c>
      <c r="F67" s="146" t="inlineStr">
        <is>
          <t xml:space="preserve"> P268545 LA</t>
        </is>
      </c>
      <c r="G67" s="146" t="inlineStr">
        <is>
          <t>FREIGHTLINER, RED</t>
        </is>
      </c>
      <c r="H67" s="146" t="inlineStr">
        <is>
          <t>HOUSING</t>
        </is>
      </c>
      <c r="I67" s="146" t="inlineStr">
        <is>
          <t>COMMERCIAL</t>
        </is>
      </c>
    </row>
    <row r="68" ht="18" customHeight="1" s="7">
      <c r="A68" s="146" t="inlineStr">
        <is>
          <t>TRAVIS KEAVENEY</t>
        </is>
      </c>
      <c r="B68" s="146" t="inlineStr">
        <is>
          <t>*054789511 GA</t>
        </is>
      </c>
      <c r="C68" s="146" t="inlineStr">
        <is>
          <t>UNIFIRST</t>
        </is>
      </c>
      <c r="D68" s="146" t="n">
        <v>9122594744</v>
      </c>
      <c r="E68" s="146" t="inlineStr">
        <is>
          <t>BOX</t>
        </is>
      </c>
      <c r="F68" s="146" t="inlineStr">
        <is>
          <t>EJF362 GA</t>
        </is>
      </c>
      <c r="G68" s="146" t="inlineStr">
        <is>
          <t>FREIGHTLINER, WHITE</t>
        </is>
      </c>
      <c r="H68" s="146" t="n">
        <v>5400</v>
      </c>
      <c r="I68" s="146" t="inlineStr">
        <is>
          <t xml:space="preserve">CONTRACTOR </t>
        </is>
      </c>
    </row>
    <row r="69" ht="18" customHeight="1" s="7">
      <c r="A69" s="146" t="inlineStr">
        <is>
          <t>WILMER FLORES</t>
        </is>
      </c>
      <c r="B69" s="146" t="inlineStr">
        <is>
          <t>*049597116 GA</t>
        </is>
      </c>
      <c r="C69" s="146" t="inlineStr">
        <is>
          <t>CENTIMARK</t>
        </is>
      </c>
      <c r="D69" s="146" t="n">
        <v>9013281470</v>
      </c>
      <c r="E69" s="146" t="inlineStr">
        <is>
          <t>PU</t>
        </is>
      </c>
      <c r="F69" s="146" t="inlineStr">
        <is>
          <t>SFD6903 GA</t>
        </is>
      </c>
      <c r="G69" s="146" t="inlineStr">
        <is>
          <t>FORD, BLUE</t>
        </is>
      </c>
      <c r="H69" s="146" t="n">
        <v>1231</v>
      </c>
      <c r="I69" s="146" t="inlineStr">
        <is>
          <t xml:space="preserve">CONTRACTOR </t>
        </is>
      </c>
    </row>
    <row r="70" ht="18" customHeight="1" s="7">
      <c r="A70" s="146" t="inlineStr">
        <is>
          <t>ROBERT BUTLER</t>
        </is>
      </c>
      <c r="B70" s="146" t="inlineStr">
        <is>
          <t>*053647999 GA</t>
        </is>
      </c>
      <c r="C70" s="146" t="inlineStr">
        <is>
          <t>XTREME</t>
        </is>
      </c>
      <c r="D70" s="146" t="n">
        <v>8458670614</v>
      </c>
      <c r="E70" s="146" t="inlineStr">
        <is>
          <t>VAN</t>
        </is>
      </c>
      <c r="F70" s="146" t="inlineStr">
        <is>
          <t>TBD7384 GA</t>
        </is>
      </c>
      <c r="G70" s="146" t="inlineStr">
        <is>
          <t>FORD, WHITE</t>
        </is>
      </c>
      <c r="H70" s="146" t="n">
        <v>3600</v>
      </c>
      <c r="I70" s="146" t="inlineStr">
        <is>
          <t xml:space="preserve">CONTRACTOR </t>
        </is>
      </c>
    </row>
    <row r="71" ht="18" customHeight="1" s="7">
      <c r="A71" s="146" t="inlineStr">
        <is>
          <t>MOTES THOMAS</t>
        </is>
      </c>
      <c r="B71" s="146" t="inlineStr">
        <is>
          <t>M32118981320 FL</t>
        </is>
      </c>
      <c r="C71" s="146" t="inlineStr">
        <is>
          <t>ADVANCE SPRINKLER</t>
        </is>
      </c>
      <c r="D71" s="146" t="n">
        <v>2298860242</v>
      </c>
      <c r="E71" s="146" t="inlineStr">
        <is>
          <t>PU</t>
        </is>
      </c>
      <c r="F71" s="146" t="inlineStr">
        <is>
          <t>RIY8355 GA</t>
        </is>
      </c>
      <c r="G71" s="146" t="inlineStr">
        <is>
          <t>CHEVY, WHITE</t>
        </is>
      </c>
      <c r="H71" s="146" t="n">
        <v>2200</v>
      </c>
      <c r="I71" s="146" t="inlineStr">
        <is>
          <t xml:space="preserve">CONTRACTOR </t>
        </is>
      </c>
    </row>
    <row r="72" ht="18" customHeight="1" s="7">
      <c r="A72" s="146" t="inlineStr">
        <is>
          <t>JASON PARRISH</t>
        </is>
      </c>
      <c r="B72" s="146" t="inlineStr">
        <is>
          <t>*033688731 GA</t>
        </is>
      </c>
      <c r="C72" s="146" t="inlineStr">
        <is>
          <t>ARBON</t>
        </is>
      </c>
      <c r="D72" s="146" t="n">
        <v>2292918029</v>
      </c>
      <c r="E72" s="146" t="inlineStr">
        <is>
          <t>PU</t>
        </is>
      </c>
      <c r="F72" s="146" t="inlineStr">
        <is>
          <t>EHK784 GA</t>
        </is>
      </c>
      <c r="G72" s="146" t="inlineStr">
        <is>
          <t>FORD, WHITE</t>
        </is>
      </c>
      <c r="H72" s="146" t="n">
        <v>1340</v>
      </c>
      <c r="I72" s="146" t="inlineStr">
        <is>
          <t xml:space="preserve">CONTRACTOR </t>
        </is>
      </c>
    </row>
    <row r="73" ht="18" customHeight="1" s="7">
      <c r="A73" s="146" t="inlineStr">
        <is>
          <t>GERALD COLEMAN</t>
        </is>
      </c>
      <c r="B73" s="146" t="inlineStr">
        <is>
          <t>*057954816 GA</t>
        </is>
      </c>
      <c r="C73" s="146" t="inlineStr">
        <is>
          <t>DHL</t>
        </is>
      </c>
      <c r="D73" s="146" t="n">
        <v>2295835311</v>
      </c>
      <c r="E73" s="146" t="inlineStr">
        <is>
          <t>SEDAN</t>
        </is>
      </c>
      <c r="F73" s="146" t="inlineStr">
        <is>
          <t>SFX7571 GA</t>
        </is>
      </c>
      <c r="G73" s="146" t="inlineStr">
        <is>
          <t>NISSAN, WHITE</t>
        </is>
      </c>
      <c r="H73" s="146" t="n">
        <v>1221</v>
      </c>
      <c r="I73" s="146" t="inlineStr">
        <is>
          <t xml:space="preserve">CONTRACTOR </t>
        </is>
      </c>
    </row>
    <row r="74" ht="18" customHeight="1" s="7">
      <c r="A74" s="146" t="inlineStr">
        <is>
          <t>WILLIAM THOMAS</t>
        </is>
      </c>
      <c r="B74" s="146" t="inlineStr">
        <is>
          <t>*049377008 GA</t>
        </is>
      </c>
      <c r="C74" s="146" t="inlineStr">
        <is>
          <t>DT MILLER</t>
        </is>
      </c>
      <c r="D74" s="146" t="n">
        <v>7066174334</v>
      </c>
      <c r="E74" s="146" t="inlineStr">
        <is>
          <t>PU</t>
        </is>
      </c>
      <c r="F74" s="146" t="inlineStr">
        <is>
          <t>SAK6046 GA</t>
        </is>
      </c>
      <c r="G74" s="146" t="inlineStr">
        <is>
          <t>GMC, BLACK</t>
        </is>
      </c>
      <c r="H74" s="146" t="n">
        <v>5592</v>
      </c>
      <c r="I74" s="146" t="inlineStr">
        <is>
          <t xml:space="preserve">CONTRACTOR </t>
        </is>
      </c>
    </row>
    <row r="75" ht="18" customHeight="1" s="7">
      <c r="A75" s="146" t="inlineStr">
        <is>
          <t>SAM ANDERSON</t>
        </is>
      </c>
      <c r="B75" s="146" t="inlineStr">
        <is>
          <t>*056458062 GA</t>
        </is>
      </c>
      <c r="C75" s="146" t="inlineStr">
        <is>
          <t>UPS</t>
        </is>
      </c>
      <c r="D75" s="146" t="n">
        <v>2292880066</v>
      </c>
      <c r="E75" s="146" t="inlineStr">
        <is>
          <t>VAN</t>
        </is>
      </c>
      <c r="F75" s="146" t="inlineStr">
        <is>
          <t>WEN916 GA</t>
        </is>
      </c>
      <c r="G75" s="146" t="inlineStr">
        <is>
          <t>FORD, BROWN</t>
        </is>
      </c>
      <c r="H75" s="146" t="inlineStr">
        <is>
          <t>BASEWIDE</t>
        </is>
      </c>
      <c r="I75" s="146" t="inlineStr">
        <is>
          <t xml:space="preserve">CONTRACTOR </t>
        </is>
      </c>
    </row>
    <row r="76" ht="18" customHeight="1" s="7">
      <c r="A76" s="146" t="inlineStr">
        <is>
          <t>LC BRAY</t>
        </is>
      </c>
      <c r="B76" s="146" t="inlineStr">
        <is>
          <t>7174932 AL</t>
        </is>
      </c>
      <c r="C76" s="146" t="inlineStr">
        <is>
          <t>MIDSOUTH PRODUCE</t>
        </is>
      </c>
      <c r="D76" s="146" t="n">
        <v>2059284536</v>
      </c>
      <c r="E76" s="146" t="inlineStr">
        <is>
          <t xml:space="preserve"> BOX</t>
        </is>
      </c>
      <c r="F76" s="146" t="inlineStr">
        <is>
          <t>3521602 IN</t>
        </is>
      </c>
      <c r="G76" s="146" t="inlineStr">
        <is>
          <t>FREIGHTLINER, WHITE</t>
        </is>
      </c>
      <c r="H76" s="146" t="n">
        <v>7501</v>
      </c>
      <c r="I76" s="146" t="inlineStr">
        <is>
          <t>COMMERCIAL</t>
        </is>
      </c>
    </row>
    <row r="77" ht="18" customHeight="1" s="7">
      <c r="A77" s="146" t="inlineStr">
        <is>
          <t>TAURUS MCMILLAN</t>
        </is>
      </c>
      <c r="B77" s="146" t="n">
        <v>56370655</v>
      </c>
      <c r="C77" s="146" t="inlineStr">
        <is>
          <t>USIC</t>
        </is>
      </c>
      <c r="D77" s="146" t="n">
        <v>2292064688</v>
      </c>
      <c r="E77" s="146" t="inlineStr">
        <is>
          <t>PU</t>
        </is>
      </c>
      <c r="F77" s="146" t="inlineStr">
        <is>
          <t>RTLQ67 FL</t>
        </is>
      </c>
      <c r="G77" s="146" t="inlineStr">
        <is>
          <t>WHITE NISSAN</t>
        </is>
      </c>
      <c r="H77" s="146" t="inlineStr">
        <is>
          <t>SUBSTATION</t>
        </is>
      </c>
      <c r="I77" s="146" t="inlineStr">
        <is>
          <t xml:space="preserve">CONTRACTOR </t>
        </is>
      </c>
    </row>
    <row r="78" ht="18" customHeight="1" s="7">
      <c r="A78" s="146" t="inlineStr">
        <is>
          <t>GUI BO</t>
        </is>
      </c>
      <c r="B78" s="146" t="inlineStr">
        <is>
          <t>L2041733039 IN</t>
        </is>
      </c>
      <c r="C78" s="146" t="inlineStr">
        <is>
          <t>BO TRANS</t>
        </is>
      </c>
      <c r="D78" s="146" t="n">
        <v>3146041508</v>
      </c>
      <c r="E78" s="146" t="inlineStr">
        <is>
          <t>SEMI BOX</t>
        </is>
      </c>
      <c r="F78" s="146" t="inlineStr">
        <is>
          <t>RDB6220 IN</t>
        </is>
      </c>
      <c r="G78" s="146" t="inlineStr">
        <is>
          <t>BLACK VOLVO</t>
        </is>
      </c>
      <c r="H78" s="146" t="n">
        <v>1221</v>
      </c>
      <c r="I78" s="146" t="inlineStr">
        <is>
          <t>COMMERCIAL</t>
        </is>
      </c>
    </row>
    <row r="79" ht="18" customHeight="1" s="7">
      <c r="A79" s="146" t="inlineStr">
        <is>
          <t>JOSHUA AMUA</t>
        </is>
      </c>
      <c r="B79" s="146" t="inlineStr">
        <is>
          <t>049205535 IN</t>
        </is>
      </c>
      <c r="C79" s="146" t="inlineStr">
        <is>
          <t>LANDSTAR</t>
        </is>
      </c>
      <c r="D79" s="146" t="n">
        <v>7062314177</v>
      </c>
      <c r="E79" s="146" t="inlineStr">
        <is>
          <t>SEMI BOX</t>
        </is>
      </c>
      <c r="F79" s="146" t="inlineStr">
        <is>
          <t>2518552 IN</t>
        </is>
      </c>
      <c r="G79" s="146" t="inlineStr">
        <is>
          <t>YELLOW WESTERN ST</t>
        </is>
      </c>
      <c r="H79" s="146" t="n">
        <v>12221</v>
      </c>
      <c r="I79" s="146" t="inlineStr">
        <is>
          <t>COMMERCIAL</t>
        </is>
      </c>
    </row>
    <row r="80" ht="18" customHeight="1" s="7">
      <c r="A80" s="146" t="inlineStr">
        <is>
          <t>DEVIN SCOTT</t>
        </is>
      </c>
      <c r="B80" s="146" t="inlineStr">
        <is>
          <t>0506600108 GA</t>
        </is>
      </c>
      <c r="C80" s="146" t="inlineStr">
        <is>
          <t>WT MILLER</t>
        </is>
      </c>
      <c r="D80" s="146" t="n">
        <v>7063202171</v>
      </c>
      <c r="E80" s="146" t="inlineStr">
        <is>
          <t>PU</t>
        </is>
      </c>
      <c r="F80" s="146" t="inlineStr">
        <is>
          <t>GFM846 GA</t>
        </is>
      </c>
      <c r="G80" s="146" t="inlineStr">
        <is>
          <t>WHITE CHEVY</t>
        </is>
      </c>
      <c r="H80" s="146" t="n">
        <v>5592</v>
      </c>
      <c r="I80" s="146" t="inlineStr">
        <is>
          <t xml:space="preserve">CONTRACTOR </t>
        </is>
      </c>
    </row>
    <row r="81" ht="18" customHeight="1" s="7">
      <c r="A81" s="144" t="inlineStr">
        <is>
          <t>LOWERY MONTGOMERY</t>
        </is>
      </c>
      <c r="B81" s="146" t="inlineStr">
        <is>
          <t>064264621 TN</t>
        </is>
      </c>
      <c r="C81" s="146" t="inlineStr">
        <is>
          <t>SERVICE ELECTRIC</t>
        </is>
      </c>
      <c r="D81" s="146" t="n">
        <v>4235512102</v>
      </c>
      <c r="E81" s="146" t="inlineStr">
        <is>
          <t>PU</t>
        </is>
      </c>
      <c r="F81" s="146" t="inlineStr">
        <is>
          <t>56187 TN</t>
        </is>
      </c>
      <c r="G81" s="146" t="inlineStr">
        <is>
          <t>WHITE FORD</t>
        </is>
      </c>
      <c r="H81" s="146" t="inlineStr">
        <is>
          <t>BASEWIDE</t>
        </is>
      </c>
      <c r="I81" s="146" t="inlineStr">
        <is>
          <t xml:space="preserve">CONTRACTOR </t>
        </is>
      </c>
    </row>
    <row r="82" ht="18" customHeight="1" s="7">
      <c r="A82" s="146" t="inlineStr">
        <is>
          <t>BEARDEN MICHAEL</t>
        </is>
      </c>
      <c r="B82" s="146" t="inlineStr">
        <is>
          <t>055355526 GA</t>
        </is>
      </c>
      <c r="C82" s="146" t="inlineStr">
        <is>
          <t>YANCEY RENTALS</t>
        </is>
      </c>
      <c r="D82" s="146" t="n">
        <v>2295832024</v>
      </c>
      <c r="E82" s="146" t="inlineStr">
        <is>
          <t>SEMI FLAT</t>
        </is>
      </c>
      <c r="F82" s="146" t="inlineStr">
        <is>
          <t>P4151B GA</t>
        </is>
      </c>
      <c r="G82" s="146" t="inlineStr">
        <is>
          <t>RED PETERBILT</t>
        </is>
      </c>
      <c r="H82" s="146" t="inlineStr">
        <is>
          <t>LAY DOWN</t>
        </is>
      </c>
      <c r="I82" s="146" t="inlineStr">
        <is>
          <t xml:space="preserve">CONTRACTOR </t>
        </is>
      </c>
    </row>
    <row r="83" ht="18" customHeight="1" s="7">
      <c r="A83" s="146" t="inlineStr">
        <is>
          <t>HARRY MARTINEZ</t>
        </is>
      </c>
      <c r="B83" s="146" t="inlineStr">
        <is>
          <t>M635374753291 FL</t>
        </is>
      </c>
      <c r="C83" s="146" t="inlineStr">
        <is>
          <t>CVM LOGISTICS</t>
        </is>
      </c>
      <c r="D83" s="146" t="n">
        <v>8138028011</v>
      </c>
      <c r="E83" s="146" t="inlineStr">
        <is>
          <t>SEMI BOX</t>
        </is>
      </c>
      <c r="F83" s="146" t="inlineStr">
        <is>
          <t>XA901B FL</t>
        </is>
      </c>
      <c r="G83" s="146" t="inlineStr">
        <is>
          <t>FREIGHTLINER, WHITE</t>
        </is>
      </c>
      <c r="H83" s="146" t="n">
        <v>3700</v>
      </c>
      <c r="I83" s="146" t="inlineStr">
        <is>
          <t>COMMERCIAL</t>
        </is>
      </c>
    </row>
    <row r="84" ht="18" customHeight="1" s="7">
      <c r="A84" s="146" t="inlineStr">
        <is>
          <t>JOSE VALDEZ</t>
        </is>
      </c>
      <c r="B84" s="146" t="inlineStr">
        <is>
          <t>V432433850081 FL</t>
        </is>
      </c>
      <c r="C84" s="146" t="inlineStr">
        <is>
          <t>F2F TRANSPORT</t>
        </is>
      </c>
      <c r="D84" s="146" t="n">
        <v>7087965025</v>
      </c>
      <c r="E84" s="146" t="inlineStr">
        <is>
          <t>SEMI BOX</t>
        </is>
      </c>
      <c r="F84" s="146" t="inlineStr">
        <is>
          <t>U3358HY TN</t>
        </is>
      </c>
      <c r="G84" s="146" t="inlineStr">
        <is>
          <t>VOLVO, BROWN</t>
        </is>
      </c>
      <c r="H84" s="146" t="n">
        <v>3700</v>
      </c>
      <c r="I84" s="146" t="inlineStr">
        <is>
          <t>COMMERCIAL</t>
        </is>
      </c>
    </row>
    <row r="85" ht="18" customHeight="1" s="7">
      <c r="A85" s="146" t="inlineStr">
        <is>
          <t>RAYMOND OLSON</t>
        </is>
      </c>
      <c r="B85" s="146" t="inlineStr">
        <is>
          <t>051977595 GA</t>
        </is>
      </c>
      <c r="C85" s="146" t="inlineStr">
        <is>
          <t>NOMADS RV</t>
        </is>
      </c>
      <c r="D85" s="146" t="n">
        <v>2298946232</v>
      </c>
      <c r="E85" s="146" t="inlineStr">
        <is>
          <t>VAN</t>
        </is>
      </c>
      <c r="F85" s="146" t="inlineStr">
        <is>
          <t>GND494 GA</t>
        </is>
      </c>
      <c r="G85" s="146" t="inlineStr">
        <is>
          <t>FREIGHT, WHITE</t>
        </is>
      </c>
      <c r="H85" s="146" t="inlineStr">
        <is>
          <t>RV PARK</t>
        </is>
      </c>
      <c r="I85" s="146" t="inlineStr">
        <is>
          <t xml:space="preserve">CONTRACTOR </t>
        </is>
      </c>
    </row>
    <row r="86" ht="18" customHeight="1" s="7">
      <c r="A86" s="146" t="inlineStr">
        <is>
          <t>ERIC PAYNE</t>
        </is>
      </c>
      <c r="B86" s="146" t="inlineStr">
        <is>
          <t>033857945 GA</t>
        </is>
      </c>
      <c r="C86" s="146" t="inlineStr">
        <is>
          <t>SPARTAN NASH</t>
        </is>
      </c>
      <c r="D86" s="146" t="n">
        <v>7069927883</v>
      </c>
      <c r="E86" s="146" t="inlineStr">
        <is>
          <t>SEMI BOX</t>
        </is>
      </c>
      <c r="F86" s="146" t="inlineStr">
        <is>
          <t>406875 NE</t>
        </is>
      </c>
      <c r="G86" s="146" t="inlineStr">
        <is>
          <t>INTERNATIONAL, WHITE</t>
        </is>
      </c>
      <c r="H86" s="146" t="n">
        <v>7501</v>
      </c>
      <c r="I86" s="146" t="inlineStr">
        <is>
          <t>COMMERCIAL</t>
        </is>
      </c>
    </row>
    <row r="87" ht="18" customHeight="1" s="7">
      <c r="A87" s="146" t="inlineStr">
        <is>
          <t>JERRY GIBSON</t>
        </is>
      </c>
      <c r="B87" s="146" t="inlineStr">
        <is>
          <t>054444400 GA</t>
        </is>
      </c>
      <c r="C87" s="146" t="inlineStr">
        <is>
          <t>CSI</t>
        </is>
      </c>
      <c r="D87" s="146" t="n">
        <v>2294461401</v>
      </c>
      <c r="E87" s="146" t="inlineStr">
        <is>
          <t>SEMI DUMP</t>
        </is>
      </c>
      <c r="F87" s="146" t="inlineStr">
        <is>
          <t>EYL065 GA</t>
        </is>
      </c>
      <c r="G87" s="146" t="inlineStr">
        <is>
          <t>WHITE FL</t>
        </is>
      </c>
      <c r="H87" s="146" t="inlineStr">
        <is>
          <t>BASEWIDE</t>
        </is>
      </c>
      <c r="I87" s="146" t="inlineStr">
        <is>
          <t>COMMERCIAL</t>
        </is>
      </c>
    </row>
    <row r="88" ht="18" customHeight="1" s="7">
      <c r="A88" s="146" t="inlineStr">
        <is>
          <t>JEFFREY SCOTT</t>
        </is>
      </c>
      <c r="B88" s="146" t="inlineStr">
        <is>
          <t>*054484244 GA</t>
        </is>
      </c>
      <c r="C88" s="144" t="inlineStr">
        <is>
          <t>ARGO</t>
        </is>
      </c>
      <c r="D88" s="146" t="n">
        <v>9126629437</v>
      </c>
      <c r="E88" s="146" t="inlineStr">
        <is>
          <t>SEMI BOX</t>
        </is>
      </c>
      <c r="F88" s="146" t="inlineStr">
        <is>
          <t>P108270 IL</t>
        </is>
      </c>
      <c r="G88" s="146" t="inlineStr">
        <is>
          <t>VOLVO WHITE</t>
        </is>
      </c>
      <c r="H88" s="146" t="n">
        <v>1221</v>
      </c>
      <c r="I88" s="146" t="inlineStr">
        <is>
          <t>COMMERCIAL</t>
        </is>
      </c>
    </row>
    <row r="89" ht="18" customHeight="1" s="7">
      <c r="A89" s="146" t="inlineStr">
        <is>
          <t>JAMES SEXTON</t>
        </is>
      </c>
      <c r="B89" s="146" t="inlineStr">
        <is>
          <t>057642832 GA</t>
        </is>
      </c>
      <c r="C89" s="146" t="inlineStr">
        <is>
          <t>SOUTHERN TREE</t>
        </is>
      </c>
      <c r="D89" s="146" t="n">
        <v>2293922230</v>
      </c>
      <c r="E89" s="146" t="inlineStr">
        <is>
          <t>DUMP</t>
        </is>
      </c>
      <c r="F89" s="146" t="inlineStr">
        <is>
          <t>GFF940 GA</t>
        </is>
      </c>
      <c r="G89" s="146" t="inlineStr">
        <is>
          <t>WHITE INTERN</t>
        </is>
      </c>
      <c r="H89" s="146" t="n">
        <v>10300</v>
      </c>
      <c r="I89" s="146" t="inlineStr">
        <is>
          <t xml:space="preserve">CONTRACTOR </t>
        </is>
      </c>
    </row>
    <row r="90" ht="18" customHeight="1" s="7">
      <c r="A90" s="146" t="inlineStr">
        <is>
          <t>DEVIN STEEN</t>
        </is>
      </c>
      <c r="B90" s="146" t="inlineStr">
        <is>
          <t>*050600108 GA</t>
        </is>
      </c>
      <c r="C90" s="146" t="inlineStr">
        <is>
          <t>WT MILLER</t>
        </is>
      </c>
      <c r="D90" s="146" t="n">
        <v>2293142361</v>
      </c>
      <c r="E90" s="146" t="inlineStr">
        <is>
          <t>PU</t>
        </is>
      </c>
      <c r="F90" s="146" t="inlineStr">
        <is>
          <t>GFM846 GA</t>
        </is>
      </c>
      <c r="G90" s="146" t="inlineStr">
        <is>
          <t>WHITE CHEVY</t>
        </is>
      </c>
      <c r="H90" s="146" t="n">
        <v>5592</v>
      </c>
      <c r="I90" s="146" t="inlineStr">
        <is>
          <t xml:space="preserve">CONTRACTOR </t>
        </is>
      </c>
    </row>
    <row r="91" ht="18" customHeight="1" s="7">
      <c r="A91" s="146" t="inlineStr">
        <is>
          <t>ERIC DUNDAS</t>
        </is>
      </c>
      <c r="B91" s="146" t="inlineStr">
        <is>
          <t>*059961563 GA</t>
        </is>
      </c>
      <c r="C91" s="146" t="inlineStr">
        <is>
          <t>UNITED MACHINERY</t>
        </is>
      </c>
      <c r="D91" s="146" t="n">
        <v>2299778643</v>
      </c>
      <c r="E91" s="146" t="inlineStr">
        <is>
          <t>LIFT</t>
        </is>
      </c>
      <c r="F91" s="146" t="inlineStr">
        <is>
          <t>P763CQ GA</t>
        </is>
      </c>
      <c r="G91" s="146" t="inlineStr">
        <is>
          <t>WHITE M.</t>
        </is>
      </c>
      <c r="H91" s="146" t="inlineStr">
        <is>
          <t>KENNELS</t>
        </is>
      </c>
      <c r="I91" s="146" t="inlineStr">
        <is>
          <t xml:space="preserve">CONTRACTOR </t>
        </is>
      </c>
    </row>
    <row r="92" ht="18" customHeight="1" s="7">
      <c r="A92" s="146" t="inlineStr">
        <is>
          <t>KAVIN WILBURN</t>
        </is>
      </c>
      <c r="B92" s="146" t="inlineStr">
        <is>
          <t>*054296981 GA</t>
        </is>
      </c>
      <c r="C92" s="146" t="inlineStr">
        <is>
          <t>BEVERAGE SOUTH</t>
        </is>
      </c>
      <c r="D92" s="146" t="n">
        <v>2293644347</v>
      </c>
      <c r="E92" s="146" t="inlineStr">
        <is>
          <t>SEMI BOX</t>
        </is>
      </c>
      <c r="F92" s="146" t="inlineStr">
        <is>
          <t>EGK332 GA</t>
        </is>
      </c>
      <c r="G92" s="146" t="inlineStr">
        <is>
          <t>WHITE KW</t>
        </is>
      </c>
      <c r="H92" s="146" t="n">
        <v>7501</v>
      </c>
      <c r="I92" s="146" t="inlineStr">
        <is>
          <t>COMMERCIAL</t>
        </is>
      </c>
    </row>
    <row r="93" ht="18" customHeight="1" s="7">
      <c r="A93" s="146" t="inlineStr">
        <is>
          <t>ANTHONY LYONS</t>
        </is>
      </c>
      <c r="B93" s="146" t="inlineStr">
        <is>
          <t>L520012863270 FL</t>
        </is>
      </c>
      <c r="C93" s="146" t="inlineStr">
        <is>
          <t>MACKLINE CONCRET</t>
        </is>
      </c>
      <c r="D93" s="146" t="n">
        <v>8506033548</v>
      </c>
      <c r="E93" s="146" t="inlineStr">
        <is>
          <t>PU</t>
        </is>
      </c>
      <c r="F93" s="146" t="inlineStr">
        <is>
          <t>23A1R63 AL</t>
        </is>
      </c>
      <c r="G93" s="146" t="inlineStr">
        <is>
          <t>WHITE CHEVY</t>
        </is>
      </c>
      <c r="H93" s="146" t="inlineStr">
        <is>
          <t>KENNELS</t>
        </is>
      </c>
      <c r="I93" s="146" t="inlineStr">
        <is>
          <t xml:space="preserve">CONTRACTOR </t>
        </is>
      </c>
    </row>
    <row r="94" ht="18" customHeight="1" s="7">
      <c r="A94" s="146" t="inlineStr">
        <is>
          <t>LEROY MCLIN</t>
        </is>
      </c>
      <c r="B94" s="146" t="inlineStr">
        <is>
          <t>059158159 GA</t>
        </is>
      </c>
      <c r="C94" s="146" t="inlineStr">
        <is>
          <t>COCA COLA</t>
        </is>
      </c>
      <c r="D94" s="146" t="n">
        <v>4784917037</v>
      </c>
      <c r="E94" s="146" t="inlineStr">
        <is>
          <t>SEMI BOX</t>
        </is>
      </c>
      <c r="F94" s="146" t="inlineStr">
        <is>
          <t>P683CL GA</t>
        </is>
      </c>
      <c r="G94" s="146" t="inlineStr">
        <is>
          <t>RED INTERN</t>
        </is>
      </c>
      <c r="H94" s="146" t="n">
        <v>7501</v>
      </c>
      <c r="I94" s="146" t="inlineStr">
        <is>
          <t>COMMERCIAL</t>
        </is>
      </c>
    </row>
    <row r="95" ht="18" customHeight="1" s="7">
      <c r="A95" s="146" t="inlineStr">
        <is>
          <t>STANTON LODER</t>
        </is>
      </c>
      <c r="B95" s="146" t="inlineStr">
        <is>
          <t>L11175339 KY</t>
        </is>
      </c>
      <c r="C95" s="146" t="inlineStr">
        <is>
          <t>AMER TRANS</t>
        </is>
      </c>
      <c r="D95" s="146" t="n">
        <v>2707794884</v>
      </c>
      <c r="E95" s="146" t="inlineStr">
        <is>
          <t>SEMI BOX</t>
        </is>
      </c>
      <c r="F95" s="146" t="inlineStr">
        <is>
          <t>A43678 KY</t>
        </is>
      </c>
      <c r="G95" s="146" t="inlineStr">
        <is>
          <t>RED VOLVO</t>
        </is>
      </c>
      <c r="H95" s="146" t="n">
        <v>1221</v>
      </c>
      <c r="I95" s="146" t="inlineStr">
        <is>
          <t>COMMERCIAL</t>
        </is>
      </c>
    </row>
    <row r="96" ht="18" customHeight="1" s="7">
      <c r="A96" s="146" t="inlineStr">
        <is>
          <t>TERRANCE JOHNSON</t>
        </is>
      </c>
      <c r="B96" s="146" t="inlineStr">
        <is>
          <t>J525812793780 FL</t>
        </is>
      </c>
      <c r="C96" s="146" t="inlineStr">
        <is>
          <t>NIGHT TRAIN EXP</t>
        </is>
      </c>
      <c r="D96" s="146" t="n">
        <v>8635858131</v>
      </c>
      <c r="E96" s="146" t="inlineStr">
        <is>
          <t>SEMI BOX</t>
        </is>
      </c>
      <c r="F96" s="146" t="inlineStr">
        <is>
          <t>TO387HY TN</t>
        </is>
      </c>
      <c r="G96" s="146" t="inlineStr">
        <is>
          <t>RED KW</t>
        </is>
      </c>
      <c r="H96" s="146" t="n">
        <v>1221</v>
      </c>
      <c r="I96" s="146" t="inlineStr">
        <is>
          <t>COMMERCIAL</t>
        </is>
      </c>
    </row>
    <row r="97" ht="18" customHeight="1" s="7">
      <c r="A97" s="146" t="inlineStr">
        <is>
          <t>CHRISTOPHER FULFORD</t>
        </is>
      </c>
      <c r="B97" s="146" t="inlineStr">
        <is>
          <t>F416101872870 FL</t>
        </is>
      </c>
      <c r="C97" s="146" t="inlineStr">
        <is>
          <t>MLC CONCRETE</t>
        </is>
      </c>
      <c r="D97" s="146" t="n">
        <v>8506856272</v>
      </c>
      <c r="E97" s="146" t="inlineStr">
        <is>
          <t>PU</t>
        </is>
      </c>
      <c r="F97" s="146" t="inlineStr">
        <is>
          <t>23A2332 AL</t>
        </is>
      </c>
      <c r="G97" s="146" t="inlineStr">
        <is>
          <t>BLUE FORD</t>
        </is>
      </c>
      <c r="H97" s="146" t="inlineStr">
        <is>
          <t>KENNELS</t>
        </is>
      </c>
      <c r="I97" s="146" t="inlineStr">
        <is>
          <t xml:space="preserve">CONTRACTOR </t>
        </is>
      </c>
    </row>
    <row r="98" ht="18" customHeight="1" s="7">
      <c r="A98" s="146" t="inlineStr">
        <is>
          <t>JOSE FIGUEROA</t>
        </is>
      </c>
      <c r="B98" s="146" t="inlineStr">
        <is>
          <t>F261433542410 FL</t>
        </is>
      </c>
      <c r="C98" s="146" t="inlineStr">
        <is>
          <t>CRUZ &amp; FIGUEROA</t>
        </is>
      </c>
      <c r="D98" s="146" t="n">
        <v>4074702970</v>
      </c>
      <c r="E98" s="146" t="inlineStr">
        <is>
          <t>SEMI BOX</t>
        </is>
      </c>
      <c r="F98" s="146" t="inlineStr">
        <is>
          <t>XEB77F FL</t>
        </is>
      </c>
      <c r="G98" s="146" t="inlineStr">
        <is>
          <t>BLACK PETERBILT</t>
        </is>
      </c>
      <c r="H98" s="146" t="n">
        <v>1221</v>
      </c>
      <c r="I98" s="146" t="inlineStr">
        <is>
          <t>COMMERCIAL</t>
        </is>
      </c>
    </row>
    <row r="99" ht="18" customHeight="1" s="7">
      <c r="A99" s="146" t="inlineStr">
        <is>
          <t>CURTIS WILLIAMS</t>
        </is>
      </c>
      <c r="B99" s="146" t="inlineStr">
        <is>
          <t>*053947784 GA</t>
        </is>
      </c>
      <c r="C99" s="146" t="inlineStr">
        <is>
          <t>TERRACON</t>
        </is>
      </c>
      <c r="D99" s="146" t="n">
        <v>7066177594</v>
      </c>
      <c r="E99" s="146" t="inlineStr">
        <is>
          <t>PU</t>
        </is>
      </c>
      <c r="F99" s="146" t="inlineStr">
        <is>
          <t>CNP4785 GA</t>
        </is>
      </c>
      <c r="G99" s="146" t="inlineStr">
        <is>
          <t>WHITE FORD</t>
        </is>
      </c>
      <c r="H99" s="146" t="inlineStr">
        <is>
          <t>KENNELS</t>
        </is>
      </c>
      <c r="I99" s="146" t="inlineStr">
        <is>
          <t xml:space="preserve">CONTRACTOR </t>
        </is>
      </c>
    </row>
    <row r="100" ht="18" customHeight="1" s="7">
      <c r="A100" s="146" t="inlineStr">
        <is>
          <t>TEVIN DEBERRY</t>
        </is>
      </c>
      <c r="B100" s="146" t="inlineStr">
        <is>
          <t>000039559398 NC</t>
        </is>
      </c>
      <c r="C100" s="146" t="inlineStr">
        <is>
          <t>DEBERRY TRUCKING</t>
        </is>
      </c>
      <c r="D100" s="146" t="n">
        <v>9109883772</v>
      </c>
      <c r="E100" s="146" t="inlineStr">
        <is>
          <t>BOX</t>
        </is>
      </c>
      <c r="F100" s="146" t="inlineStr">
        <is>
          <t xml:space="preserve">ZS7526 NC </t>
        </is>
      </c>
      <c r="G100" s="146" t="inlineStr">
        <is>
          <t>WHITE INTERN</t>
        </is>
      </c>
      <c r="H100" s="146" t="n">
        <v>7500</v>
      </c>
      <c r="I100" s="146" t="inlineStr">
        <is>
          <t>COMMERCIAL</t>
        </is>
      </c>
    </row>
    <row r="101" ht="18" customHeight="1" s="7">
      <c r="A101" s="144" t="inlineStr">
        <is>
          <t>NELSON FRANKLIN</t>
        </is>
      </c>
      <c r="B101" s="144" t="inlineStr">
        <is>
          <t>000000969220 NC</t>
        </is>
      </c>
      <c r="C101" s="144" t="inlineStr">
        <is>
          <t>GHOST TRUCKING</t>
        </is>
      </c>
      <c r="D101" s="144" t="n">
        <v>7047732034</v>
      </c>
      <c r="E101" s="144" t="inlineStr">
        <is>
          <t>SEMI BOX</t>
        </is>
      </c>
      <c r="F101" s="144" t="inlineStr">
        <is>
          <t>NS9674 NC</t>
        </is>
      </c>
      <c r="G101" s="144" t="inlineStr">
        <is>
          <t>WHITE KW</t>
        </is>
      </c>
      <c r="H101" s="144" t="n">
        <v>1221</v>
      </c>
      <c r="I101" s="144" t="inlineStr">
        <is>
          <t>COMMERCIAL</t>
        </is>
      </c>
    </row>
    <row r="102" ht="18" customHeight="1" s="7">
      <c r="A102" s="144" t="inlineStr">
        <is>
          <t>MARK STONE</t>
        </is>
      </c>
      <c r="B102" s="144" t="inlineStr">
        <is>
          <t>056 797889 GA</t>
        </is>
      </c>
      <c r="C102" s="144" t="inlineStr">
        <is>
          <t>CONCRETE ENTERP</t>
        </is>
      </c>
      <c r="D102" s="144" t="n">
        <v>2298881904</v>
      </c>
      <c r="E102" s="144" t="inlineStr">
        <is>
          <t>MIXER</t>
        </is>
      </c>
      <c r="F102" s="144" t="inlineStr">
        <is>
          <t>GA1104 GA</t>
        </is>
      </c>
      <c r="G102" s="144" t="inlineStr">
        <is>
          <t>WHITE FORD</t>
        </is>
      </c>
      <c r="H102" s="144" t="inlineStr">
        <is>
          <t>KENNELS</t>
        </is>
      </c>
      <c r="I102" s="144" t="inlineStr">
        <is>
          <t xml:space="preserve">CONTRACTOR </t>
        </is>
      </c>
    </row>
    <row r="103" ht="18" customHeight="1" s="7">
      <c r="A103" s="144" t="inlineStr">
        <is>
          <t>JUNIOR BELVANT</t>
        </is>
      </c>
      <c r="B103" s="144" t="inlineStr">
        <is>
          <t>B222359096000 FL</t>
        </is>
      </c>
      <c r="C103" s="144" t="inlineStr">
        <is>
          <t>SHIP N GO</t>
        </is>
      </c>
      <c r="D103" s="144" t="n">
        <v>2395298870</v>
      </c>
      <c r="E103" s="144" t="inlineStr">
        <is>
          <t>SEMI BOX</t>
        </is>
      </c>
      <c r="F103" s="144" t="inlineStr">
        <is>
          <t>XE302C FL</t>
        </is>
      </c>
      <c r="G103" s="144" t="inlineStr">
        <is>
          <t>WHITE INTERN</t>
        </is>
      </c>
      <c r="H103" s="144" t="n">
        <v>1221</v>
      </c>
      <c r="I103" s="144" t="inlineStr">
        <is>
          <t>COMMERCIAL</t>
        </is>
      </c>
    </row>
    <row r="104" ht="18" customHeight="1" s="7">
      <c r="A104" s="144" t="inlineStr">
        <is>
          <t>WABLAIS VIXAMAR</t>
        </is>
      </c>
      <c r="B104" s="144" t="inlineStr">
        <is>
          <t>V2568802820 FL</t>
        </is>
      </c>
      <c r="C104" s="144" t="inlineStr">
        <is>
          <t>G FORWARD INC</t>
        </is>
      </c>
      <c r="D104" s="144" t="n">
        <v>7544223024</v>
      </c>
      <c r="E104" s="144" t="inlineStr">
        <is>
          <t>SEMI BOX</t>
        </is>
      </c>
      <c r="F104" s="144" t="inlineStr">
        <is>
          <t>P1043907 IL</t>
        </is>
      </c>
      <c r="G104" s="144" t="inlineStr">
        <is>
          <t>GREEN FREIGHTLINER</t>
        </is>
      </c>
      <c r="H104" s="144" t="n">
        <v>1221</v>
      </c>
      <c r="I104" s="144" t="inlineStr">
        <is>
          <t>COMMERCIAL</t>
        </is>
      </c>
    </row>
    <row r="105" ht="18" customHeight="1" s="7">
      <c r="A105" s="144" t="inlineStr">
        <is>
          <t>CHARLES MOORE</t>
        </is>
      </c>
      <c r="B105" s="144" t="inlineStr">
        <is>
          <t>049271850 GA</t>
        </is>
      </c>
      <c r="C105" s="144" t="inlineStr">
        <is>
          <t>MCA</t>
        </is>
      </c>
      <c r="D105" s="144" t="n">
        <v>2293768988</v>
      </c>
      <c r="E105" s="144" t="inlineStr">
        <is>
          <t>PU</t>
        </is>
      </c>
      <c r="F105" s="144" t="inlineStr">
        <is>
          <t>SEJ7910 GA</t>
        </is>
      </c>
      <c r="G105" s="144" t="inlineStr">
        <is>
          <t>NISSAN WHITE</t>
        </is>
      </c>
      <c r="H105" s="144" t="n">
        <v>7520</v>
      </c>
      <c r="I105" s="144" t="inlineStr">
        <is>
          <t xml:space="preserve">CONTRACTOR </t>
        </is>
      </c>
    </row>
    <row r="106" ht="18" customHeight="1" s="7">
      <c r="A106" s="144" t="inlineStr">
        <is>
          <t>DALE MAINE</t>
        </is>
      </c>
      <c r="B106" s="144" t="inlineStr">
        <is>
          <t>*054282041 GA</t>
        </is>
      </c>
      <c r="C106" s="144" t="inlineStr">
        <is>
          <t>RHC</t>
        </is>
      </c>
      <c r="D106" s="144" t="n">
        <v>2292884246</v>
      </c>
      <c r="E106" s="144" t="inlineStr">
        <is>
          <t>PU</t>
        </is>
      </c>
      <c r="F106" s="144" t="inlineStr">
        <is>
          <t>PLX3051 GA</t>
        </is>
      </c>
      <c r="G106" s="144" t="inlineStr">
        <is>
          <t>GRAY FORD</t>
        </is>
      </c>
      <c r="H106" s="144" t="inlineStr">
        <is>
          <t>HOUSING</t>
        </is>
      </c>
      <c r="I106" s="144" t="inlineStr">
        <is>
          <t xml:space="preserve">CONTRACTOR </t>
        </is>
      </c>
    </row>
    <row r="107" ht="18" customHeight="1" s="7">
      <c r="A107" s="144" t="inlineStr">
        <is>
          <t>CORY REYNOLDS</t>
        </is>
      </c>
      <c r="B107" s="144" t="inlineStr">
        <is>
          <t>*071666183 GA</t>
        </is>
      </c>
      <c r="C107" s="144" t="inlineStr">
        <is>
          <t>FLINT</t>
        </is>
      </c>
      <c r="D107" s="144" t="n">
        <v>8634303289</v>
      </c>
      <c r="E107" s="144" t="inlineStr">
        <is>
          <t>PU</t>
        </is>
      </c>
      <c r="F107" s="144" t="inlineStr">
        <is>
          <t>EZP049 GA</t>
        </is>
      </c>
      <c r="G107" s="144" t="inlineStr">
        <is>
          <t>WHITE INTERN</t>
        </is>
      </c>
      <c r="H107" s="144" t="inlineStr">
        <is>
          <t>POWERWORKS</t>
        </is>
      </c>
      <c r="I107" s="144" t="inlineStr">
        <is>
          <t xml:space="preserve">CONTRACTOR </t>
        </is>
      </c>
    </row>
    <row r="108" ht="18" customHeight="1" s="7">
      <c r="A108" s="144" t="inlineStr">
        <is>
          <t>ERROLL HODGE</t>
        </is>
      </c>
      <c r="B108" s="144" t="inlineStr">
        <is>
          <t>16237954 TX</t>
        </is>
      </c>
      <c r="C108" s="144" t="inlineStr">
        <is>
          <t>TRIPLE D</t>
        </is>
      </c>
      <c r="D108" s="144" t="n">
        <v>9035712855</v>
      </c>
      <c r="E108" s="144" t="inlineStr">
        <is>
          <t>SEMI BOX</t>
        </is>
      </c>
      <c r="F108" s="144" t="inlineStr">
        <is>
          <t>M8282 NM</t>
        </is>
      </c>
      <c r="G108" s="144" t="inlineStr">
        <is>
          <t>WHITE KW</t>
        </is>
      </c>
      <c r="H108" s="144" t="n">
        <v>1221</v>
      </c>
      <c r="I108" s="144" t="inlineStr">
        <is>
          <t>COMMERCIAL</t>
        </is>
      </c>
    </row>
    <row r="109" ht="18" customHeight="1" s="7">
      <c r="A109" s="144" t="inlineStr">
        <is>
          <t>COTTON REGINALD</t>
        </is>
      </c>
      <c r="B109" s="144" t="inlineStr">
        <is>
          <t>100240370 SC</t>
        </is>
      </c>
      <c r="C109" s="144" t="inlineStr">
        <is>
          <t>MILLERS</t>
        </is>
      </c>
      <c r="D109" s="144" t="n">
        <v>8433316487</v>
      </c>
      <c r="E109" s="144" t="inlineStr">
        <is>
          <t>FLAT</t>
        </is>
      </c>
      <c r="F109" s="144" t="inlineStr">
        <is>
          <t>P763686 SC</t>
        </is>
      </c>
      <c r="G109" s="144" t="inlineStr">
        <is>
          <t>YELLOW VOLVO</t>
        </is>
      </c>
      <c r="H109" s="144" t="n">
        <v>1221</v>
      </c>
      <c r="I109" s="144" t="inlineStr">
        <is>
          <t>COMMERCIAL</t>
        </is>
      </c>
    </row>
    <row r="110" ht="18" customHeight="1" s="7">
      <c r="A110" s="144" t="inlineStr">
        <is>
          <t>BASS LONDON</t>
        </is>
      </c>
      <c r="B110" s="144" t="inlineStr">
        <is>
          <t>*060843146 GA</t>
        </is>
      </c>
      <c r="C110" s="144" t="inlineStr">
        <is>
          <t>FEDEX</t>
        </is>
      </c>
      <c r="D110" s="144" t="n">
        <v>2292964982</v>
      </c>
      <c r="E110" s="144" t="inlineStr">
        <is>
          <t>VAN</t>
        </is>
      </c>
      <c r="F110" s="144" t="inlineStr">
        <is>
          <t>3AC237 OK</t>
        </is>
      </c>
      <c r="G110" s="144" t="inlineStr">
        <is>
          <t>WHITE FORD</t>
        </is>
      </c>
      <c r="H110" s="144" t="inlineStr">
        <is>
          <t>BASEWIDE</t>
        </is>
      </c>
      <c r="I110" s="144" t="inlineStr">
        <is>
          <t xml:space="preserve">CONTRACTOR </t>
        </is>
      </c>
    </row>
    <row r="111" ht="18" customHeight="1" s="7">
      <c r="A111" s="144" t="inlineStr">
        <is>
          <t xml:space="preserve">DAYTON SMITH </t>
        </is>
      </c>
      <c r="B111" s="144" t="inlineStr">
        <is>
          <t>*059833679 GA</t>
        </is>
      </c>
      <c r="C111" s="144" t="inlineStr">
        <is>
          <t>ADVANCE SPRINKLER</t>
        </is>
      </c>
      <c r="D111" s="144" t="n">
        <v>2298860242</v>
      </c>
      <c r="E111" s="144" t="inlineStr">
        <is>
          <t>BOX</t>
        </is>
      </c>
      <c r="F111" s="144" t="inlineStr">
        <is>
          <t>TEQ0596 GA</t>
        </is>
      </c>
      <c r="G111" s="144" t="inlineStr">
        <is>
          <t>WHITE ISUZU</t>
        </is>
      </c>
      <c r="H111" s="144" t="inlineStr">
        <is>
          <t>BASEWIDE</t>
        </is>
      </c>
      <c r="I111" s="144" t="inlineStr">
        <is>
          <t xml:space="preserve">CONTRACTOR </t>
        </is>
      </c>
    </row>
    <row r="112" ht="18" customHeight="1" s="7">
      <c r="A112" s="144" t="inlineStr">
        <is>
          <t>MICHAEL WEST</t>
        </is>
      </c>
      <c r="B112" s="144" t="inlineStr">
        <is>
          <t>*026122315 GA</t>
        </is>
      </c>
      <c r="C112" s="144" t="inlineStr">
        <is>
          <t xml:space="preserve">UNITED RENTALS </t>
        </is>
      </c>
      <c r="D112" s="144" t="n">
        <v>8008773687</v>
      </c>
      <c r="E112" s="144" t="inlineStr">
        <is>
          <t>FLAT</t>
        </is>
      </c>
      <c r="F112" s="144" t="inlineStr">
        <is>
          <t>3063986 IN</t>
        </is>
      </c>
      <c r="G112" s="144" t="inlineStr">
        <is>
          <t>WHITE INTER</t>
        </is>
      </c>
      <c r="H112" s="144" t="n">
        <v>7960</v>
      </c>
      <c r="I112" s="144" t="inlineStr">
        <is>
          <t>COMMERCIAL</t>
        </is>
      </c>
    </row>
    <row r="113" ht="18" customHeight="1" s="7">
      <c r="A113" s="144" t="inlineStr">
        <is>
          <t>PETIT HOMME</t>
        </is>
      </c>
      <c r="B113" s="144" t="inlineStr">
        <is>
          <t>P335425814531 FL</t>
        </is>
      </c>
      <c r="C113" s="144" t="inlineStr">
        <is>
          <t>FORWARD INC</t>
        </is>
      </c>
      <c r="D113" s="144" t="n">
        <v>7862770545</v>
      </c>
      <c r="E113" s="144" t="inlineStr">
        <is>
          <t>BOX</t>
        </is>
      </c>
      <c r="F113" s="144" t="inlineStr">
        <is>
          <t>P1157443 IL</t>
        </is>
      </c>
      <c r="G113" s="144" t="inlineStr">
        <is>
          <t>RED FREIGHT</t>
        </is>
      </c>
      <c r="H113" s="144" t="n">
        <v>1221</v>
      </c>
      <c r="I113" s="144" t="inlineStr">
        <is>
          <t>COMMERCIAL</t>
        </is>
      </c>
    </row>
    <row r="114" ht="18" customHeight="1" s="7">
      <c r="A114" s="144" t="inlineStr">
        <is>
          <t>URENA MIGUEL</t>
        </is>
      </c>
      <c r="B114" s="144" t="inlineStr">
        <is>
          <t>27466605 PA</t>
        </is>
      </c>
      <c r="C114" s="144" t="inlineStr">
        <is>
          <t>DYNOMIC</t>
        </is>
      </c>
      <c r="D114" s="144" t="n">
        <v>4707737554</v>
      </c>
      <c r="E114" s="144" t="inlineStr">
        <is>
          <t>BOX</t>
        </is>
      </c>
      <c r="F114" s="144" t="inlineStr">
        <is>
          <t>P1222324 IL</t>
        </is>
      </c>
      <c r="G114" s="144" t="inlineStr">
        <is>
          <t>GRAY PETER</t>
        </is>
      </c>
      <c r="H114" s="144" t="n">
        <v>1221</v>
      </c>
      <c r="I114" s="144" t="inlineStr">
        <is>
          <t>COMMERCIAL</t>
        </is>
      </c>
    </row>
    <row r="115" ht="18" customHeight="1" s="7">
      <c r="A115" s="144" t="inlineStr">
        <is>
          <t>JAMES FAVORS</t>
        </is>
      </c>
      <c r="B115" s="144" t="inlineStr">
        <is>
          <t>*055891057 GA</t>
        </is>
      </c>
      <c r="C115" s="144" t="inlineStr">
        <is>
          <t>CONCRETE ENTERP</t>
        </is>
      </c>
      <c r="D115" s="144" t="n">
        <v>2298881904</v>
      </c>
      <c r="E115" s="144" t="inlineStr">
        <is>
          <t>DUMP</t>
        </is>
      </c>
      <c r="F115" s="144" t="inlineStr">
        <is>
          <t>GAI105 GA</t>
        </is>
      </c>
      <c r="G115" s="144" t="inlineStr">
        <is>
          <t>GREEN MACK</t>
        </is>
      </c>
      <c r="H115" s="144" t="inlineStr">
        <is>
          <t>K-9</t>
        </is>
      </c>
      <c r="I115" s="144" t="inlineStr">
        <is>
          <t>COMMERCIAL</t>
        </is>
      </c>
    </row>
    <row r="116" ht="18" customHeight="1" s="7">
      <c r="A116" s="144" t="inlineStr">
        <is>
          <t>BRISTOL CLARK</t>
        </is>
      </c>
      <c r="B116" s="144" t="inlineStr">
        <is>
          <t>*058452165 GA</t>
        </is>
      </c>
      <c r="C116" s="144" t="inlineStr">
        <is>
          <t>FIVE STAR</t>
        </is>
      </c>
      <c r="D116" s="144" t="n">
        <v>2293447136</v>
      </c>
      <c r="E116" s="144" t="inlineStr">
        <is>
          <t>BOX</t>
        </is>
      </c>
      <c r="F116" s="144" t="inlineStr">
        <is>
          <t>YBA292 GA</t>
        </is>
      </c>
      <c r="G116" s="144" t="inlineStr">
        <is>
          <t>WHITE ISUZU</t>
        </is>
      </c>
      <c r="H116" s="144" t="n">
        <v>7501</v>
      </c>
      <c r="I116" s="144" t="inlineStr">
        <is>
          <t>COMMERCIAL</t>
        </is>
      </c>
    </row>
    <row r="117" ht="18" customHeight="1" s="7">
      <c r="A117" s="144" t="inlineStr">
        <is>
          <t>STEVE BERMES</t>
        </is>
      </c>
      <c r="B117" s="144" t="inlineStr">
        <is>
          <t>*053765680 GA</t>
        </is>
      </c>
      <c r="C117" s="144" t="inlineStr">
        <is>
          <t>FEDEX</t>
        </is>
      </c>
      <c r="D117" s="144" t="n">
        <v>2294499102</v>
      </c>
      <c r="E117" s="144" t="inlineStr">
        <is>
          <t>SEMI BOX</t>
        </is>
      </c>
      <c r="F117" s="144" t="inlineStr">
        <is>
          <t>3154068 IN</t>
        </is>
      </c>
      <c r="G117" s="144" t="inlineStr">
        <is>
          <t>WHITE PETERBILT</t>
        </is>
      </c>
      <c r="H117" s="144" t="inlineStr">
        <is>
          <t>BASEWIDE</t>
        </is>
      </c>
      <c r="I117" s="144" t="inlineStr">
        <is>
          <t>COMMERCIAL</t>
        </is>
      </c>
    </row>
    <row r="118" ht="18" customHeight="1" s="7">
      <c r="A118" s="144" t="inlineStr">
        <is>
          <t>JOHN HAWKINS</t>
        </is>
      </c>
      <c r="B118" s="144" t="inlineStr">
        <is>
          <t>*0503333581 GA</t>
        </is>
      </c>
      <c r="C118" s="144" t="inlineStr">
        <is>
          <t>S&amp;S CONCRETE</t>
        </is>
      </c>
      <c r="D118" s="144" t="n">
        <v>2296032968</v>
      </c>
      <c r="E118" s="144" t="inlineStr">
        <is>
          <t>DUMP</t>
        </is>
      </c>
      <c r="F118" s="144" t="inlineStr">
        <is>
          <t>DNA925 GA</t>
        </is>
      </c>
      <c r="G118" s="144" t="inlineStr">
        <is>
          <t>WHITE INTERNATIONAL</t>
        </is>
      </c>
      <c r="H118" s="144" t="n">
        <v>5400</v>
      </c>
      <c r="I118" s="144" t="inlineStr">
        <is>
          <t>COMMERCIAL</t>
        </is>
      </c>
    </row>
    <row r="119" ht="18" customHeight="1" s="7">
      <c r="A119" s="144" t="inlineStr">
        <is>
          <t>RANDY HENRY</t>
        </is>
      </c>
      <c r="B119" s="144" t="inlineStr">
        <is>
          <t>*049898560 GA</t>
        </is>
      </c>
      <c r="C119" s="144" t="inlineStr">
        <is>
          <t>RHC</t>
        </is>
      </c>
      <c r="D119" s="144" t="n">
        <v>2298693312</v>
      </c>
      <c r="E119" s="144" t="inlineStr">
        <is>
          <t>PU</t>
        </is>
      </c>
      <c r="F119" s="144" t="inlineStr">
        <is>
          <t>RHC 1 GA</t>
        </is>
      </c>
      <c r="G119" s="144" t="inlineStr">
        <is>
          <t>BLACK FORD</t>
        </is>
      </c>
      <c r="H119" s="144" t="n">
        <v>12024</v>
      </c>
      <c r="I119" s="144" t="inlineStr">
        <is>
          <t>COMMERCIAL</t>
        </is>
      </c>
    </row>
    <row r="120" ht="18" customHeight="1" s="7">
      <c r="A120" s="144" t="inlineStr">
        <is>
          <t>JAMIE OWENS</t>
        </is>
      </c>
      <c r="B120" s="144" t="inlineStr">
        <is>
          <t>*042240020 GA</t>
        </is>
      </c>
      <c r="C120" s="144" t="inlineStr">
        <is>
          <t>POOL BROTHERS</t>
        </is>
      </c>
      <c r="D120" s="144" t="n">
        <v>2298545424</v>
      </c>
      <c r="E120" s="144" t="inlineStr">
        <is>
          <t>PU</t>
        </is>
      </c>
      <c r="F120" s="144" t="inlineStr">
        <is>
          <t>CUF 1199 GA</t>
        </is>
      </c>
      <c r="G120" s="144" t="inlineStr">
        <is>
          <t>BLACK TOYOTA</t>
        </is>
      </c>
      <c r="H120" s="144" t="n">
        <v>12024</v>
      </c>
      <c r="I120" s="144" t="inlineStr">
        <is>
          <t xml:space="preserve">CONTRACTOR </t>
        </is>
      </c>
    </row>
    <row r="121" ht="18" customHeight="1" s="7">
      <c r="A121" s="144" t="inlineStr">
        <is>
          <t>JERRY GIBSON</t>
        </is>
      </c>
      <c r="B121" s="144" t="inlineStr">
        <is>
          <t>*054444400 GA</t>
        </is>
      </c>
      <c r="C121" s="144" t="inlineStr">
        <is>
          <t>CSI</t>
        </is>
      </c>
      <c r="D121" s="144" t="n">
        <v>2294461401</v>
      </c>
      <c r="E121" s="144" t="inlineStr">
        <is>
          <t>DUMP</t>
        </is>
      </c>
      <c r="F121" s="144" t="inlineStr">
        <is>
          <t>EYLO65 GA</t>
        </is>
      </c>
      <c r="G121" s="144" t="inlineStr">
        <is>
          <t>WHITE FREIGHTLINER</t>
        </is>
      </c>
      <c r="H121" s="144" t="n">
        <v>1221</v>
      </c>
      <c r="I121" s="144" t="inlineStr">
        <is>
          <t>COMMERCIAL</t>
        </is>
      </c>
    </row>
    <row r="122" ht="18" customHeight="1" s="7">
      <c r="A122" s="144" t="inlineStr">
        <is>
          <t>STEPHEN ANIKA</t>
        </is>
      </c>
      <c r="B122" s="144" t="inlineStr">
        <is>
          <t>*057052820 GA</t>
        </is>
      </c>
      <c r="C122" s="144" t="inlineStr">
        <is>
          <t>SMI FREIGHT</t>
        </is>
      </c>
      <c r="D122" s="144" t="n">
        <v>7728820042</v>
      </c>
      <c r="E122" s="144" t="inlineStr">
        <is>
          <t>BOX</t>
        </is>
      </c>
      <c r="F122" s="144" t="inlineStr">
        <is>
          <t>P1266622 IL</t>
        </is>
      </c>
      <c r="G122" s="144" t="inlineStr">
        <is>
          <t xml:space="preserve">WHITE KW </t>
        </is>
      </c>
      <c r="H122" s="144" t="n">
        <v>1221</v>
      </c>
      <c r="I122" s="144" t="inlineStr">
        <is>
          <t>COMMERCIAL</t>
        </is>
      </c>
    </row>
    <row r="123" ht="18" customHeight="1" s="7">
      <c r="A123" s="144" t="inlineStr">
        <is>
          <t>RICKY MOORE</t>
        </is>
      </c>
      <c r="B123" s="144" t="inlineStr">
        <is>
          <t>*059809338 GA</t>
        </is>
      </c>
      <c r="C123" s="144" t="inlineStr">
        <is>
          <t xml:space="preserve">UNITED RENTALS </t>
        </is>
      </c>
      <c r="D123" s="144" t="n">
        <v>2293442748</v>
      </c>
      <c r="E123" s="144" t="inlineStr">
        <is>
          <t>PU</t>
        </is>
      </c>
      <c r="F123" s="144" t="inlineStr">
        <is>
          <t>GBL897 GA</t>
        </is>
      </c>
      <c r="G123" s="144" t="inlineStr">
        <is>
          <t>WHITE FORD</t>
        </is>
      </c>
      <c r="H123" s="144" t="inlineStr">
        <is>
          <t>FITNESS</t>
        </is>
      </c>
      <c r="I123" s="144" t="inlineStr">
        <is>
          <t xml:space="preserve">CONTRACTOR </t>
        </is>
      </c>
    </row>
    <row r="124" ht="18" customHeight="1" s="7">
      <c r="A124" s="144" t="inlineStr">
        <is>
          <t>ANTONIO WHITE</t>
        </is>
      </c>
      <c r="B124" s="144" t="inlineStr">
        <is>
          <t>*054306027 GA</t>
        </is>
      </c>
      <c r="C124" s="144" t="inlineStr">
        <is>
          <t>EXPRESS DISPOSAL</t>
        </is>
      </c>
      <c r="D124" s="144" t="n">
        <v>2293524300</v>
      </c>
      <c r="E124" s="144" t="inlineStr">
        <is>
          <t>FLAT</t>
        </is>
      </c>
      <c r="F124" s="144" t="inlineStr">
        <is>
          <t>EK1031 GA</t>
        </is>
      </c>
      <c r="G124" s="144" t="inlineStr">
        <is>
          <t>WHITE INTERNATIONAL</t>
        </is>
      </c>
      <c r="H124" s="144" t="n">
        <v>2500</v>
      </c>
      <c r="I124" s="144" t="inlineStr">
        <is>
          <t>COMMERCIAL</t>
        </is>
      </c>
    </row>
    <row r="125" ht="18" customHeight="1" s="7">
      <c r="A125" s="144" t="inlineStr">
        <is>
          <t>HERNANDO WATERS</t>
        </is>
      </c>
      <c r="B125" s="144" t="inlineStr">
        <is>
          <t>*053138493 GA</t>
        </is>
      </c>
      <c r="C125" s="144" t="inlineStr">
        <is>
          <t>ESTES</t>
        </is>
      </c>
      <c r="D125" s="144" t="n">
        <v>2293926875</v>
      </c>
      <c r="E125" s="144" t="inlineStr">
        <is>
          <t>BOX</t>
        </is>
      </c>
      <c r="F125" s="144" t="inlineStr">
        <is>
          <t>358603 IN</t>
        </is>
      </c>
      <c r="G125" s="144" t="inlineStr">
        <is>
          <t>YELLOW KW</t>
        </is>
      </c>
      <c r="H125" s="144" t="n">
        <v>1221</v>
      </c>
      <c r="I125" s="144" t="inlineStr">
        <is>
          <t>COMMERCIAL</t>
        </is>
      </c>
    </row>
    <row r="126" ht="18" customHeight="1" s="7">
      <c r="A126" s="144" t="inlineStr">
        <is>
          <t>CHRISTOPHER RUDD</t>
        </is>
      </c>
      <c r="B126" s="144" t="inlineStr">
        <is>
          <t>*053313810 GA</t>
        </is>
      </c>
      <c r="C126" s="144" t="inlineStr">
        <is>
          <t>BUFFALO ROCK</t>
        </is>
      </c>
      <c r="D126" s="144" t="n">
        <v>2298947060</v>
      </c>
      <c r="E126" s="144" t="inlineStr">
        <is>
          <t>VAN</t>
        </is>
      </c>
      <c r="F126" s="144" t="inlineStr">
        <is>
          <t>886343 GA</t>
        </is>
      </c>
      <c r="G126" s="144" t="inlineStr">
        <is>
          <t>WHITE FORD</t>
        </is>
      </c>
      <c r="H126" s="144" t="n">
        <v>7150</v>
      </c>
      <c r="I126" s="144" t="inlineStr">
        <is>
          <t xml:space="preserve">CONTRACTOR </t>
        </is>
      </c>
    </row>
    <row r="127" ht="18" customHeight="1" s="7">
      <c r="A127" s="144" t="inlineStr">
        <is>
          <t>TERRY GRAVETT</t>
        </is>
      </c>
      <c r="B127" s="144" t="inlineStr">
        <is>
          <t>*051277061 GA</t>
        </is>
      </c>
      <c r="C127" s="144" t="inlineStr">
        <is>
          <t xml:space="preserve">EAGLE </t>
        </is>
      </c>
      <c r="D127" s="144" t="n">
        <v>2298697261</v>
      </c>
      <c r="E127" s="144" t="inlineStr">
        <is>
          <t>GAS</t>
        </is>
      </c>
      <c r="F127" s="144" t="inlineStr">
        <is>
          <t>3468045 IN</t>
        </is>
      </c>
      <c r="G127" s="144" t="inlineStr">
        <is>
          <t>WHITE MACK</t>
        </is>
      </c>
      <c r="H127" s="144" t="n">
        <v>5400</v>
      </c>
      <c r="I127" s="144" t="inlineStr">
        <is>
          <t>COMMERCIAL</t>
        </is>
      </c>
    </row>
    <row r="128" ht="18" customHeight="1" s="7">
      <c r="A128" s="144" t="inlineStr">
        <is>
          <t>GLEN LOCKHART</t>
        </is>
      </c>
      <c r="B128" s="144" t="inlineStr">
        <is>
          <t>*053043039 GA</t>
        </is>
      </c>
      <c r="C128" s="144" t="inlineStr">
        <is>
          <t>SPARTAN NASH</t>
        </is>
      </c>
      <c r="D128" s="144" t="n">
        <v>4703166678</v>
      </c>
      <c r="E128" s="144" t="inlineStr">
        <is>
          <t>BOX</t>
        </is>
      </c>
      <c r="F128" s="144" t="inlineStr">
        <is>
          <t>2200607 NE</t>
        </is>
      </c>
      <c r="G128" s="144" t="inlineStr">
        <is>
          <t>WHITE IN</t>
        </is>
      </c>
      <c r="H128" s="144" t="n">
        <v>7501</v>
      </c>
      <c r="I128" s="144" t="inlineStr">
        <is>
          <t>COMMERCIAL</t>
        </is>
      </c>
    </row>
    <row r="129" ht="18" customHeight="1" s="7">
      <c r="A129" s="144" t="inlineStr">
        <is>
          <t>CURTIS DYAL</t>
        </is>
      </c>
      <c r="B129" s="144" t="inlineStr">
        <is>
          <t>*055525179 GA</t>
        </is>
      </c>
      <c r="C129" s="144" t="inlineStr">
        <is>
          <t>MJW</t>
        </is>
      </c>
      <c r="D129" s="144" t="n">
        <v>9122137198</v>
      </c>
      <c r="E129" s="144" t="inlineStr">
        <is>
          <t>PU</t>
        </is>
      </c>
      <c r="F129" s="144" t="inlineStr">
        <is>
          <t>PCH248 FL</t>
        </is>
      </c>
      <c r="G129" s="144" t="inlineStr">
        <is>
          <t>WHITE FORD</t>
        </is>
      </c>
      <c r="H129" s="144" t="n">
        <v>2500</v>
      </c>
      <c r="I129" s="144" t="inlineStr">
        <is>
          <t xml:space="preserve">CONTRACTOR </t>
        </is>
      </c>
    </row>
    <row r="130" ht="18" customHeight="1" s="7">
      <c r="A130" s="144" t="inlineStr">
        <is>
          <t>BOBBY WHITE</t>
        </is>
      </c>
      <c r="B130" s="144" t="inlineStr">
        <is>
          <t>*058838342 GA</t>
        </is>
      </c>
      <c r="C130" s="144" t="inlineStr">
        <is>
          <t>CONCRETE ENTERP</t>
        </is>
      </c>
      <c r="D130" s="144" t="n">
        <v>2298881904</v>
      </c>
      <c r="E130" s="144" t="inlineStr">
        <is>
          <t>DUMP</t>
        </is>
      </c>
      <c r="F130" s="144" t="inlineStr">
        <is>
          <t>GA101 GA</t>
        </is>
      </c>
      <c r="G130" s="144" t="inlineStr">
        <is>
          <t>WHITE MACK</t>
        </is>
      </c>
      <c r="H130" s="144" t="inlineStr">
        <is>
          <t>K-9</t>
        </is>
      </c>
      <c r="I130" s="144" t="inlineStr">
        <is>
          <t>COMMERCIAL</t>
        </is>
      </c>
    </row>
    <row r="131" ht="18" customHeight="1" s="7">
      <c r="A131" s="144" t="inlineStr">
        <is>
          <t>HERSI AHMEDYASIN</t>
        </is>
      </c>
      <c r="B131" s="144" t="inlineStr">
        <is>
          <t>Q237186984312 MN</t>
        </is>
      </c>
      <c r="C131" s="144" t="inlineStr">
        <is>
          <t>MINNESOTA LLC</t>
        </is>
      </c>
      <c r="D131" s="144" t="n">
        <v>6122817645</v>
      </c>
      <c r="E131" s="144" t="inlineStr">
        <is>
          <t>BOX</t>
        </is>
      </c>
      <c r="F131" s="144" t="inlineStr">
        <is>
          <t>PA57992 MN</t>
        </is>
      </c>
      <c r="G131" s="144" t="inlineStr">
        <is>
          <t>WHITE FL</t>
        </is>
      </c>
      <c r="H131" s="144" t="n">
        <v>1221</v>
      </c>
      <c r="I131" s="144" t="inlineStr">
        <is>
          <t>COMMERCIAL</t>
        </is>
      </c>
    </row>
    <row r="132" ht="18" customHeight="1" s="7">
      <c r="A132" s="144" t="inlineStr">
        <is>
          <t>DAVID WALKER</t>
        </is>
      </c>
      <c r="B132" s="144" t="inlineStr">
        <is>
          <t>*054811195 GA</t>
        </is>
      </c>
      <c r="C132" s="144" t="inlineStr">
        <is>
          <t>T FORCE</t>
        </is>
      </c>
      <c r="D132" s="144" t="n">
        <v>2293268126</v>
      </c>
      <c r="E132" s="144" t="inlineStr">
        <is>
          <t>BOX</t>
        </is>
      </c>
      <c r="F132" s="144" t="inlineStr">
        <is>
          <t>3180858 IN</t>
        </is>
      </c>
      <c r="G132" s="144" t="inlineStr">
        <is>
          <t>WHITE FL</t>
        </is>
      </c>
      <c r="H132" s="144" t="n">
        <v>1221</v>
      </c>
      <c r="I132" s="144" t="inlineStr">
        <is>
          <t>COMMERCIAL</t>
        </is>
      </c>
    </row>
    <row r="133" ht="18" customHeight="1" s="7">
      <c r="A133" s="144" t="inlineStr">
        <is>
          <t>RANDY FEATHERS</t>
        </is>
      </c>
      <c r="B133" s="144" t="inlineStr">
        <is>
          <t>*061721605 GA</t>
        </is>
      </c>
      <c r="C133" s="144" t="inlineStr">
        <is>
          <t>GA POWER</t>
        </is>
      </c>
      <c r="D133" s="144" t="n">
        <v>5188886514</v>
      </c>
      <c r="E133" s="144" t="inlineStr">
        <is>
          <t>PU</t>
        </is>
      </c>
      <c r="F133" s="144" t="inlineStr">
        <is>
          <t>XSA262 GA</t>
        </is>
      </c>
      <c r="G133" s="144" t="inlineStr">
        <is>
          <t>WHITE FORD</t>
        </is>
      </c>
      <c r="H133" s="144" t="inlineStr">
        <is>
          <t>K-9</t>
        </is>
      </c>
      <c r="I133" s="144" t="inlineStr">
        <is>
          <t xml:space="preserve">CONTRACTOR </t>
        </is>
      </c>
    </row>
    <row r="134" ht="18" customHeight="1" s="7">
      <c r="A134" s="144" t="inlineStr">
        <is>
          <t>DENNIS THOMPSON</t>
        </is>
      </c>
      <c r="B134" s="144" t="inlineStr">
        <is>
          <t>*004629482 SC</t>
        </is>
      </c>
      <c r="C134" s="144" t="inlineStr">
        <is>
          <t xml:space="preserve"> BRIDGE TRUCKING</t>
        </is>
      </c>
      <c r="D134" s="144" t="n">
        <v>8643956014</v>
      </c>
      <c r="E134" s="144" t="inlineStr">
        <is>
          <t>BOX</t>
        </is>
      </c>
      <c r="F134" s="144" t="inlineStr">
        <is>
          <t>P727649 SC</t>
        </is>
      </c>
      <c r="G134" s="144" t="inlineStr">
        <is>
          <t>GRAY PETER</t>
        </is>
      </c>
      <c r="H134" s="144" t="n">
        <v>1221</v>
      </c>
      <c r="I134" s="144" t="inlineStr">
        <is>
          <t>COMMERCIAL</t>
        </is>
      </c>
    </row>
    <row r="135" ht="18" customHeight="1" s="7">
      <c r="A135" s="144" t="inlineStr">
        <is>
          <t>SIMIC STOJAN</t>
        </is>
      </c>
      <c r="B135" s="144" t="inlineStr">
        <is>
          <t>515745746 KY</t>
        </is>
      </c>
      <c r="C135" s="144" t="inlineStr">
        <is>
          <t>SIMIC LOGISTICS</t>
        </is>
      </c>
      <c r="D135" s="144" t="n">
        <v>2707794024</v>
      </c>
      <c r="E135" s="144" t="inlineStr">
        <is>
          <t>BOX</t>
        </is>
      </c>
      <c r="F135" s="144" t="inlineStr">
        <is>
          <t>A94624 KY</t>
        </is>
      </c>
      <c r="G135" s="144" t="inlineStr">
        <is>
          <t>WHT FREIGHT</t>
        </is>
      </c>
      <c r="H135" s="144" t="n">
        <v>1221</v>
      </c>
      <c r="I135" s="144" t="inlineStr">
        <is>
          <t>COMMERCIAL</t>
        </is>
      </c>
    </row>
    <row r="136" ht="18" customHeight="1" s="7">
      <c r="A136" s="144" t="inlineStr">
        <is>
          <t>BRANDON LEE</t>
        </is>
      </c>
      <c r="B136" s="144" t="inlineStr">
        <is>
          <t>*059093328 GA</t>
        </is>
      </c>
      <c r="C136" s="144" t="inlineStr">
        <is>
          <t>W.T. MILLER</t>
        </is>
      </c>
      <c r="D136" s="144" t="n">
        <v>7063202171</v>
      </c>
      <c r="E136" s="144" t="inlineStr">
        <is>
          <t>DUMP</t>
        </is>
      </c>
      <c r="F136" s="144" t="inlineStr">
        <is>
          <t>P690CG GA</t>
        </is>
      </c>
      <c r="G136" s="144" t="inlineStr">
        <is>
          <t>WHT FREIGHT</t>
        </is>
      </c>
      <c r="H136" s="144" t="n">
        <v>5592</v>
      </c>
      <c r="I136" s="144" t="inlineStr">
        <is>
          <t>COMMERCIAL</t>
        </is>
      </c>
    </row>
    <row r="137" ht="18" customHeight="1" s="7">
      <c r="A137" s="144" t="inlineStr">
        <is>
          <t>DELRICK ANDERSON</t>
        </is>
      </c>
      <c r="B137" s="144" t="inlineStr">
        <is>
          <t>*056268303 GA</t>
        </is>
      </c>
      <c r="C137" s="144" t="inlineStr">
        <is>
          <t>CONCRETE ENTERP</t>
        </is>
      </c>
      <c r="D137" s="144" t="n">
        <v>2298881904</v>
      </c>
      <c r="E137" s="144" t="inlineStr">
        <is>
          <t>MIXER</t>
        </is>
      </c>
      <c r="F137" s="144" t="inlineStr">
        <is>
          <t>GLE2301 GA</t>
        </is>
      </c>
      <c r="G137" s="144" t="inlineStr">
        <is>
          <t>GREEN FREIGHTLINER</t>
        </is>
      </c>
      <c r="H137" s="144" t="inlineStr">
        <is>
          <t>K_9</t>
        </is>
      </c>
      <c r="I137" s="144" t="inlineStr">
        <is>
          <t>COMMERCIAL</t>
        </is>
      </c>
    </row>
    <row r="138" ht="18" customHeight="1" s="7">
      <c r="A138" s="144" t="inlineStr">
        <is>
          <t>FRANK MAYS</t>
        </is>
      </c>
      <c r="B138" s="144" t="inlineStr">
        <is>
          <t>*049093645 GA</t>
        </is>
      </c>
      <c r="C138" s="144" t="inlineStr">
        <is>
          <t>R&amp;L</t>
        </is>
      </c>
      <c r="D138" s="144" t="n">
        <v>2294498864</v>
      </c>
      <c r="E138" s="144" t="inlineStr">
        <is>
          <t>BOX</t>
        </is>
      </c>
      <c r="F138" s="144" t="inlineStr">
        <is>
          <t>3647819 TN</t>
        </is>
      </c>
      <c r="G138" s="144" t="inlineStr">
        <is>
          <t>GREEN INTER</t>
        </is>
      </c>
      <c r="H138" s="144" t="n">
        <v>1221</v>
      </c>
      <c r="I138" s="144" t="inlineStr">
        <is>
          <t>COMMERCIAL</t>
        </is>
      </c>
    </row>
    <row r="139" ht="18" customHeight="1" s="7">
      <c r="A139" s="144" t="inlineStr">
        <is>
          <t>RUSSELL SLAPPEY</t>
        </is>
      </c>
      <c r="B139" s="144" t="inlineStr">
        <is>
          <t>*050919002 GA</t>
        </is>
      </c>
      <c r="C139" s="144" t="inlineStr">
        <is>
          <t>ALSCO</t>
        </is>
      </c>
      <c r="D139" s="144" t="n">
        <v>2296692230</v>
      </c>
      <c r="E139" s="144" t="inlineStr">
        <is>
          <t>VAN</t>
        </is>
      </c>
      <c r="F139" s="144" t="inlineStr">
        <is>
          <t>JS699B4 FL</t>
        </is>
      </c>
      <c r="G139" s="144" t="inlineStr">
        <is>
          <t>WHITE FORD</t>
        </is>
      </c>
      <c r="H139" s="144" t="n">
        <v>7450</v>
      </c>
      <c r="I139" s="144" t="inlineStr">
        <is>
          <t xml:space="preserve">CONTRACTOR </t>
        </is>
      </c>
    </row>
    <row r="140" ht="18" customHeight="1" s="7">
      <c r="A140" s="144" t="inlineStr">
        <is>
          <t>ARTIS MELVIN</t>
        </is>
      </c>
      <c r="B140" s="144" t="inlineStr">
        <is>
          <t>P125166011 MO</t>
        </is>
      </c>
      <c r="C140" s="144" t="inlineStr">
        <is>
          <t>GOZAL INC</t>
        </is>
      </c>
      <c r="D140" s="144" t="n">
        <v>9132497717</v>
      </c>
      <c r="E140" s="144" t="inlineStr">
        <is>
          <t>BOX</t>
        </is>
      </c>
      <c r="F140" s="144" t="inlineStr">
        <is>
          <t>PWS8176 OH</t>
        </is>
      </c>
      <c r="G140" s="144" t="inlineStr">
        <is>
          <t>GRAY VOLVO</t>
        </is>
      </c>
      <c r="H140" s="144" t="n">
        <v>1221</v>
      </c>
      <c r="I140" s="144" t="inlineStr">
        <is>
          <t>COMMERCIAL</t>
        </is>
      </c>
    </row>
    <row r="141" ht="18" customHeight="1" s="7">
      <c r="A141" s="144" t="inlineStr">
        <is>
          <t>DONNIE BURLSON</t>
        </is>
      </c>
      <c r="B141" s="144" t="inlineStr">
        <is>
          <t>*053671480 GA</t>
        </is>
      </c>
      <c r="C141" s="144" t="inlineStr">
        <is>
          <t>ACE TECH</t>
        </is>
      </c>
      <c r="D141" s="144" t="n">
        <v>2292446412</v>
      </c>
      <c r="E141" s="144" t="inlineStr">
        <is>
          <t>PU</t>
        </is>
      </c>
      <c r="F141" s="144" t="inlineStr">
        <is>
          <t>DAT4681 GA</t>
        </is>
      </c>
      <c r="G141" s="144" t="inlineStr">
        <is>
          <t>RED FORD</t>
        </is>
      </c>
      <c r="H141" s="144" t="inlineStr">
        <is>
          <t>BASEWIDE</t>
        </is>
      </c>
      <c r="I141" s="144" t="inlineStr">
        <is>
          <t xml:space="preserve">CONTRACTOR </t>
        </is>
      </c>
    </row>
    <row r="142" ht="18" customHeight="1" s="7">
      <c r="A142" s="144" t="inlineStr">
        <is>
          <t>WHITNEY MAKAVLI</t>
        </is>
      </c>
      <c r="B142" s="144" t="inlineStr">
        <is>
          <t>*055494834 GA</t>
        </is>
      </c>
      <c r="C142" s="144" t="inlineStr">
        <is>
          <t>LANDSTAR</t>
        </is>
      </c>
      <c r="D142" s="144" t="n">
        <v>7068181225</v>
      </c>
      <c r="E142" s="144" t="inlineStr">
        <is>
          <t>BOX</t>
        </is>
      </c>
      <c r="F142" s="144" t="inlineStr">
        <is>
          <t>3673557 IN</t>
        </is>
      </c>
      <c r="G142" s="144" t="inlineStr">
        <is>
          <t>BLACK FREIGHT</t>
        </is>
      </c>
      <c r="H142" s="144" t="n">
        <v>1221</v>
      </c>
      <c r="I142" s="144" t="inlineStr">
        <is>
          <t>COMMERCIAL</t>
        </is>
      </c>
    </row>
    <row r="143" ht="18" customHeight="1" s="7">
      <c r="A143" s="144" t="inlineStr">
        <is>
          <t>RICARDO HUNTER</t>
        </is>
      </c>
      <c r="B143" s="144" t="inlineStr">
        <is>
          <t>*051801751 GA</t>
        </is>
      </c>
      <c r="C143" s="144" t="inlineStr">
        <is>
          <t>IDEALEASE</t>
        </is>
      </c>
      <c r="D143" s="144" t="n">
        <v>4045120306</v>
      </c>
      <c r="E143" s="144" t="inlineStr">
        <is>
          <t>BOX</t>
        </is>
      </c>
      <c r="F143" s="144" t="inlineStr">
        <is>
          <t>XUZ217 GA</t>
        </is>
      </c>
      <c r="G143" s="144" t="inlineStr">
        <is>
          <t>WHITE INTER</t>
        </is>
      </c>
      <c r="H143" s="144" t="n">
        <v>7501</v>
      </c>
      <c r="I143" s="144" t="inlineStr">
        <is>
          <t>COMMERCIAL</t>
        </is>
      </c>
    </row>
    <row r="144" ht="18" customHeight="1" s="7">
      <c r="A144" s="144" t="inlineStr">
        <is>
          <t>RICHARD GIPSON</t>
        </is>
      </c>
      <c r="B144" s="144" t="inlineStr">
        <is>
          <t>*054585705 GA</t>
        </is>
      </c>
      <c r="C144" s="144" t="inlineStr">
        <is>
          <t>GA POWER</t>
        </is>
      </c>
      <c r="D144" s="144" t="n">
        <v>2294492551</v>
      </c>
      <c r="E144" s="144" t="inlineStr">
        <is>
          <t>PU</t>
        </is>
      </c>
      <c r="F144" s="144" t="inlineStr">
        <is>
          <t>XSA260 GA</t>
        </is>
      </c>
      <c r="G144" s="144" t="inlineStr">
        <is>
          <t>WHITE FORD</t>
        </is>
      </c>
      <c r="H144" s="144" t="inlineStr">
        <is>
          <t>SUBSTATION</t>
        </is>
      </c>
      <c r="I144" s="144" t="inlineStr">
        <is>
          <t xml:space="preserve">CONTRACTOR </t>
        </is>
      </c>
    </row>
    <row r="145" ht="18" customHeight="1" s="7">
      <c r="A145" s="144" t="inlineStr">
        <is>
          <t>ADRIAN MITCHELL</t>
        </is>
      </c>
      <c r="B145" s="144" t="inlineStr">
        <is>
          <t>*052657293 GA</t>
        </is>
      </c>
      <c r="C145" s="144" t="inlineStr">
        <is>
          <t>USIC</t>
        </is>
      </c>
      <c r="D145" s="144" t="n">
        <v>2295837505</v>
      </c>
      <c r="E145" s="144" t="inlineStr">
        <is>
          <t>PU</t>
        </is>
      </c>
      <c r="F145" s="144" t="inlineStr">
        <is>
          <t>K150885 TX</t>
        </is>
      </c>
      <c r="G145" s="144" t="inlineStr">
        <is>
          <t>WHITE FORD</t>
        </is>
      </c>
      <c r="H145" s="144" t="inlineStr">
        <is>
          <t>HOUSING</t>
        </is>
      </c>
      <c r="I145" s="144" t="inlineStr">
        <is>
          <t xml:space="preserve">CONTRACTOR </t>
        </is>
      </c>
    </row>
    <row r="146" ht="18" customHeight="1" s="7">
      <c r="A146" s="144" t="inlineStr">
        <is>
          <t>DANIEL OWENS</t>
        </is>
      </c>
      <c r="B146" s="144" t="inlineStr">
        <is>
          <t>*050758547 GA</t>
        </is>
      </c>
      <c r="C146" s="144" t="inlineStr">
        <is>
          <t>SAM SERVICE</t>
        </is>
      </c>
      <c r="D146" s="144" t="n">
        <v>2294063582</v>
      </c>
      <c r="E146" s="144" t="inlineStr">
        <is>
          <t>PU</t>
        </is>
      </c>
      <c r="F146" s="144" t="inlineStr">
        <is>
          <t>TBY2784 GA</t>
        </is>
      </c>
      <c r="G146" s="144" t="inlineStr">
        <is>
          <t>WHT FORD</t>
        </is>
      </c>
      <c r="H146" s="144" t="inlineStr">
        <is>
          <t>BASEWIDE</t>
        </is>
      </c>
      <c r="I146" s="144" t="inlineStr">
        <is>
          <t xml:space="preserve">CONTRACTOR </t>
        </is>
      </c>
    </row>
    <row r="147" ht="18" customHeight="1" s="7">
      <c r="A147" s="144" t="inlineStr">
        <is>
          <t>ROBERT HIGGINS</t>
        </is>
      </c>
      <c r="B147" s="144" t="inlineStr">
        <is>
          <t>*056594131 GA</t>
        </is>
      </c>
      <c r="C147" s="144" t="inlineStr">
        <is>
          <t xml:space="preserve"> IMPERIAL DADE</t>
        </is>
      </c>
      <c r="D147" s="144" t="n">
        <v>7065874029</v>
      </c>
      <c r="E147" s="144" t="inlineStr">
        <is>
          <t>BOX</t>
        </is>
      </c>
      <c r="F147" s="144" t="inlineStr">
        <is>
          <t>GIK678 GA</t>
        </is>
      </c>
      <c r="G147" s="144" t="inlineStr">
        <is>
          <t>WHITE HINO</t>
        </is>
      </c>
      <c r="H147" s="144" t="inlineStr">
        <is>
          <t>POWERWORKS</t>
        </is>
      </c>
      <c r="I147" s="144" t="inlineStr">
        <is>
          <t>COMMERCIAL</t>
        </is>
      </c>
    </row>
    <row r="148" ht="18" customHeight="1" s="7">
      <c r="A148" s="144" t="inlineStr">
        <is>
          <t>LOGAN ROGERS</t>
        </is>
      </c>
      <c r="B148" s="144" t="inlineStr">
        <is>
          <t>*057523058 GA</t>
        </is>
      </c>
      <c r="C148" s="144" t="inlineStr">
        <is>
          <t>A WEST</t>
        </is>
      </c>
      <c r="D148" s="144" t="n">
        <v>2298888347</v>
      </c>
      <c r="E148" s="144" t="inlineStr">
        <is>
          <t>PU</t>
        </is>
      </c>
      <c r="F148" s="144" t="inlineStr">
        <is>
          <t>CLX4860 GA</t>
        </is>
      </c>
      <c r="G148" s="144" t="inlineStr">
        <is>
          <t>WHITE CHEVY</t>
        </is>
      </c>
      <c r="H148" s="144" t="inlineStr">
        <is>
          <t>BASEWIDE</t>
        </is>
      </c>
      <c r="I148" s="144" t="inlineStr">
        <is>
          <t xml:space="preserve">CONTRACTOR </t>
        </is>
      </c>
    </row>
    <row r="149" ht="18" customHeight="1" s="7">
      <c r="A149" s="144" t="inlineStr">
        <is>
          <t>DIANA SANDOVAL</t>
        </is>
      </c>
      <c r="B149" s="144" t="inlineStr">
        <is>
          <t>*057647199 GA</t>
        </is>
      </c>
      <c r="C149" s="144" t="inlineStr">
        <is>
          <t>METRO POWER</t>
        </is>
      </c>
      <c r="D149" s="144" t="n">
        <v>4049311307</v>
      </c>
      <c r="E149" s="144" t="inlineStr">
        <is>
          <t>PU</t>
        </is>
      </c>
      <c r="F149" s="144" t="inlineStr">
        <is>
          <t>RYX6271 GA</t>
        </is>
      </c>
      <c r="G149" s="144" t="inlineStr">
        <is>
          <t>WHT FORD</t>
        </is>
      </c>
      <c r="H149" s="144" t="inlineStr">
        <is>
          <t>BASEWIDE</t>
        </is>
      </c>
      <c r="I149" s="144" t="inlineStr">
        <is>
          <t xml:space="preserve">CONTRACTOR </t>
        </is>
      </c>
    </row>
    <row r="150" ht="18" customHeight="1" s="7">
      <c r="A150" s="144" t="inlineStr">
        <is>
          <t>JOHN BURNS</t>
        </is>
      </c>
      <c r="B150" s="144" t="inlineStr">
        <is>
          <t>*049413987 GA</t>
        </is>
      </c>
      <c r="C150" s="144" t="inlineStr">
        <is>
          <t>BURNS PAINTING</t>
        </is>
      </c>
      <c r="D150" s="144" t="n">
        <v>2293470920</v>
      </c>
      <c r="E150" s="144" t="inlineStr">
        <is>
          <t>VAN</t>
        </is>
      </c>
      <c r="F150" s="144" t="inlineStr">
        <is>
          <t>TEQ0264 GA</t>
        </is>
      </c>
      <c r="G150" s="144" t="inlineStr">
        <is>
          <t>WHT FORD</t>
        </is>
      </c>
      <c r="H150" s="144" t="inlineStr">
        <is>
          <t>HOUSING</t>
        </is>
      </c>
      <c r="I150" s="144" t="inlineStr">
        <is>
          <t xml:space="preserve">CONTRACTOR </t>
        </is>
      </c>
    </row>
    <row r="151" ht="18" customHeight="1" s="7">
      <c r="A151" s="144" t="inlineStr">
        <is>
          <t>KENNETH HESTER</t>
        </is>
      </c>
      <c r="B151" s="144" t="inlineStr">
        <is>
          <t>*054157768 GA</t>
        </is>
      </c>
      <c r="C151" s="144" t="inlineStr">
        <is>
          <t>WASTE MANAGEMENT</t>
        </is>
      </c>
      <c r="D151" s="144" t="n">
        <v>2294320760</v>
      </c>
      <c r="E151" s="144" t="inlineStr">
        <is>
          <t>DUMP</t>
        </is>
      </c>
      <c r="F151" s="144" t="inlineStr">
        <is>
          <t>EDB501 GA</t>
        </is>
      </c>
      <c r="G151" s="144" t="inlineStr">
        <is>
          <t>WHT MACK</t>
        </is>
      </c>
      <c r="H151" s="144" t="n">
        <v>3700</v>
      </c>
      <c r="I151" s="144" t="inlineStr">
        <is>
          <t>COMMERCIAL</t>
        </is>
      </c>
    </row>
    <row r="152" ht="18" customHeight="1" s="7">
      <c r="A152" s="144" t="inlineStr">
        <is>
          <t>RAYMOND WILLS</t>
        </is>
      </c>
      <c r="B152" s="144" t="inlineStr">
        <is>
          <t>*051492986 GA</t>
        </is>
      </c>
      <c r="C152" s="144" t="inlineStr">
        <is>
          <t>FEDEX</t>
        </is>
      </c>
      <c r="D152" s="144" t="n">
        <v>2298944701</v>
      </c>
      <c r="E152" s="144" t="inlineStr">
        <is>
          <t>BOX</t>
        </is>
      </c>
      <c r="F152" s="144" t="inlineStr">
        <is>
          <t>C131EY GA</t>
        </is>
      </c>
      <c r="G152" s="144" t="inlineStr">
        <is>
          <t>WHT FREIGHT</t>
        </is>
      </c>
      <c r="H152" s="144" t="n">
        <v>1221</v>
      </c>
      <c r="I152" s="144" t="inlineStr">
        <is>
          <t>COMMERCIAL</t>
        </is>
      </c>
    </row>
    <row r="153" ht="18" customHeight="1" s="7">
      <c r="A153" s="144" t="inlineStr">
        <is>
          <t>MICHAEL MCNEAL</t>
        </is>
      </c>
      <c r="B153" s="144" t="inlineStr">
        <is>
          <t>*053145327 GA</t>
        </is>
      </c>
      <c r="C153" s="144" t="inlineStr">
        <is>
          <t>ESTES</t>
        </is>
      </c>
      <c r="D153" s="144" t="n">
        <v>2298941826</v>
      </c>
      <c r="E153" s="144" t="inlineStr">
        <is>
          <t>BOX</t>
        </is>
      </c>
      <c r="F153" s="144" t="inlineStr">
        <is>
          <t xml:space="preserve">3587010 IN </t>
        </is>
      </c>
      <c r="G153" s="144" t="inlineStr">
        <is>
          <t>YELLOW FREIGHTLINER</t>
        </is>
      </c>
      <c r="H153" s="144" t="n">
        <v>1221</v>
      </c>
      <c r="I153" s="144" t="inlineStr">
        <is>
          <t>COMMERCIAL</t>
        </is>
      </c>
    </row>
    <row r="154" ht="18" customHeight="1" s="7">
      <c r="A154" s="144" t="inlineStr">
        <is>
          <t>CECIL BASARAB</t>
        </is>
      </c>
      <c r="B154" s="144" t="inlineStr">
        <is>
          <t>B261110920310 FL</t>
        </is>
      </c>
      <c r="C154" s="144" t="inlineStr">
        <is>
          <t>MCLANE</t>
        </is>
      </c>
      <c r="D154" s="144" t="n">
        <v>8505074991</v>
      </c>
      <c r="E154" s="144" t="inlineStr">
        <is>
          <t>BOX</t>
        </is>
      </c>
      <c r="F154" s="144" t="inlineStr">
        <is>
          <t>P956246 IL</t>
        </is>
      </c>
      <c r="G154" s="144" t="inlineStr">
        <is>
          <t>WHITE VOLVO</t>
        </is>
      </c>
      <c r="H154" s="144" t="n">
        <v>7501</v>
      </c>
      <c r="I154" s="144" t="inlineStr">
        <is>
          <t>COMMERCIAL</t>
        </is>
      </c>
    </row>
    <row r="155" ht="18" customHeight="1" s="7">
      <c r="A155" s="144" t="inlineStr">
        <is>
          <t xml:space="preserve">ERIC PHILLIPS </t>
        </is>
      </c>
      <c r="B155" s="144" t="inlineStr">
        <is>
          <t>P214897992000 FL</t>
        </is>
      </c>
      <c r="C155" s="144" t="inlineStr">
        <is>
          <t>MAX LYON</t>
        </is>
      </c>
      <c r="D155" s="144" t="n">
        <v>8503765330</v>
      </c>
      <c r="E155" s="144" t="inlineStr">
        <is>
          <t>PU</t>
        </is>
      </c>
      <c r="F155" s="144" t="inlineStr">
        <is>
          <t>68ANMF FL</t>
        </is>
      </c>
      <c r="G155" s="144" t="inlineStr">
        <is>
          <t>WHITE DODGE</t>
        </is>
      </c>
      <c r="H155" s="144" t="inlineStr">
        <is>
          <t>K9</t>
        </is>
      </c>
      <c r="I155" s="144" t="inlineStr">
        <is>
          <t xml:space="preserve">CONTRACTOR </t>
        </is>
      </c>
    </row>
    <row r="156" ht="18" customHeight="1" s="7">
      <c r="A156" s="144" t="inlineStr">
        <is>
          <t>QUANTERRIOUS GARDNER</t>
        </is>
      </c>
      <c r="B156" s="144" t="inlineStr">
        <is>
          <t>*052318644 GA</t>
        </is>
      </c>
      <c r="C156" s="144" t="inlineStr">
        <is>
          <t>FRITO LAY</t>
        </is>
      </c>
      <c r="D156" s="144" t="n">
        <v>2293798020</v>
      </c>
      <c r="E156" s="144" t="inlineStr">
        <is>
          <t>VAN</t>
        </is>
      </c>
      <c r="F156" s="144" t="inlineStr">
        <is>
          <t>YEE313 GA</t>
        </is>
      </c>
      <c r="G156" s="144" t="inlineStr">
        <is>
          <t>WHITE FL</t>
        </is>
      </c>
      <c r="H156" s="144" t="n">
        <v>7500</v>
      </c>
      <c r="I156" s="144" t="inlineStr">
        <is>
          <t xml:space="preserve">CONTRACTOR </t>
        </is>
      </c>
    </row>
    <row r="157" ht="18" customHeight="1" s="7">
      <c r="A157" s="144" t="inlineStr">
        <is>
          <t>ROBERT  BUTLER (UR)</t>
        </is>
      </c>
      <c r="B157" s="144" t="inlineStr">
        <is>
          <t>*055672535 GA</t>
        </is>
      </c>
      <c r="C157" s="144" t="inlineStr">
        <is>
          <t xml:space="preserve">UNITED RENTALS </t>
        </is>
      </c>
      <c r="D157" s="144" t="n">
        <v>2298090949</v>
      </c>
      <c r="E157" s="144" t="inlineStr">
        <is>
          <t>FLAT</t>
        </is>
      </c>
      <c r="F157" s="144" t="inlineStr">
        <is>
          <t>3730769 IN</t>
        </is>
      </c>
      <c r="G157" s="144" t="inlineStr">
        <is>
          <t>WHITE FL</t>
        </is>
      </c>
      <c r="H157" s="144" t="n">
        <v>1330</v>
      </c>
      <c r="I157" s="144" t="inlineStr">
        <is>
          <t>COMMERCIAL</t>
        </is>
      </c>
    </row>
    <row r="158" ht="18" customHeight="1" s="7">
      <c r="A158" s="144" t="inlineStr">
        <is>
          <t>WILLIAM COPELAND</t>
        </is>
      </c>
      <c r="B158" s="144" t="inlineStr">
        <is>
          <t>*055172180 GA</t>
        </is>
      </c>
      <c r="C158" s="144" t="inlineStr">
        <is>
          <t>CONCRETE ENTERP</t>
        </is>
      </c>
      <c r="D158" s="144" t="n">
        <v>2298811904</v>
      </c>
      <c r="E158" s="144" t="inlineStr">
        <is>
          <t>CONCRETE</t>
        </is>
      </c>
      <c r="F158" s="144" t="inlineStr">
        <is>
          <t>GK1878 GA</t>
        </is>
      </c>
      <c r="G158" s="144" t="inlineStr">
        <is>
          <t>GREEN WESTERN</t>
        </is>
      </c>
      <c r="H158" s="144" t="inlineStr">
        <is>
          <t>KENNELS</t>
        </is>
      </c>
      <c r="I158" s="144" t="inlineStr">
        <is>
          <t>COMMERCIAL</t>
        </is>
      </c>
    </row>
    <row r="159" ht="18" customHeight="1" s="7">
      <c r="A159" s="144" t="inlineStr">
        <is>
          <t xml:space="preserve">BRAD STAFFORD </t>
        </is>
      </c>
      <c r="B159" s="144" t="inlineStr">
        <is>
          <t>S316076621440 FL</t>
        </is>
      </c>
      <c r="C159" s="144" t="inlineStr">
        <is>
          <t>BLUE BELL</t>
        </is>
      </c>
      <c r="D159" s="144" t="n">
        <v>8505106018</v>
      </c>
      <c r="E159" s="144" t="inlineStr">
        <is>
          <t>BOX</t>
        </is>
      </c>
      <c r="F159" s="144" t="inlineStr">
        <is>
          <t>K078831 TX</t>
        </is>
      </c>
      <c r="G159" s="144" t="inlineStr">
        <is>
          <t>WHITE FL</t>
        </is>
      </c>
      <c r="H159" s="144" t="n">
        <v>7501</v>
      </c>
      <c r="I159" s="144" t="inlineStr">
        <is>
          <t>COMMERCIAL</t>
        </is>
      </c>
    </row>
    <row r="160" ht="18" customHeight="1" s="7">
      <c r="A160" s="144" t="inlineStr">
        <is>
          <t>KELVONTE JONES</t>
        </is>
      </c>
      <c r="B160" s="144" t="inlineStr">
        <is>
          <t>*053008698 GA</t>
        </is>
      </c>
      <c r="C160" s="144" t="inlineStr">
        <is>
          <t>SPARTAN NASH</t>
        </is>
      </c>
      <c r="D160" s="144" t="n">
        <v>7063290642</v>
      </c>
      <c r="E160" s="144" t="inlineStr">
        <is>
          <t>BOX</t>
        </is>
      </c>
      <c r="F160" s="144" t="inlineStr">
        <is>
          <t>420445 NE</t>
        </is>
      </c>
      <c r="G160" s="144" t="inlineStr">
        <is>
          <t>WHITE FL</t>
        </is>
      </c>
      <c r="H160" s="144" t="n">
        <v>7501</v>
      </c>
      <c r="I160" s="144" t="inlineStr">
        <is>
          <t>COMMERCIAL</t>
        </is>
      </c>
    </row>
    <row r="161" ht="18" customHeight="1" s="7">
      <c r="A161" s="144" t="inlineStr">
        <is>
          <t xml:space="preserve">PAUL JOSEPH </t>
        </is>
      </c>
      <c r="B161" s="144" t="inlineStr">
        <is>
          <t>P400483711650 FL</t>
        </is>
      </c>
      <c r="C161" s="144" t="inlineStr">
        <is>
          <t>PLAY GROW</t>
        </is>
      </c>
      <c r="D161" s="144" t="n">
        <v>3867952989</v>
      </c>
      <c r="E161" s="144" t="inlineStr">
        <is>
          <t>PU</t>
        </is>
      </c>
      <c r="F161" s="144" t="inlineStr">
        <is>
          <t>JN05L FL</t>
        </is>
      </c>
      <c r="G161" s="144" t="inlineStr">
        <is>
          <t>WHITE FL</t>
        </is>
      </c>
      <c r="H161" s="144" t="inlineStr">
        <is>
          <t>HOUSING</t>
        </is>
      </c>
      <c r="I161" s="144" t="inlineStr">
        <is>
          <t xml:space="preserve">CONTRACTOR </t>
        </is>
      </c>
    </row>
    <row r="162" ht="18" customHeight="1" s="7">
      <c r="A162" s="144" t="inlineStr">
        <is>
          <t>EDWARD LOGUE</t>
        </is>
      </c>
      <c r="B162" s="144" t="inlineStr">
        <is>
          <t>*055617551 GA</t>
        </is>
      </c>
      <c r="C162" s="144" t="inlineStr">
        <is>
          <t>LOGUE</t>
        </is>
      </c>
      <c r="D162" s="144" t="n">
        <v>2294166955</v>
      </c>
      <c r="E162" s="144" t="inlineStr">
        <is>
          <t>BOX</t>
        </is>
      </c>
      <c r="F162" s="144" t="inlineStr">
        <is>
          <t>C777CC GA</t>
        </is>
      </c>
      <c r="G162" s="144" t="inlineStr">
        <is>
          <t>GREY VOLVO</t>
        </is>
      </c>
      <c r="H162" s="144" t="inlineStr">
        <is>
          <t>HOUSING</t>
        </is>
      </c>
      <c r="I162" s="144" t="inlineStr">
        <is>
          <t>COMMERCIAL</t>
        </is>
      </c>
    </row>
    <row r="163" ht="18" customHeight="1" s="7">
      <c r="A163" s="144" t="inlineStr">
        <is>
          <t>CODEY BROWN</t>
        </is>
      </c>
      <c r="B163" s="144" t="inlineStr">
        <is>
          <t>*054675171 GA</t>
        </is>
      </c>
      <c r="C163" s="144" t="inlineStr">
        <is>
          <t>MCNAUGHTON MCK</t>
        </is>
      </c>
      <c r="D163" s="144" t="n">
        <v>7067412406</v>
      </c>
      <c r="E163" s="144" t="inlineStr">
        <is>
          <t>VAN</t>
        </is>
      </c>
      <c r="F163" s="144" t="inlineStr">
        <is>
          <t>SFD6865 GA</t>
        </is>
      </c>
      <c r="G163" s="144" t="inlineStr">
        <is>
          <t>WHITE FORD</t>
        </is>
      </c>
      <c r="H163" s="144" t="n">
        <v>1330</v>
      </c>
      <c r="I163" s="144" t="inlineStr">
        <is>
          <t xml:space="preserve">CONTRACTOR </t>
        </is>
      </c>
    </row>
    <row r="164" ht="18" customHeight="1" s="7">
      <c r="A164" s="144" t="inlineStr">
        <is>
          <t>ANDERSON DAVID</t>
        </is>
      </c>
      <c r="B164" s="144" t="inlineStr">
        <is>
          <t>A536170672110 FL</t>
        </is>
      </c>
      <c r="C164" s="144" t="inlineStr">
        <is>
          <t>ENGINEER COOLIN</t>
        </is>
      </c>
      <c r="D164" s="144" t="n">
        <v>8508790123</v>
      </c>
      <c r="E164" s="144" t="inlineStr">
        <is>
          <t>VAN</t>
        </is>
      </c>
      <c r="F164" s="144" t="inlineStr">
        <is>
          <t>46BZQK FL</t>
        </is>
      </c>
      <c r="G164" s="144" t="inlineStr">
        <is>
          <t>WHITE FORD</t>
        </is>
      </c>
      <c r="H164" s="144" t="n">
        <v>3600</v>
      </c>
      <c r="I164" s="144" t="inlineStr">
        <is>
          <t xml:space="preserve">CONTRACTOR </t>
        </is>
      </c>
    </row>
    <row r="165" ht="18" customHeight="1" s="7">
      <c r="A165" s="144" t="inlineStr">
        <is>
          <t>ADDISON BENJAMIN</t>
        </is>
      </c>
      <c r="B165" s="144" t="inlineStr">
        <is>
          <t>A30167645000 FL</t>
        </is>
      </c>
      <c r="C165" s="144" t="inlineStr">
        <is>
          <t>FIRST COAST</t>
        </is>
      </c>
      <c r="D165" s="144" t="n">
        <v>8447312137</v>
      </c>
      <c r="E165" s="144" t="inlineStr">
        <is>
          <t>BOX</t>
        </is>
      </c>
      <c r="F165" s="144" t="inlineStr">
        <is>
          <t>3171554 IN</t>
        </is>
      </c>
      <c r="G165" s="144" t="inlineStr">
        <is>
          <t>WHITE IN</t>
        </is>
      </c>
      <c r="H165" s="144" t="n">
        <v>1221</v>
      </c>
      <c r="I165" s="144" t="inlineStr">
        <is>
          <t>COMMERCIAL</t>
        </is>
      </c>
    </row>
    <row r="166" ht="18" customHeight="1" s="7">
      <c r="A166" s="144" t="inlineStr">
        <is>
          <t>BRANDON MCQUINN</t>
        </is>
      </c>
      <c r="B166" s="144" t="inlineStr">
        <is>
          <t>*059093318 GA</t>
        </is>
      </c>
      <c r="C166" s="144" t="inlineStr">
        <is>
          <t>WT MILLER</t>
        </is>
      </c>
      <c r="D166" s="144" t="n">
        <v>7063202171</v>
      </c>
      <c r="E166" s="144" t="inlineStr">
        <is>
          <t>PU</t>
        </is>
      </c>
      <c r="F166" s="144" t="inlineStr">
        <is>
          <t>GFM846 GA</t>
        </is>
      </c>
      <c r="G166" s="144" t="inlineStr">
        <is>
          <t>WHITE GMC</t>
        </is>
      </c>
      <c r="H166" s="144" t="n">
        <v>5592</v>
      </c>
      <c r="I166" s="144" t="inlineStr">
        <is>
          <t xml:space="preserve">CONTRACTOR </t>
        </is>
      </c>
    </row>
    <row r="167" ht="18" customHeight="1" s="7">
      <c r="A167" s="144" t="inlineStr">
        <is>
          <t>FLESHMAN NOAH</t>
        </is>
      </c>
      <c r="B167" s="144" t="inlineStr">
        <is>
          <t>32003790 PA</t>
        </is>
      </c>
      <c r="C167" s="144" t="inlineStr">
        <is>
          <t>WRIGHT</t>
        </is>
      </c>
      <c r="D167" s="144" t="n">
        <v>7178250752</v>
      </c>
      <c r="E167" s="144" t="inlineStr">
        <is>
          <t>BOX</t>
        </is>
      </c>
      <c r="F167" s="144" t="inlineStr">
        <is>
          <t>AH54099 PA</t>
        </is>
      </c>
      <c r="G167" s="144" t="inlineStr">
        <is>
          <t>GREY VOLVO</t>
        </is>
      </c>
      <c r="H167" s="144" t="n">
        <v>1221</v>
      </c>
      <c r="I167" s="144" t="inlineStr">
        <is>
          <t>COMMERCIAL</t>
        </is>
      </c>
    </row>
    <row r="168" ht="18" customHeight="1" s="7">
      <c r="A168" s="144" t="inlineStr">
        <is>
          <t>TYRONE PITTS</t>
        </is>
      </c>
      <c r="B168" s="144" t="inlineStr">
        <is>
          <t>P320800774 FL</t>
        </is>
      </c>
      <c r="C168" s="144" t="inlineStr">
        <is>
          <t>KLB</t>
        </is>
      </c>
      <c r="D168" s="144" t="n">
        <v>8509803664</v>
      </c>
      <c r="E168" s="144" t="inlineStr">
        <is>
          <t>BOX</t>
        </is>
      </c>
      <c r="F168" s="144" t="inlineStr">
        <is>
          <t>XE820Y FL</t>
        </is>
      </c>
      <c r="G168" s="144" t="inlineStr">
        <is>
          <t>TAN PETERBILT</t>
        </is>
      </c>
      <c r="H168" s="144" t="n">
        <v>7500</v>
      </c>
      <c r="I168" s="144" t="inlineStr">
        <is>
          <t>COMMERCIAL</t>
        </is>
      </c>
    </row>
    <row r="169" ht="18" customHeight="1" s="7">
      <c r="A169" s="144" t="inlineStr">
        <is>
          <t>CAMERON CATRETT</t>
        </is>
      </c>
      <c r="B169" s="144" t="inlineStr">
        <is>
          <t>*050943826 GA</t>
        </is>
      </c>
      <c r="C169" s="144" t="inlineStr">
        <is>
          <t>ROTO ROOTER</t>
        </is>
      </c>
      <c r="D169" s="144" t="n">
        <v>2296940192</v>
      </c>
      <c r="E169" s="144" t="inlineStr">
        <is>
          <t>VAN</t>
        </is>
      </c>
      <c r="F169" s="144" t="inlineStr">
        <is>
          <t>SHC2647 GA</t>
        </is>
      </c>
      <c r="G169" s="144" t="inlineStr">
        <is>
          <t>WHITE CHEVY</t>
        </is>
      </c>
      <c r="H169" s="144" t="n">
        <v>1221</v>
      </c>
      <c r="I169" s="144" t="inlineStr">
        <is>
          <t xml:space="preserve">CONTRACTOR </t>
        </is>
      </c>
    </row>
    <row r="170" ht="18" customHeight="1" s="7">
      <c r="A170" s="144" t="inlineStr">
        <is>
          <t>DAVIS BENTON</t>
        </is>
      </c>
      <c r="B170" s="144" t="inlineStr">
        <is>
          <t>D120072740280 FL</t>
        </is>
      </c>
      <c r="C170" s="144" t="inlineStr">
        <is>
          <t>ENTER SOURCE</t>
        </is>
      </c>
      <c r="D170" s="144" t="n">
        <v>8506721332</v>
      </c>
      <c r="E170" s="144" t="inlineStr">
        <is>
          <t>PU</t>
        </is>
      </c>
      <c r="F170" s="144" t="inlineStr">
        <is>
          <t>72801CP TN</t>
        </is>
      </c>
      <c r="G170" s="144" t="inlineStr">
        <is>
          <t>WHITE CHEVY</t>
        </is>
      </c>
      <c r="H170" s="144" t="n">
        <v>7000</v>
      </c>
      <c r="I170" s="144" t="inlineStr">
        <is>
          <t xml:space="preserve">CONTRACTOR </t>
        </is>
      </c>
    </row>
    <row r="171" ht="18" customHeight="1" s="7">
      <c r="A171" s="144" t="inlineStr">
        <is>
          <t>EDDIE MCENTYRE</t>
        </is>
      </c>
      <c r="B171" s="144" t="inlineStr">
        <is>
          <t>*055723742 GA</t>
        </is>
      </c>
      <c r="C171" s="144" t="inlineStr">
        <is>
          <t>SOUTHEASTERN FREIGHT</t>
        </is>
      </c>
      <c r="D171" s="144" t="n">
        <v>2294360588</v>
      </c>
      <c r="E171" s="144" t="inlineStr">
        <is>
          <t>BOX</t>
        </is>
      </c>
      <c r="F171" s="144" t="inlineStr">
        <is>
          <t>P2077HY TN</t>
        </is>
      </c>
      <c r="G171" s="144" t="inlineStr">
        <is>
          <t>RED INTERNATIONAL</t>
        </is>
      </c>
      <c r="H171" s="144" t="n">
        <v>1260</v>
      </c>
      <c r="I171" s="144" t="inlineStr">
        <is>
          <t>COMMERCIAL</t>
        </is>
      </c>
    </row>
    <row r="172" ht="18" customHeight="1" s="7">
      <c r="A172" s="144" t="inlineStr">
        <is>
          <t>ADAM LEE</t>
        </is>
      </c>
      <c r="B172" s="144" t="inlineStr">
        <is>
          <t>*6844162 AL</t>
        </is>
      </c>
      <c r="C172" s="144" t="inlineStr">
        <is>
          <t>A + K LOGISTICS</t>
        </is>
      </c>
      <c r="D172" s="144" t="n">
        <v>2054201833</v>
      </c>
      <c r="E172" s="144" t="inlineStr">
        <is>
          <t>PU</t>
        </is>
      </c>
      <c r="F172" s="144" t="inlineStr">
        <is>
          <t>117855 AL</t>
        </is>
      </c>
      <c r="G172" s="144" t="inlineStr">
        <is>
          <t>GREY DODGE</t>
        </is>
      </c>
      <c r="H172" s="144" t="n">
        <v>1221</v>
      </c>
      <c r="I172" s="144" t="inlineStr">
        <is>
          <t xml:space="preserve">CONTRACTOR </t>
        </is>
      </c>
    </row>
    <row r="173" ht="18" customHeight="1" s="7">
      <c r="A173" s="144" t="inlineStr">
        <is>
          <t>WINTON POTTS</t>
        </is>
      </c>
      <c r="B173" s="144" t="inlineStr">
        <is>
          <t>*051487210 GA</t>
        </is>
      </c>
      <c r="C173" s="144" t="inlineStr">
        <is>
          <t>ESTES</t>
        </is>
      </c>
      <c r="D173" s="144" t="n">
        <v>2293475449</v>
      </c>
      <c r="E173" s="144" t="inlineStr">
        <is>
          <t>BOX</t>
        </is>
      </c>
      <c r="F173" s="144" t="inlineStr">
        <is>
          <t>3687024 IN</t>
        </is>
      </c>
      <c r="G173" s="144" t="inlineStr">
        <is>
          <t>YELLOW FREIGHTLINER</t>
        </is>
      </c>
      <c r="H173" s="144" t="n">
        <v>1221</v>
      </c>
      <c r="I173" s="144" t="inlineStr">
        <is>
          <t>COMMERCIAL</t>
        </is>
      </c>
    </row>
    <row r="174" ht="18" customHeight="1" s="7">
      <c r="A174" s="144" t="inlineStr">
        <is>
          <t>KYLE BURDETTE</t>
        </is>
      </c>
      <c r="B174" s="144" t="inlineStr">
        <is>
          <t>*050854407 GA</t>
        </is>
      </c>
      <c r="C174" s="144" t="inlineStr">
        <is>
          <t>FED EX</t>
        </is>
      </c>
      <c r="D174" s="144" t="n">
        <v>2298861200</v>
      </c>
      <c r="E174" s="144" t="inlineStr">
        <is>
          <t>BOX</t>
        </is>
      </c>
      <c r="F174" s="144" t="inlineStr">
        <is>
          <t>2466715 IN</t>
        </is>
      </c>
      <c r="G174" s="144" t="inlineStr">
        <is>
          <t>WHITE KW</t>
        </is>
      </c>
      <c r="H174" s="144" t="n">
        <v>1221</v>
      </c>
      <c r="I174" s="144" t="inlineStr">
        <is>
          <t>COMMERCIAL</t>
        </is>
      </c>
    </row>
    <row r="175" ht="18" customHeight="1" s="7">
      <c r="A175" s="144" t="inlineStr">
        <is>
          <t>WINTON POTTS</t>
        </is>
      </c>
      <c r="B175" s="144" t="inlineStr">
        <is>
          <t>*051487210 GA</t>
        </is>
      </c>
      <c r="C175" s="144" t="inlineStr">
        <is>
          <t>RHC</t>
        </is>
      </c>
      <c r="D175" s="144" t="n">
        <v>2294353500</v>
      </c>
      <c r="E175" s="144" t="inlineStr">
        <is>
          <t>PU</t>
        </is>
      </c>
      <c r="F175" s="144" t="inlineStr">
        <is>
          <t>RIT8773 GA</t>
        </is>
      </c>
      <c r="G175" s="144" t="inlineStr">
        <is>
          <t>WHT FORD</t>
        </is>
      </c>
      <c r="H175" s="144" t="inlineStr">
        <is>
          <t>HOUSING</t>
        </is>
      </c>
      <c r="I175" s="144" t="inlineStr">
        <is>
          <t xml:space="preserve">CONTRACTOR </t>
        </is>
      </c>
    </row>
    <row r="176" ht="18" customHeight="1" s="7">
      <c r="A176" s="144" t="inlineStr">
        <is>
          <t>HUGH HART</t>
        </is>
      </c>
      <c r="B176" s="144" t="inlineStr">
        <is>
          <t xml:space="preserve">*057365859 GA </t>
        </is>
      </c>
      <c r="C176" s="144" t="inlineStr">
        <is>
          <t>MRC SERVIES</t>
        </is>
      </c>
      <c r="D176" s="144" t="n">
        <v>2298943892</v>
      </c>
      <c r="E176" s="144" t="inlineStr">
        <is>
          <t>PU</t>
        </is>
      </c>
      <c r="F176" s="144" t="inlineStr">
        <is>
          <t>SIX2371 GA</t>
        </is>
      </c>
      <c r="G176" s="144" t="inlineStr">
        <is>
          <t>WHITE FORD</t>
        </is>
      </c>
      <c r="H176" s="144" t="n">
        <v>2200</v>
      </c>
      <c r="I176" s="144" t="inlineStr">
        <is>
          <t xml:space="preserve">CONTRACTOR </t>
        </is>
      </c>
    </row>
    <row r="177" ht="18" customHeight="1" s="7">
      <c r="A177" s="144" t="inlineStr">
        <is>
          <t>JAMARI ROBINSON</t>
        </is>
      </c>
      <c r="B177" s="144" t="inlineStr">
        <is>
          <t>*071833635 GA</t>
        </is>
      </c>
      <c r="C177" s="144" t="inlineStr">
        <is>
          <t>MCLANE</t>
        </is>
      </c>
      <c r="D177" s="144" t="n">
        <v>3213606483</v>
      </c>
      <c r="E177" s="144" t="inlineStr">
        <is>
          <t>BOX</t>
        </is>
      </c>
      <c r="F177" s="144" t="inlineStr">
        <is>
          <t>P1265527 IL</t>
        </is>
      </c>
      <c r="G177" s="144" t="inlineStr">
        <is>
          <t>WHITE FREIGHTLINER</t>
        </is>
      </c>
      <c r="H177" s="144" t="n">
        <v>7500</v>
      </c>
      <c r="I177" s="144" t="inlineStr">
        <is>
          <t>COMMERCIAL</t>
        </is>
      </c>
    </row>
    <row r="178" ht="18" customHeight="1" s="7">
      <c r="A178" s="144" t="inlineStr">
        <is>
          <t>SHELTY CANTY</t>
        </is>
      </c>
      <c r="B178" s="144" t="inlineStr">
        <is>
          <t>*050187584 GA</t>
        </is>
      </c>
      <c r="C178" s="144" t="inlineStr">
        <is>
          <t>ESTES</t>
        </is>
      </c>
      <c r="D178" s="144" t="n">
        <v>2296462381</v>
      </c>
      <c r="E178" s="144" t="inlineStr">
        <is>
          <t>BOX</t>
        </is>
      </c>
      <c r="F178" s="144" t="inlineStr">
        <is>
          <t>3583348 IN</t>
        </is>
      </c>
      <c r="G178" s="144" t="inlineStr">
        <is>
          <t>YELLOW LT</t>
        </is>
      </c>
      <c r="H178" s="144" t="n">
        <v>1221</v>
      </c>
      <c r="I178" s="144" t="inlineStr">
        <is>
          <t>COMMERCIAL</t>
        </is>
      </c>
    </row>
    <row r="179" ht="18" customHeight="1" s="7">
      <c r="A179" s="144" t="inlineStr">
        <is>
          <t>MICHAEL CUATE</t>
        </is>
      </c>
      <c r="B179" s="144" t="inlineStr">
        <is>
          <t>*0300-543-58-295-0 FL</t>
        </is>
      </c>
      <c r="C179" s="144" t="inlineStr">
        <is>
          <t>LANDSTAR</t>
        </is>
      </c>
      <c r="D179" s="144" t="n">
        <v>3866230052</v>
      </c>
      <c r="E179" s="144" t="inlineStr">
        <is>
          <t>BOX</t>
        </is>
      </c>
      <c r="F179" s="144" t="inlineStr">
        <is>
          <t>2509877 IN</t>
        </is>
      </c>
      <c r="G179" s="144" t="inlineStr">
        <is>
          <t>BLUE FREIGHTLINER</t>
        </is>
      </c>
      <c r="H179" s="144" t="n">
        <v>1221</v>
      </c>
      <c r="I179" s="144" t="inlineStr">
        <is>
          <t>COMMERCIAL</t>
        </is>
      </c>
    </row>
    <row r="180" ht="18" customHeight="1" s="7">
      <c r="A180" s="144" t="inlineStr">
        <is>
          <t>DAVID WATHEN</t>
        </is>
      </c>
      <c r="B180" s="144" t="inlineStr">
        <is>
          <t>*W95-047-025 KY</t>
        </is>
      </c>
      <c r="C180" s="144" t="inlineStr">
        <is>
          <t>BUSBY TRANSPORT</t>
        </is>
      </c>
      <c r="D180" s="144" t="n">
        <v>5035711883</v>
      </c>
      <c r="E180" s="144" t="inlineStr">
        <is>
          <t>RO</t>
        </is>
      </c>
      <c r="F180" s="144" t="inlineStr">
        <is>
          <t>A005748 SC</t>
        </is>
      </c>
      <c r="G180" s="144" t="inlineStr">
        <is>
          <t>WHITE FREIGHTLINER</t>
        </is>
      </c>
      <c r="H180" s="144" t="n">
        <v>1221</v>
      </c>
      <c r="I180" s="144" t="inlineStr">
        <is>
          <t>COMMERCIAL</t>
        </is>
      </c>
    </row>
    <row r="181" ht="18" customHeight="1" s="7">
      <c r="A181" s="144" t="inlineStr">
        <is>
          <t>HARRY ANDERSON</t>
        </is>
      </c>
      <c r="B181" s="144" t="inlineStr">
        <is>
          <t>052702438 GA</t>
        </is>
      </c>
      <c r="C181" s="144" t="inlineStr">
        <is>
          <t>GAINES FAMILY</t>
        </is>
      </c>
      <c r="D181" s="144" t="n">
        <v>8508151812</v>
      </c>
      <c r="E181" s="144" t="inlineStr">
        <is>
          <t>BOX</t>
        </is>
      </c>
      <c r="F181" s="144" t="inlineStr">
        <is>
          <t>2664039 TX</t>
        </is>
      </c>
      <c r="G181" s="144" t="inlineStr">
        <is>
          <t>GREY FL</t>
        </is>
      </c>
      <c r="H181" s="144" t="inlineStr">
        <is>
          <t>COMMISSARY</t>
        </is>
      </c>
      <c r="I181" s="144" t="inlineStr">
        <is>
          <t>COMMERCIAL</t>
        </is>
      </c>
    </row>
    <row r="182" ht="18" customHeight="1" s="7">
      <c r="A182" s="144" t="inlineStr">
        <is>
          <t>JOSE RAMIREZ</t>
        </is>
      </c>
      <c r="B182" s="144" t="inlineStr">
        <is>
          <t>*070416766 GA</t>
        </is>
      </c>
      <c r="C182" s="144" t="inlineStr">
        <is>
          <t>BUFFALO ROCK</t>
        </is>
      </c>
      <c r="D182" s="144" t="n">
        <v>2293198051</v>
      </c>
      <c r="E182" s="144" t="inlineStr">
        <is>
          <t>BOX</t>
        </is>
      </c>
      <c r="F182" s="144" t="inlineStr">
        <is>
          <t>3542144 IN</t>
        </is>
      </c>
      <c r="G182" s="144" t="inlineStr">
        <is>
          <t>WHITE FREIGHTLINER</t>
        </is>
      </c>
      <c r="H182" s="144" t="inlineStr">
        <is>
          <t>COMMISSARY</t>
        </is>
      </c>
      <c r="I182" s="144" t="inlineStr">
        <is>
          <t>COMMERCIAL</t>
        </is>
      </c>
    </row>
    <row r="183" ht="18" customHeight="1" s="7">
      <c r="A183" s="144" t="inlineStr">
        <is>
          <t>WILDER DEON</t>
        </is>
      </c>
      <c r="B183" s="144" t="inlineStr">
        <is>
          <t>A65965592</t>
        </is>
      </c>
      <c r="C183" s="144" t="inlineStr">
        <is>
          <t>DSW</t>
        </is>
      </c>
      <c r="D183" s="144" t="n">
        <v>8503180510</v>
      </c>
      <c r="E183" s="144" t="inlineStr">
        <is>
          <t>BOX</t>
        </is>
      </c>
      <c r="F183" s="144" t="inlineStr">
        <is>
          <t>477829Z VA</t>
        </is>
      </c>
      <c r="G183" s="144" t="inlineStr">
        <is>
          <t>RED FL</t>
        </is>
      </c>
      <c r="H183" s="144" t="n">
        <v>1221</v>
      </c>
      <c r="I183" s="144" t="inlineStr">
        <is>
          <t>COMMERCIAL</t>
        </is>
      </c>
    </row>
    <row r="184" ht="18" customHeight="1" s="7">
      <c r="A184" s="144" t="inlineStr">
        <is>
          <t xml:space="preserve">RICHARD  INGRAM </t>
        </is>
      </c>
      <c r="B184" s="144" t="inlineStr">
        <is>
          <t>I245478936000 FL</t>
        </is>
      </c>
      <c r="C184" s="144" t="inlineStr">
        <is>
          <t>LANDSTAR</t>
        </is>
      </c>
      <c r="D184" s="144" t="n">
        <v>6607282734</v>
      </c>
      <c r="E184" s="144" t="inlineStr">
        <is>
          <t>BOX</t>
        </is>
      </c>
      <c r="F184" s="144" t="inlineStr">
        <is>
          <t>3542144 IN</t>
        </is>
      </c>
      <c r="G184" s="144" t="inlineStr">
        <is>
          <t>WHITE FL</t>
        </is>
      </c>
      <c r="H184" s="144" t="n">
        <v>1221</v>
      </c>
      <c r="I184" s="144" t="inlineStr">
        <is>
          <t>COMMERCIAL</t>
        </is>
      </c>
    </row>
    <row r="185" ht="18" customHeight="1" s="7">
      <c r="A185" s="144" t="inlineStr">
        <is>
          <t>DAVID HEATH</t>
        </is>
      </c>
      <c r="B185" s="144" t="inlineStr">
        <is>
          <t>802958136 MO</t>
        </is>
      </c>
      <c r="C185" s="144" t="inlineStr">
        <is>
          <t>BOYLE</t>
        </is>
      </c>
      <c r="D185" s="144" t="n">
        <v>8003632004</v>
      </c>
      <c r="E185" s="144" t="inlineStr">
        <is>
          <t>BOX</t>
        </is>
      </c>
      <c r="F185" s="144" t="inlineStr">
        <is>
          <t>3503808 IN</t>
        </is>
      </c>
      <c r="G185" s="144" t="inlineStr">
        <is>
          <t>BLUE FL</t>
        </is>
      </c>
      <c r="H185" s="144" t="n">
        <v>1221</v>
      </c>
      <c r="I185" s="144" t="inlineStr">
        <is>
          <t>COMMERCIAL</t>
        </is>
      </c>
    </row>
    <row r="186" ht="18" customHeight="1" s="7">
      <c r="A186" s="144" t="inlineStr">
        <is>
          <t>JEFFERY DEAN</t>
        </is>
      </c>
      <c r="B186" s="144" t="inlineStr">
        <is>
          <t>21437093 CT</t>
        </is>
      </c>
      <c r="C186" s="144" t="inlineStr">
        <is>
          <t>LANDSTAR</t>
        </is>
      </c>
      <c r="D186" s="144" t="n">
        <v>8604286246</v>
      </c>
      <c r="E186" s="144" t="inlineStr">
        <is>
          <t>BOX</t>
        </is>
      </c>
      <c r="F186" s="144" t="inlineStr">
        <is>
          <t>262750 IN</t>
        </is>
      </c>
      <c r="G186" s="144" t="inlineStr">
        <is>
          <t>WHITE FL</t>
        </is>
      </c>
      <c r="H186" s="144" t="n">
        <v>1221</v>
      </c>
      <c r="I186" s="144" t="inlineStr">
        <is>
          <t>COMMERCIAL</t>
        </is>
      </c>
    </row>
    <row r="187" ht="18" customHeight="1" s="7">
      <c r="A187" s="144" t="inlineStr">
        <is>
          <t xml:space="preserve">HUGH HART </t>
        </is>
      </c>
      <c r="B187" s="144" t="inlineStr">
        <is>
          <t>*05736589 GA</t>
        </is>
      </c>
      <c r="C187" s="144" t="inlineStr">
        <is>
          <t xml:space="preserve">INDUSTRIAL </t>
        </is>
      </c>
      <c r="D187" s="144" t="n">
        <v>2297331217</v>
      </c>
      <c r="E187" s="144" t="inlineStr">
        <is>
          <t>PU</t>
        </is>
      </c>
      <c r="F187" s="144" t="inlineStr">
        <is>
          <t>S2147631 GA TEMP</t>
        </is>
      </c>
      <c r="G187" s="144" t="inlineStr">
        <is>
          <t>WHITE CHEVY</t>
        </is>
      </c>
      <c r="H187" s="144" t="n">
        <v>2200</v>
      </c>
      <c r="I187" s="144" t="inlineStr">
        <is>
          <t xml:space="preserve">CONTRACTOR </t>
        </is>
      </c>
    </row>
    <row r="188" ht="18" customHeight="1" s="7">
      <c r="A188" s="144" t="inlineStr">
        <is>
          <t>JOSEPH HITT</t>
        </is>
      </c>
      <c r="B188" s="144" t="inlineStr">
        <is>
          <t>*053060954 GA</t>
        </is>
      </c>
      <c r="C188" s="144" t="inlineStr">
        <is>
          <t xml:space="preserve">INDUSTRIAL </t>
        </is>
      </c>
      <c r="D188" s="144" t="n">
        <v>2297338176</v>
      </c>
      <c r="E188" s="144" t="inlineStr">
        <is>
          <t>PU</t>
        </is>
      </c>
      <c r="F188" s="144" t="inlineStr">
        <is>
          <t>SAX4996 GA</t>
        </is>
      </c>
      <c r="G188" s="144" t="inlineStr">
        <is>
          <t>BLUE FORD</t>
        </is>
      </c>
      <c r="H188" s="144" t="n">
        <v>2200</v>
      </c>
      <c r="I188" s="144" t="inlineStr">
        <is>
          <t xml:space="preserve">CONTRACTOR </t>
        </is>
      </c>
    </row>
    <row r="189" ht="18" customHeight="1" s="7">
      <c r="A189" s="144" t="inlineStr">
        <is>
          <t>KENNETH FIELDS</t>
        </is>
      </c>
      <c r="B189" s="144" t="inlineStr">
        <is>
          <t>*041531076 GA</t>
        </is>
      </c>
      <c r="C189" s="144" t="inlineStr">
        <is>
          <t>OLD DOMINION</t>
        </is>
      </c>
      <c r="D189" s="144" t="n">
        <v>2293473034</v>
      </c>
      <c r="E189" s="144" t="inlineStr">
        <is>
          <t>BOX</t>
        </is>
      </c>
      <c r="F189" s="144" t="inlineStr">
        <is>
          <t>MP5062 NC</t>
        </is>
      </c>
      <c r="G189" s="144" t="inlineStr">
        <is>
          <t>WHITE FREIGHTLINER</t>
        </is>
      </c>
      <c r="H189" s="144" t="n">
        <v>1351</v>
      </c>
      <c r="I189" s="144" t="inlineStr">
        <is>
          <t>COMMERCIAL</t>
        </is>
      </c>
    </row>
    <row r="190" ht="18" customHeight="1" s="7">
      <c r="A190" s="144" t="inlineStr">
        <is>
          <t>DEXTER CHESTER</t>
        </is>
      </c>
      <c r="B190" s="144" t="inlineStr">
        <is>
          <t>*054287755 GA</t>
        </is>
      </c>
      <c r="C190" s="144" t="inlineStr">
        <is>
          <t>FEDEX</t>
        </is>
      </c>
      <c r="D190" s="144" t="n">
        <v>2296033738</v>
      </c>
      <c r="E190" s="144" t="inlineStr">
        <is>
          <t>BOX</t>
        </is>
      </c>
      <c r="F190" s="144" t="inlineStr">
        <is>
          <t>3AN366 GA</t>
        </is>
      </c>
      <c r="G190" s="144" t="inlineStr">
        <is>
          <t>WHITE FORD</t>
        </is>
      </c>
      <c r="H190" s="144" t="inlineStr">
        <is>
          <t>BASEWIDE</t>
        </is>
      </c>
      <c r="I190" s="144" t="inlineStr">
        <is>
          <t>COMMERCIAL</t>
        </is>
      </c>
    </row>
    <row r="191" ht="18" customHeight="1" s="7">
      <c r="A191" s="144" t="inlineStr">
        <is>
          <t>CHRISTOPHER KING</t>
        </is>
      </c>
      <c r="B191" s="144" t="inlineStr">
        <is>
          <t>*057085209 GA</t>
        </is>
      </c>
      <c r="C191" s="144" t="inlineStr">
        <is>
          <t>YANCEY RENTALS</t>
        </is>
      </c>
      <c r="D191" s="144" t="n">
        <v>2293643907</v>
      </c>
      <c r="E191" s="144" t="inlineStr">
        <is>
          <t>RO</t>
        </is>
      </c>
      <c r="F191" s="144" t="inlineStr">
        <is>
          <t>P620CC GA</t>
        </is>
      </c>
      <c r="G191" s="144" t="inlineStr">
        <is>
          <t>BLACK PETERBILT</t>
        </is>
      </c>
      <c r="H191" s="144" t="n">
        <v>2200</v>
      </c>
      <c r="I191" s="144" t="inlineStr">
        <is>
          <t>COMMERCIAL</t>
        </is>
      </c>
    </row>
    <row r="192" ht="18" customHeight="1" s="7">
      <c r="A192" s="144" t="inlineStr">
        <is>
          <t>RASHAD DUNCAN</t>
        </is>
      </c>
      <c r="B192" s="144" t="inlineStr">
        <is>
          <t>*9659815 AL</t>
        </is>
      </c>
      <c r="C192" s="144" t="inlineStr">
        <is>
          <t>SPARTAN NASH</t>
        </is>
      </c>
      <c r="D192" s="144" t="n">
        <v>8137783723</v>
      </c>
      <c r="E192" s="144" t="inlineStr">
        <is>
          <t>BOX</t>
        </is>
      </c>
      <c r="F192" s="144" t="inlineStr">
        <is>
          <t>404727 NE</t>
        </is>
      </c>
      <c r="G192" s="144" t="inlineStr">
        <is>
          <t>WHITE INTERNATIONAL</t>
        </is>
      </c>
      <c r="H192" s="144" t="inlineStr">
        <is>
          <t>COMMISSARY</t>
        </is>
      </c>
      <c r="I192" s="144" t="inlineStr">
        <is>
          <t>COMMERCIAL</t>
        </is>
      </c>
    </row>
    <row r="193" ht="18" customHeight="1" s="7">
      <c r="A193" s="144" t="inlineStr">
        <is>
          <t>JOHN BRYANT</t>
        </is>
      </c>
      <c r="B193" s="144" t="inlineStr">
        <is>
          <t>*059028320 GA</t>
        </is>
      </c>
      <c r="C193" s="144" t="inlineStr">
        <is>
          <t>RHC</t>
        </is>
      </c>
      <c r="D193" s="144" t="n">
        <v>2294353500</v>
      </c>
      <c r="E193" s="144" t="inlineStr">
        <is>
          <t>VAN</t>
        </is>
      </c>
      <c r="F193" s="144" t="inlineStr">
        <is>
          <t>PLD 2643 GA</t>
        </is>
      </c>
      <c r="G193" s="144" t="inlineStr">
        <is>
          <t>WHITE FORD</t>
        </is>
      </c>
      <c r="H193" s="144" t="inlineStr">
        <is>
          <t>BASEWIDE</t>
        </is>
      </c>
      <c r="I193" s="144" t="inlineStr">
        <is>
          <t xml:space="preserve">CONTRACTOR </t>
        </is>
      </c>
    </row>
    <row r="194" ht="18" customHeight="1" s="7">
      <c r="A194" s="144" t="inlineStr">
        <is>
          <t>WILLIAM WASHINGTON</t>
        </is>
      </c>
      <c r="B194" s="144" t="inlineStr">
        <is>
          <t>*056169067 GA</t>
        </is>
      </c>
      <c r="C194" s="144" t="inlineStr">
        <is>
          <t>CONCRETE ENTERP</t>
        </is>
      </c>
      <c r="D194" s="144" t="n">
        <v>2298881904</v>
      </c>
      <c r="E194" s="144" t="inlineStr">
        <is>
          <t>PU</t>
        </is>
      </c>
      <c r="F194" s="144" t="inlineStr">
        <is>
          <t>RQZ4744 GA</t>
        </is>
      </c>
      <c r="G194" s="144" t="inlineStr">
        <is>
          <t>WHITE FORD</t>
        </is>
      </c>
      <c r="H194" s="144" t="inlineStr">
        <is>
          <t>DISC GOLF</t>
        </is>
      </c>
      <c r="I194" s="144" t="inlineStr">
        <is>
          <t xml:space="preserve">CONTRACTOR </t>
        </is>
      </c>
    </row>
    <row r="195" ht="18" customHeight="1" s="7">
      <c r="A195" s="144" t="inlineStr">
        <is>
          <t>ETHAN OXENRIDER</t>
        </is>
      </c>
      <c r="B195" s="144" t="inlineStr">
        <is>
          <t>*051745535 GA</t>
        </is>
      </c>
      <c r="C195" s="144" t="inlineStr">
        <is>
          <t>ARBON</t>
        </is>
      </c>
      <c r="D195" s="144" t="n">
        <v>2298698895</v>
      </c>
      <c r="E195" s="144" t="inlineStr">
        <is>
          <t>PU</t>
        </is>
      </c>
      <c r="F195" s="144" t="inlineStr">
        <is>
          <t>50DGYB FL</t>
        </is>
      </c>
      <c r="G195" s="144" t="inlineStr">
        <is>
          <t>WHITE DODGE</t>
        </is>
      </c>
      <c r="H195" s="144" t="n">
        <v>1220</v>
      </c>
      <c r="I195" s="144" t="inlineStr">
        <is>
          <t xml:space="preserve">CONTRACTOR </t>
        </is>
      </c>
    </row>
    <row r="196" ht="18" customHeight="1" s="7">
      <c r="A196" s="144" t="inlineStr">
        <is>
          <t xml:space="preserve">KEVIN ROGERS </t>
        </is>
      </c>
      <c r="B196" s="144" t="inlineStr">
        <is>
          <t>*055870856 GA</t>
        </is>
      </c>
      <c r="C196" s="144" t="inlineStr">
        <is>
          <t>FEDEX</t>
        </is>
      </c>
      <c r="D196" s="144" t="n">
        <v>2298698377</v>
      </c>
      <c r="E196" s="144" t="inlineStr">
        <is>
          <t>BOX</t>
        </is>
      </c>
      <c r="F196" s="144" t="inlineStr">
        <is>
          <t>30662809 IN</t>
        </is>
      </c>
      <c r="G196" s="144" t="inlineStr">
        <is>
          <t>WHITE KENWORTH</t>
        </is>
      </c>
      <c r="H196" s="144" t="inlineStr">
        <is>
          <t>BASEWIDE</t>
        </is>
      </c>
      <c r="I196" s="144" t="inlineStr">
        <is>
          <t>COMMERCIAL</t>
        </is>
      </c>
    </row>
    <row r="197" ht="18" customHeight="1" s="7">
      <c r="A197" s="144" t="inlineStr">
        <is>
          <t>JEREMY GILMORE</t>
        </is>
      </c>
      <c r="B197" s="144" t="inlineStr">
        <is>
          <t>G456432742880 FL</t>
        </is>
      </c>
      <c r="C197" s="144" t="inlineStr">
        <is>
          <t>COMFORT SYSTEMS</t>
        </is>
      </c>
      <c r="D197" s="144" t="n">
        <v>8882458450</v>
      </c>
      <c r="E197" s="144" t="inlineStr">
        <is>
          <t>PU</t>
        </is>
      </c>
      <c r="F197" s="144" t="inlineStr">
        <is>
          <t>CIV7426 GA</t>
        </is>
      </c>
      <c r="G197" s="144" t="inlineStr">
        <is>
          <t>WHITE FORD</t>
        </is>
      </c>
      <c r="H197" s="144" t="n">
        <v>1221</v>
      </c>
      <c r="I197" s="144" t="inlineStr">
        <is>
          <t xml:space="preserve">CONTRACTOR </t>
        </is>
      </c>
    </row>
    <row r="198" ht="18" customHeight="1" s="7">
      <c r="A198" s="144" t="inlineStr">
        <is>
          <t>CHARLES DAYHUFF</t>
        </is>
      </c>
      <c r="B198" s="144" t="inlineStr">
        <is>
          <t>*057006316 GA</t>
        </is>
      </c>
      <c r="C198" s="144" t="inlineStr">
        <is>
          <t xml:space="preserve">UNITED RENTALS </t>
        </is>
      </c>
      <c r="D198" s="144" t="inlineStr">
        <is>
          <t>1800URRENTS</t>
        </is>
      </c>
      <c r="E198" s="144" t="inlineStr">
        <is>
          <t>RO</t>
        </is>
      </c>
      <c r="F198" s="144" t="inlineStr">
        <is>
          <t>3284160 IN</t>
        </is>
      </c>
      <c r="G198" s="144" t="inlineStr">
        <is>
          <t>WHITE INTERNATIONAL</t>
        </is>
      </c>
      <c r="H198" s="144" t="n">
        <v>1220</v>
      </c>
      <c r="I198" s="144" t="inlineStr">
        <is>
          <t>COMMERCIAL</t>
        </is>
      </c>
    </row>
    <row r="199" ht="18" customHeight="1" s="7">
      <c r="A199" s="144" t="inlineStr">
        <is>
          <t>GERALD HARRIS</t>
        </is>
      </c>
      <c r="B199" s="144" t="inlineStr">
        <is>
          <t>*040399469 GA</t>
        </is>
      </c>
      <c r="C199" s="144" t="inlineStr">
        <is>
          <t>WT MILLER</t>
        </is>
      </c>
      <c r="D199" s="144" t="n">
        <v>7063202171</v>
      </c>
      <c r="E199" s="144" t="inlineStr">
        <is>
          <t>DUMP</t>
        </is>
      </c>
      <c r="F199" s="144" t="inlineStr">
        <is>
          <t>P981CX GA</t>
        </is>
      </c>
      <c r="G199" s="144" t="inlineStr">
        <is>
          <t>WHITE MACK</t>
        </is>
      </c>
      <c r="H199" s="144" t="n">
        <v>5552</v>
      </c>
      <c r="I199" s="144" t="inlineStr">
        <is>
          <t>COMMERCIAL</t>
        </is>
      </c>
    </row>
    <row r="200" ht="18" customHeight="1" s="7">
      <c r="A200" s="144" t="inlineStr">
        <is>
          <t>MICHEAL BOZEMAN</t>
        </is>
      </c>
      <c r="B200" s="144" t="inlineStr">
        <is>
          <t>*049722409 GA</t>
        </is>
      </c>
      <c r="C200" s="144" t="inlineStr">
        <is>
          <t>CINTAS</t>
        </is>
      </c>
      <c r="D200" s="144" t="n">
        <v>2298810087</v>
      </c>
      <c r="E200" s="144" t="inlineStr">
        <is>
          <t>VAN</t>
        </is>
      </c>
      <c r="F200" s="144" t="inlineStr">
        <is>
          <t>YBA269 GA</t>
        </is>
      </c>
      <c r="G200" s="144" t="inlineStr">
        <is>
          <t>WHITE FORD</t>
        </is>
      </c>
      <c r="H200" s="144" t="inlineStr">
        <is>
          <t>HOUSING</t>
        </is>
      </c>
      <c r="I200" s="144" t="inlineStr">
        <is>
          <t xml:space="preserve">CONTRACTOR </t>
        </is>
      </c>
    </row>
    <row r="201" ht="18" customHeight="1" s="7">
      <c r="A201" s="144" t="inlineStr">
        <is>
          <t>LANE DOUGLAS</t>
        </is>
      </c>
      <c r="B201" s="144" t="inlineStr">
        <is>
          <t>47237190 TX</t>
        </is>
      </c>
      <c r="C201" s="144" t="inlineStr">
        <is>
          <t>EDOS</t>
        </is>
      </c>
      <c r="D201" s="144" t="n">
        <v>3524085464</v>
      </c>
      <c r="E201" s="144" t="inlineStr">
        <is>
          <t>BOX</t>
        </is>
      </c>
      <c r="F201" s="144" t="inlineStr">
        <is>
          <t>AG74409 PA</t>
        </is>
      </c>
      <c r="G201" s="144" t="inlineStr">
        <is>
          <t>WHITE PETERBILT</t>
        </is>
      </c>
      <c r="H201" s="144" t="n">
        <v>1221</v>
      </c>
      <c r="I201" s="144" t="inlineStr">
        <is>
          <t>COMMERCIAL</t>
        </is>
      </c>
    </row>
    <row r="202" ht="18" customHeight="1" s="7">
      <c r="A202" s="144" t="inlineStr">
        <is>
          <t>BLAKE BOBE</t>
        </is>
      </c>
      <c r="B202" s="144" t="inlineStr">
        <is>
          <t>*050306718 GA</t>
        </is>
      </c>
      <c r="C202" s="144" t="inlineStr">
        <is>
          <t>CITY OF ALBANY</t>
        </is>
      </c>
      <c r="D202" s="144" t="n">
        <v>2298097645</v>
      </c>
      <c r="E202" s="144" t="inlineStr">
        <is>
          <t>PU</t>
        </is>
      </c>
      <c r="F202" s="144" t="inlineStr">
        <is>
          <t>GVO313 GA</t>
        </is>
      </c>
      <c r="G202" s="144" t="inlineStr">
        <is>
          <t>WHITE FORD</t>
        </is>
      </c>
      <c r="H202" s="144" t="n">
        <v>1121</v>
      </c>
      <c r="I202" s="144" t="inlineStr">
        <is>
          <t xml:space="preserve">CONTRACTOR </t>
        </is>
      </c>
    </row>
    <row r="203" ht="18" customHeight="1" s="7">
      <c r="A203" s="144" t="inlineStr">
        <is>
          <t>WILLIAM MCWHORTER</t>
        </is>
      </c>
      <c r="B203" s="144" t="inlineStr">
        <is>
          <t>*054656579 GA</t>
        </is>
      </c>
      <c r="C203" s="144" t="inlineStr">
        <is>
          <t>CITY OF ALBANY</t>
        </is>
      </c>
      <c r="D203" s="144" t="n">
        <v>2296557288</v>
      </c>
      <c r="E203" s="144" t="inlineStr">
        <is>
          <t>RO</t>
        </is>
      </c>
      <c r="F203" s="144" t="inlineStr">
        <is>
          <t>GV1277R GA</t>
        </is>
      </c>
      <c r="G203" s="144" t="inlineStr">
        <is>
          <t>WHITE FREIGHTLINER</t>
        </is>
      </c>
      <c r="H203" s="144" t="n">
        <v>1121</v>
      </c>
      <c r="I203" s="144" t="inlineStr">
        <is>
          <t>COMMERCIAL</t>
        </is>
      </c>
    </row>
    <row r="204" ht="18" customHeight="1" s="7">
      <c r="A204" s="144" t="inlineStr">
        <is>
          <t>DAVID GREEN</t>
        </is>
      </c>
      <c r="B204" s="144" t="inlineStr">
        <is>
          <t>*056113737 GA</t>
        </is>
      </c>
      <c r="C204" s="144" t="inlineStr">
        <is>
          <t>CITY OF ALBANY</t>
        </is>
      </c>
      <c r="D204" s="144" t="n">
        <v>2298090861</v>
      </c>
      <c r="E204" s="144" t="inlineStr">
        <is>
          <t>PU</t>
        </is>
      </c>
      <c r="F204" s="144" t="inlineStr">
        <is>
          <t>GV3408N GA</t>
        </is>
      </c>
      <c r="G204" s="144" t="inlineStr">
        <is>
          <t>WHITE FORD</t>
        </is>
      </c>
      <c r="H204" s="144" t="n">
        <v>1121</v>
      </c>
      <c r="I204" s="144" t="inlineStr">
        <is>
          <t xml:space="preserve">CONTRACTOR </t>
        </is>
      </c>
    </row>
    <row r="205" ht="18" customHeight="1" s="7">
      <c r="A205" s="144" t="inlineStr">
        <is>
          <t>JASON TUCKER</t>
        </is>
      </c>
      <c r="B205" s="144" t="inlineStr">
        <is>
          <t>*054305273 GA</t>
        </is>
      </c>
      <c r="C205" s="144" t="inlineStr">
        <is>
          <t>CITY OF ALBANY</t>
        </is>
      </c>
      <c r="D205" s="144" t="n">
        <v>2294492391</v>
      </c>
      <c r="E205" s="144" t="inlineStr">
        <is>
          <t>PU</t>
        </is>
      </c>
      <c r="F205" s="144" t="inlineStr">
        <is>
          <t>GV3467G GA</t>
        </is>
      </c>
      <c r="G205" s="144" t="inlineStr">
        <is>
          <t>WHITE FORD</t>
        </is>
      </c>
      <c r="H205" s="144" t="n">
        <v>1121</v>
      </c>
      <c r="I205" s="144" t="inlineStr">
        <is>
          <t xml:space="preserve">CONTRACTOR </t>
        </is>
      </c>
    </row>
    <row r="206" ht="18" customHeight="1" s="7">
      <c r="A206" s="144" t="inlineStr">
        <is>
          <t>COLLIN NOWALK</t>
        </is>
      </c>
      <c r="B206" s="144" t="inlineStr">
        <is>
          <t>*N420117920990 FL</t>
        </is>
      </c>
      <c r="C206" s="144" t="inlineStr">
        <is>
          <t>ENSAFE</t>
        </is>
      </c>
      <c r="D206" s="144" t="n">
        <v>9044563500</v>
      </c>
      <c r="E206" s="144" t="inlineStr">
        <is>
          <t>PU</t>
        </is>
      </c>
      <c r="F206" s="144" t="inlineStr">
        <is>
          <t>86DXSB FL</t>
        </is>
      </c>
      <c r="G206" s="144" t="inlineStr">
        <is>
          <t>WHITE FORD</t>
        </is>
      </c>
      <c r="H206" s="144" t="inlineStr">
        <is>
          <t>BASEWIDE</t>
        </is>
      </c>
      <c r="I206" s="144" t="inlineStr">
        <is>
          <t xml:space="preserve">CONTRACTOR </t>
        </is>
      </c>
    </row>
    <row r="207" ht="18" customHeight="1" s="7">
      <c r="A207" s="144" t="inlineStr">
        <is>
          <t>ELTRONDRO CAMPBELL</t>
        </is>
      </c>
      <c r="B207" s="144" t="inlineStr">
        <is>
          <t>*032580343 GA</t>
        </is>
      </c>
      <c r="C207" s="144" t="inlineStr">
        <is>
          <t>ALLOY</t>
        </is>
      </c>
      <c r="D207" s="144" t="n">
        <v>6788946625</v>
      </c>
      <c r="E207" s="144" t="inlineStr">
        <is>
          <t>BOX</t>
        </is>
      </c>
      <c r="F207" s="144" t="inlineStr">
        <is>
          <t>XML584 GA</t>
        </is>
      </c>
      <c r="G207" s="144" t="inlineStr">
        <is>
          <t>WHITE ISUZU</t>
        </is>
      </c>
      <c r="H207" s="144" t="inlineStr">
        <is>
          <t>PN47</t>
        </is>
      </c>
      <c r="I207" s="144" t="inlineStr">
        <is>
          <t>COMMERCIAL</t>
        </is>
      </c>
    </row>
    <row r="208" ht="18" customHeight="1" s="7">
      <c r="A208" s="144" t="inlineStr">
        <is>
          <t>VALENTIN KHATMAN</t>
        </is>
      </c>
      <c r="B208" s="144" t="inlineStr">
        <is>
          <t>*059089688 GA</t>
        </is>
      </c>
      <c r="C208" s="144" t="inlineStr">
        <is>
          <t>MAXIM LOGISTICS</t>
        </is>
      </c>
      <c r="D208" s="144" t="n">
        <v>5405603547</v>
      </c>
      <c r="E208" s="144" t="inlineStr">
        <is>
          <t>BOX</t>
        </is>
      </c>
      <c r="F208" s="144" t="inlineStr">
        <is>
          <t>C403EL GA</t>
        </is>
      </c>
      <c r="G208" s="144" t="inlineStr">
        <is>
          <t>RED INTERNATIONAL</t>
        </is>
      </c>
      <c r="H208" s="144" t="n">
        <v>1221</v>
      </c>
      <c r="I208" s="144" t="inlineStr">
        <is>
          <t>COMMERCIAL</t>
        </is>
      </c>
    </row>
    <row r="209" ht="18" customHeight="1" s="7">
      <c r="A209" s="144" t="inlineStr">
        <is>
          <t>PATRICK ALLEN</t>
        </is>
      </c>
      <c r="B209" s="144" t="inlineStr">
        <is>
          <t>*049707650 GA</t>
        </is>
      </c>
      <c r="C209" s="144" t="inlineStr">
        <is>
          <t>ABF</t>
        </is>
      </c>
      <c r="D209" s="144" t="n">
        <v>2292239586</v>
      </c>
      <c r="E209" s="144" t="inlineStr">
        <is>
          <t>BOX</t>
        </is>
      </c>
      <c r="F209" s="144" t="inlineStr">
        <is>
          <t>2XX279 OK</t>
        </is>
      </c>
      <c r="G209" s="144" t="inlineStr">
        <is>
          <t>GREEN MACK</t>
        </is>
      </c>
      <c r="H209" s="144" t="n">
        <v>1331</v>
      </c>
      <c r="I209" s="144" t="inlineStr">
        <is>
          <t>COMMERCIAL</t>
        </is>
      </c>
    </row>
    <row r="210" ht="18" customHeight="1" s="7">
      <c r="A210" s="144" t="inlineStr">
        <is>
          <t>PEEK JACOB</t>
        </is>
      </c>
      <c r="B210" s="144" t="inlineStr">
        <is>
          <t>WDL26B3C403B WA</t>
        </is>
      </c>
      <c r="C210" s="144" t="inlineStr">
        <is>
          <t>ZATKA TRUCKING</t>
        </is>
      </c>
      <c r="D210" s="144" t="n">
        <v>3603338190</v>
      </c>
      <c r="E210" s="144" t="inlineStr">
        <is>
          <t>PU</t>
        </is>
      </c>
      <c r="F210" s="144" t="inlineStr">
        <is>
          <t>C4708460 WS</t>
        </is>
      </c>
      <c r="G210" s="144" t="inlineStr">
        <is>
          <t xml:space="preserve">WHITE GMC </t>
        </is>
      </c>
      <c r="H210" s="144" t="n">
        <v>1221</v>
      </c>
      <c r="I210" s="144" t="inlineStr">
        <is>
          <t xml:space="preserve">CONTRACTOR </t>
        </is>
      </c>
    </row>
    <row r="211" ht="18" customHeight="1" s="7">
      <c r="A211" s="144" t="inlineStr">
        <is>
          <t>YESHITELLA NIGUSSIE</t>
        </is>
      </c>
      <c r="B211" s="144" t="inlineStr">
        <is>
          <t>WDL27S24943B WA</t>
        </is>
      </c>
      <c r="C211" s="144" t="inlineStr">
        <is>
          <t>FERGO</t>
        </is>
      </c>
      <c r="D211" s="144" t="n">
        <v>2144071552</v>
      </c>
      <c r="E211" s="144" t="inlineStr">
        <is>
          <t>BOX</t>
        </is>
      </c>
      <c r="F211" s="144" t="inlineStr">
        <is>
          <t>R609542 TX</t>
        </is>
      </c>
      <c r="G211" s="144" t="inlineStr">
        <is>
          <t>WHITE FL</t>
        </is>
      </c>
      <c r="H211" s="144" t="n">
        <v>1221</v>
      </c>
      <c r="I211" s="144" t="inlineStr">
        <is>
          <t>COMMERCIAL</t>
        </is>
      </c>
    </row>
    <row r="212" ht="18" customHeight="1" s="7">
      <c r="A212" s="144" t="inlineStr">
        <is>
          <t>BRANDEN WILSON</t>
        </is>
      </c>
      <c r="B212" s="144" t="inlineStr">
        <is>
          <t>*056899243 GA</t>
        </is>
      </c>
      <c r="C212" s="144" t="inlineStr">
        <is>
          <t>EQUIP SHARE</t>
        </is>
      </c>
      <c r="D212" s="144" t="inlineStr">
        <is>
          <t>88880 RENTS</t>
        </is>
      </c>
      <c r="E212" s="144" t="inlineStr">
        <is>
          <t>FLATS</t>
        </is>
      </c>
      <c r="F212" s="144" t="inlineStr">
        <is>
          <t>3781564 IN</t>
        </is>
      </c>
      <c r="G212" s="144" t="inlineStr">
        <is>
          <t>ORANGE FREIGHTLINER</t>
        </is>
      </c>
      <c r="H212" s="144" t="n">
        <v>2215</v>
      </c>
      <c r="I212" s="144" t="inlineStr">
        <is>
          <t>COMMERCIAL</t>
        </is>
      </c>
    </row>
    <row r="213" ht="18" customHeight="1" s="7">
      <c r="A213" s="144" t="inlineStr">
        <is>
          <t>KEVIN KEATON</t>
        </is>
      </c>
      <c r="B213" s="144" t="inlineStr">
        <is>
          <t xml:space="preserve"> *056121495 GA</t>
        </is>
      </c>
      <c r="C213" s="144" t="inlineStr">
        <is>
          <t>WASTE MANGMENT</t>
        </is>
      </c>
      <c r="D213" s="144" t="n">
        <v>2296692987</v>
      </c>
      <c r="E213" s="144" t="inlineStr">
        <is>
          <t>DUMP</t>
        </is>
      </c>
      <c r="F213" s="144" t="inlineStr">
        <is>
          <t>EP1597 GA</t>
        </is>
      </c>
      <c r="G213" s="144" t="inlineStr">
        <is>
          <t>WHITE MACK</t>
        </is>
      </c>
      <c r="H213" s="144" t="n">
        <v>2500</v>
      </c>
      <c r="I213" s="144" t="inlineStr">
        <is>
          <t>COMMERCIAL</t>
        </is>
      </c>
    </row>
    <row r="214" ht="18" customHeight="1" s="7">
      <c r="A214" s="144" t="inlineStr">
        <is>
          <t>ALFRED WHIPPY</t>
        </is>
      </c>
      <c r="B214" s="144" t="inlineStr">
        <is>
          <t>*2362808 OR</t>
        </is>
      </c>
      <c r="C214" s="144" t="inlineStr">
        <is>
          <t>FAST TRANSP.</t>
        </is>
      </c>
      <c r="D214" s="144" t="n">
        <v>9713023137</v>
      </c>
      <c r="E214" s="144" t="inlineStr">
        <is>
          <t>FLAT</t>
        </is>
      </c>
      <c r="F214" s="144" t="inlineStr">
        <is>
          <t>C558EY GA</t>
        </is>
      </c>
      <c r="G214" s="144" t="inlineStr">
        <is>
          <t>GREY VOLVO</t>
        </is>
      </c>
      <c r="H214" s="144" t="n">
        <v>1221</v>
      </c>
      <c r="I214" s="144" t="inlineStr">
        <is>
          <t>COMMERCIAL</t>
        </is>
      </c>
    </row>
    <row r="215" ht="18" customHeight="1" s="7">
      <c r="A215" s="144" t="inlineStr">
        <is>
          <t>ALTON POWELL</t>
        </is>
      </c>
      <c r="B215" s="144" t="inlineStr">
        <is>
          <t>*058351984 GA</t>
        </is>
      </c>
      <c r="C215" s="144" t="inlineStr">
        <is>
          <t>ALP LOGISTICS</t>
        </is>
      </c>
      <c r="D215" s="144" t="n">
        <v>2293106369</v>
      </c>
      <c r="E215" s="144" t="inlineStr">
        <is>
          <t>BOX</t>
        </is>
      </c>
      <c r="F215" s="144" t="inlineStr">
        <is>
          <t>C0177C GA</t>
        </is>
      </c>
      <c r="G215" s="144" t="inlineStr">
        <is>
          <t>BLUE FREIGHTLINER</t>
        </is>
      </c>
      <c r="H215" s="144" t="n">
        <v>1221</v>
      </c>
      <c r="I215" s="144" t="inlineStr">
        <is>
          <t>COMMERCIAL</t>
        </is>
      </c>
    </row>
    <row r="216" ht="18" customHeight="1" s="7">
      <c r="A216" s="144" t="inlineStr">
        <is>
          <t>LEE WALKER</t>
        </is>
      </c>
      <c r="B216" s="144" t="inlineStr">
        <is>
          <t>*020545677 GA</t>
        </is>
      </c>
      <c r="C216" s="144" t="inlineStr">
        <is>
          <t>AVERITT EXPRESS</t>
        </is>
      </c>
      <c r="D216" s="144" t="n">
        <v>2293921439</v>
      </c>
      <c r="E216" s="144" t="inlineStr">
        <is>
          <t>BOX</t>
        </is>
      </c>
      <c r="F216" s="144" t="inlineStr">
        <is>
          <t>T0190HY TN</t>
        </is>
      </c>
      <c r="G216" s="144" t="inlineStr">
        <is>
          <t>RED VOLVO</t>
        </is>
      </c>
      <c r="H216" s="144" t="n">
        <v>1221</v>
      </c>
      <c r="I216" s="144" t="inlineStr">
        <is>
          <t>COMMERCIAL</t>
        </is>
      </c>
    </row>
    <row r="217" ht="18" customHeight="1" s="7">
      <c r="A217" s="144" t="inlineStr">
        <is>
          <t>MICHAEL O'ROURKE</t>
        </is>
      </c>
      <c r="B217" s="144" t="inlineStr">
        <is>
          <t>*S135018027 MO</t>
        </is>
      </c>
      <c r="C217" s="144" t="inlineStr">
        <is>
          <t>BASIN TRANSPORT</t>
        </is>
      </c>
      <c r="D217" s="144" t="n">
        <v>5739370514</v>
      </c>
      <c r="E217" s="144" t="inlineStr">
        <is>
          <t>BOX</t>
        </is>
      </c>
      <c r="F217" s="144" t="inlineStr">
        <is>
          <t>3LT157 OK</t>
        </is>
      </c>
      <c r="G217" s="144" t="inlineStr">
        <is>
          <t>RED KW</t>
        </is>
      </c>
      <c r="H217" s="144" t="n">
        <v>2200</v>
      </c>
      <c r="I217" s="144" t="inlineStr">
        <is>
          <t>COMMERCIAL</t>
        </is>
      </c>
    </row>
    <row r="218" ht="18" customHeight="1" s="7">
      <c r="A218" s="144" t="inlineStr">
        <is>
          <t>RILEY SHEALEY</t>
        </is>
      </c>
      <c r="B218" s="144" t="inlineStr">
        <is>
          <t>*059938315 GA</t>
        </is>
      </c>
      <c r="C218" s="144" t="inlineStr">
        <is>
          <t>XTREAM</t>
        </is>
      </c>
      <c r="D218" s="144" t="n">
        <v>2293765428</v>
      </c>
      <c r="E218" s="144" t="inlineStr">
        <is>
          <t>PU</t>
        </is>
      </c>
      <c r="F218" s="144" t="inlineStr">
        <is>
          <t>QBI2595 GA</t>
        </is>
      </c>
      <c r="G218" s="144" t="inlineStr">
        <is>
          <t>WHITE FORD</t>
        </is>
      </c>
      <c r="H218" s="144" t="n">
        <v>2500</v>
      </c>
      <c r="I218" s="144" t="inlineStr">
        <is>
          <t>COMMERCIAL</t>
        </is>
      </c>
    </row>
    <row r="219" ht="18" customHeight="1" s="7">
      <c r="A219" s="144" t="inlineStr">
        <is>
          <t>WILLIAMS LENFORD</t>
        </is>
      </c>
      <c r="B219" s="144" t="inlineStr">
        <is>
          <t>*39621125 TX</t>
        </is>
      </c>
      <c r="C219" s="144" t="inlineStr">
        <is>
          <t>SSL TRUCKING</t>
        </is>
      </c>
      <c r="D219" s="144" t="n">
        <v>8174496402</v>
      </c>
      <c r="E219" s="144" t="inlineStr">
        <is>
          <t>BOX</t>
        </is>
      </c>
      <c r="F219" s="144" t="inlineStr">
        <is>
          <t>PXA8325  OH</t>
        </is>
      </c>
      <c r="G219" s="144" t="inlineStr">
        <is>
          <t>WHITE FREIGHTLINER</t>
        </is>
      </c>
      <c r="H219" s="144" t="n">
        <v>1221</v>
      </c>
      <c r="I219" s="144" t="inlineStr">
        <is>
          <t>COMMERCIAL</t>
        </is>
      </c>
    </row>
    <row r="220" ht="18" customHeight="1" s="7">
      <c r="A220" s="144" t="inlineStr">
        <is>
          <t>JEREMY BONNER</t>
        </is>
      </c>
      <c r="B220" s="144" t="inlineStr">
        <is>
          <t>*056436909 GA</t>
        </is>
      </c>
      <c r="C220" s="144" t="inlineStr">
        <is>
          <t>UPS</t>
        </is>
      </c>
      <c r="D220" s="144" t="n">
        <v>2292911395</v>
      </c>
      <c r="E220" s="144" t="inlineStr">
        <is>
          <t>VAN</t>
        </is>
      </c>
      <c r="F220" s="144" t="inlineStr">
        <is>
          <t>EEP600 GA</t>
        </is>
      </c>
      <c r="G220" s="144" t="inlineStr">
        <is>
          <t>BROWN FREIGHTLINER</t>
        </is>
      </c>
      <c r="H220" s="144" t="inlineStr">
        <is>
          <t>BASEWIDE</t>
        </is>
      </c>
      <c r="I220" s="144" t="inlineStr">
        <is>
          <t>COMMERCIAL</t>
        </is>
      </c>
    </row>
    <row r="221" ht="18" customHeight="1" s="7">
      <c r="A221" s="144" t="inlineStr">
        <is>
          <t>JACOB HUGHES</t>
        </is>
      </c>
      <c r="B221" s="144" t="inlineStr">
        <is>
          <t>*056039157 GA</t>
        </is>
      </c>
      <c r="C221" s="144" t="inlineStr">
        <is>
          <t>ATLAS FENCING</t>
        </is>
      </c>
      <c r="D221" s="144" t="n">
        <v>2294358019</v>
      </c>
      <c r="E221" s="144" t="inlineStr">
        <is>
          <t>PU</t>
        </is>
      </c>
      <c r="F221" s="144" t="inlineStr">
        <is>
          <t>ESJ 950 GA</t>
        </is>
      </c>
      <c r="G221" s="144" t="inlineStr">
        <is>
          <t>RED FORD</t>
        </is>
      </c>
      <c r="H221" s="144" t="inlineStr">
        <is>
          <t>HOUSING</t>
        </is>
      </c>
      <c r="I221" s="144" t="inlineStr">
        <is>
          <t>COMMERCIAL</t>
        </is>
      </c>
    </row>
    <row r="222" ht="18" customHeight="1" s="7">
      <c r="A222" s="144" t="inlineStr">
        <is>
          <t>KENNETH HUGHES</t>
        </is>
      </c>
      <c r="B222" s="144" t="inlineStr">
        <is>
          <t>*054446770 GA</t>
        </is>
      </c>
      <c r="C222" s="144" t="inlineStr">
        <is>
          <t>ATLAS FENCING</t>
        </is>
      </c>
      <c r="D222" s="144" t="n">
        <v>2294358019</v>
      </c>
      <c r="E222" s="144" t="inlineStr">
        <is>
          <t>PU</t>
        </is>
      </c>
      <c r="F222" s="144" t="inlineStr">
        <is>
          <t>SDC2846 GA</t>
        </is>
      </c>
      <c r="G222" s="144" t="inlineStr">
        <is>
          <t>WHITE FORD</t>
        </is>
      </c>
      <c r="H222" s="144" t="inlineStr">
        <is>
          <t>HOUSING</t>
        </is>
      </c>
      <c r="I222" s="144" t="inlineStr">
        <is>
          <t>COMMERCIAL</t>
        </is>
      </c>
    </row>
    <row r="223" ht="18" customHeight="1" s="7">
      <c r="A223" s="144" t="inlineStr">
        <is>
          <t>TIMOTHY THOMAS</t>
        </is>
      </c>
      <c r="B223" s="144" t="inlineStr">
        <is>
          <t xml:space="preserve">*050464131 GA </t>
        </is>
      </c>
      <c r="C223" s="144" t="inlineStr">
        <is>
          <t>XPO LOGISTICS</t>
        </is>
      </c>
      <c r="D223" s="144" t="n">
        <v>2293521702</v>
      </c>
      <c r="E223" s="144" t="inlineStr">
        <is>
          <t>BOX</t>
        </is>
      </c>
      <c r="F223" s="144" t="inlineStr">
        <is>
          <t>2499961 IN</t>
        </is>
      </c>
      <c r="G223" s="144" t="inlineStr">
        <is>
          <t>WHITE KENWORTH</t>
        </is>
      </c>
      <c r="H223" s="144" t="n">
        <v>1221</v>
      </c>
      <c r="I223" s="144" t="inlineStr">
        <is>
          <t>COMMERCIAL</t>
        </is>
      </c>
    </row>
    <row r="224" ht="18" customHeight="1" s="7">
      <c r="A224" s="144" t="inlineStr">
        <is>
          <t>SAMMIE SMITH</t>
        </is>
      </c>
      <c r="B224" s="144" t="inlineStr">
        <is>
          <t>*054468117 GA</t>
        </is>
      </c>
      <c r="C224" s="144" t="inlineStr">
        <is>
          <t>S&amp;S CONCRETE</t>
        </is>
      </c>
      <c r="D224" s="144" t="n">
        <v>2294388566</v>
      </c>
      <c r="E224" s="144" t="inlineStr">
        <is>
          <t>PU</t>
        </is>
      </c>
      <c r="F224" s="144" t="inlineStr">
        <is>
          <t>SSCRET08 GA</t>
        </is>
      </c>
      <c r="G224" s="144" t="inlineStr">
        <is>
          <t>WHITE DODGE</t>
        </is>
      </c>
      <c r="H224" s="144" t="n">
        <v>7520</v>
      </c>
      <c r="I224" s="144" t="inlineStr">
        <is>
          <t xml:space="preserve">CONTRACTOR </t>
        </is>
      </c>
    </row>
    <row r="225" ht="18" customHeight="1" s="7">
      <c r="A225" s="144" t="inlineStr">
        <is>
          <t>ANTARIO REDDICK</t>
        </is>
      </c>
      <c r="B225" s="144" t="inlineStr">
        <is>
          <t>*056624471 GA</t>
        </is>
      </c>
      <c r="C225" s="144" t="inlineStr">
        <is>
          <t>R&amp;L</t>
        </is>
      </c>
      <c r="D225" s="144" t="n">
        <v>2292551951</v>
      </c>
      <c r="E225" s="144" t="inlineStr">
        <is>
          <t>BOX</t>
        </is>
      </c>
      <c r="F225" s="144" t="inlineStr">
        <is>
          <t>3496710 IN</t>
        </is>
      </c>
      <c r="G225" s="144" t="inlineStr">
        <is>
          <t>GREEN PETER</t>
        </is>
      </c>
      <c r="H225" s="144" t="n">
        <v>1221</v>
      </c>
      <c r="I225" s="144" t="inlineStr">
        <is>
          <t>COMMERCIAL</t>
        </is>
      </c>
    </row>
    <row r="226" ht="18" customHeight="1" s="7">
      <c r="A226" s="144" t="inlineStr">
        <is>
          <t>JULIE HEAD</t>
        </is>
      </c>
      <c r="B226" s="144" t="inlineStr">
        <is>
          <t>H300421647520 FL</t>
        </is>
      </c>
      <c r="C226" s="144" t="inlineStr">
        <is>
          <t>LANDSTAR</t>
        </is>
      </c>
      <c r="D226" s="144" t="n">
        <v>2198633126</v>
      </c>
      <c r="E226" s="144" t="inlineStr">
        <is>
          <t>BOX</t>
        </is>
      </c>
      <c r="F226" s="144" t="inlineStr">
        <is>
          <t>2389324 IN</t>
        </is>
      </c>
      <c r="G226" s="144" t="inlineStr">
        <is>
          <t>WHITE FREIGHTLINER</t>
        </is>
      </c>
      <c r="H226" s="144" t="n">
        <v>1221</v>
      </c>
      <c r="I226" s="144" t="inlineStr">
        <is>
          <t>COMMERCIAL</t>
        </is>
      </c>
    </row>
    <row r="227" ht="18" customHeight="1" s="7">
      <c r="A227" s="144" t="inlineStr">
        <is>
          <t xml:space="preserve">BIVINS RILEY </t>
        </is>
      </c>
      <c r="B227" s="144" t="inlineStr">
        <is>
          <t>35399106 TX</t>
        </is>
      </c>
      <c r="C227" s="144" t="inlineStr">
        <is>
          <t>KOMAN</t>
        </is>
      </c>
      <c r="D227" s="144" t="n">
        <v>2297507106</v>
      </c>
      <c r="E227" s="144" t="inlineStr">
        <is>
          <t>BOX</t>
        </is>
      </c>
      <c r="F227" s="144" t="inlineStr">
        <is>
          <t>P760195 SC</t>
        </is>
      </c>
      <c r="G227" s="144" t="inlineStr">
        <is>
          <t>BLUE PETERBILT</t>
        </is>
      </c>
      <c r="H227" s="144" t="n">
        <v>1221</v>
      </c>
      <c r="I227" s="144" t="inlineStr">
        <is>
          <t>COMMERCIAL</t>
        </is>
      </c>
    </row>
    <row r="228" ht="18" customHeight="1" s="7">
      <c r="A228" s="144" t="inlineStr">
        <is>
          <t>MAYRO HIDALYO</t>
        </is>
      </c>
      <c r="B228" s="144" t="inlineStr">
        <is>
          <t>*051069288 GA</t>
        </is>
      </c>
      <c r="C228" s="144" t="inlineStr">
        <is>
          <t>ELE</t>
        </is>
      </c>
      <c r="D228" s="144" t="n">
        <v>4047207104</v>
      </c>
      <c r="E228" s="144" t="inlineStr">
        <is>
          <t>PU</t>
        </is>
      </c>
      <c r="F228" s="144" t="inlineStr">
        <is>
          <t>CLEM5495 GA</t>
        </is>
      </c>
      <c r="G228" s="144" t="inlineStr">
        <is>
          <t>GREY FORD</t>
        </is>
      </c>
      <c r="H228" s="144" t="n">
        <v>1221</v>
      </c>
      <c r="I228" s="144" t="inlineStr">
        <is>
          <t xml:space="preserve">CONTRACTOR </t>
        </is>
      </c>
    </row>
    <row r="229" ht="18" customHeight="1" s="7">
      <c r="A229" s="144" t="inlineStr">
        <is>
          <t xml:space="preserve">DEAN BEER </t>
        </is>
      </c>
      <c r="B229" s="144" t="inlineStr">
        <is>
          <t>*071457176 GA</t>
        </is>
      </c>
      <c r="C229" s="144" t="inlineStr">
        <is>
          <t>ELE</t>
        </is>
      </c>
      <c r="D229" s="144" t="n">
        <v>4709144044</v>
      </c>
      <c r="E229" s="144" t="inlineStr">
        <is>
          <t>PU</t>
        </is>
      </c>
      <c r="F229" s="144" t="inlineStr">
        <is>
          <t>SHC9231 GA</t>
        </is>
      </c>
      <c r="G229" s="144" t="inlineStr">
        <is>
          <t>SILVER CHEVY</t>
        </is>
      </c>
      <c r="H229" s="144" t="n">
        <v>1221</v>
      </c>
      <c r="I229" s="144" t="inlineStr">
        <is>
          <t xml:space="preserve">CONTRACTOR </t>
        </is>
      </c>
    </row>
    <row r="230" ht="18" customHeight="1" s="7">
      <c r="A230" s="144" t="inlineStr">
        <is>
          <t>ANTIONO MORALES</t>
        </is>
      </c>
      <c r="B230" s="144" t="inlineStr">
        <is>
          <t>*072000019 GA</t>
        </is>
      </c>
      <c r="C230" s="144" t="inlineStr">
        <is>
          <t>ELE</t>
        </is>
      </c>
      <c r="D230" s="144" t="n">
        <v>4726614179</v>
      </c>
      <c r="E230" s="144" t="inlineStr">
        <is>
          <t>PU</t>
        </is>
      </c>
      <c r="F230" s="144" t="inlineStr">
        <is>
          <t>RKZ2858 GA</t>
        </is>
      </c>
      <c r="G230" s="144" t="inlineStr">
        <is>
          <t xml:space="preserve">WHITE TOYOTA </t>
        </is>
      </c>
      <c r="H230" s="144" t="n">
        <v>1221</v>
      </c>
      <c r="I230" s="144" t="inlineStr">
        <is>
          <t xml:space="preserve">CONTRACTOR </t>
        </is>
      </c>
    </row>
    <row r="231" ht="18" customHeight="1" s="7">
      <c r="A231" s="144" t="inlineStr">
        <is>
          <t xml:space="preserve">DIO SMEDI PAUL </t>
        </is>
      </c>
      <c r="B231" s="144" t="inlineStr">
        <is>
          <t>*060476140 GA</t>
        </is>
      </c>
      <c r="C231" s="144" t="inlineStr">
        <is>
          <t>ELE</t>
        </is>
      </c>
      <c r="D231" s="144" t="n">
        <v>4726614179</v>
      </c>
      <c r="E231" s="144" t="inlineStr">
        <is>
          <t>BOX</t>
        </is>
      </c>
      <c r="F231" s="144" t="inlineStr">
        <is>
          <t>ZAG965 GA</t>
        </is>
      </c>
      <c r="G231" s="144" t="inlineStr">
        <is>
          <t>WHITE IN</t>
        </is>
      </c>
      <c r="H231" s="144" t="n">
        <v>1221</v>
      </c>
      <c r="I231" s="144" t="inlineStr">
        <is>
          <t>COMMERCIAL</t>
        </is>
      </c>
    </row>
    <row r="232" ht="18" customHeight="1" s="7">
      <c r="A232" s="144" t="inlineStr">
        <is>
          <t>PRESTON MCCRACKEN</t>
        </is>
      </c>
      <c r="B232" s="144" t="inlineStr">
        <is>
          <t>15134079 TX</t>
        </is>
      </c>
      <c r="C232" s="144" t="inlineStr">
        <is>
          <t>LIGHTHOUSE TRANS</t>
        </is>
      </c>
      <c r="D232" s="144" t="n">
        <v>2144370510</v>
      </c>
      <c r="E232" s="144" t="inlineStr">
        <is>
          <t>BOX</t>
        </is>
      </c>
      <c r="F232" s="144" t="inlineStr">
        <is>
          <t>R565972 TX</t>
        </is>
      </c>
      <c r="G232" s="144" t="inlineStr">
        <is>
          <t>WHITE FL</t>
        </is>
      </c>
      <c r="H232" s="144" t="n">
        <v>1221</v>
      </c>
      <c r="I232" s="144" t="inlineStr">
        <is>
          <t>COMMERCIAL</t>
        </is>
      </c>
    </row>
    <row r="233" ht="18" customHeight="1" s="7">
      <c r="A233" s="144" t="inlineStr">
        <is>
          <t>BARRY BREEDLOVE</t>
        </is>
      </c>
      <c r="B233" s="144" t="inlineStr">
        <is>
          <t>A24621380 VA</t>
        </is>
      </c>
      <c r="C233" s="144" t="inlineStr">
        <is>
          <t>CRANEWORKS</t>
        </is>
      </c>
      <c r="D233" s="144" t="n">
        <v>4343523212</v>
      </c>
      <c r="E233" s="144" t="inlineStr">
        <is>
          <t>PU</t>
        </is>
      </c>
      <c r="F233" s="144" t="inlineStr">
        <is>
          <t xml:space="preserve">VRM2599 VA </t>
        </is>
      </c>
      <c r="G233" s="144" t="inlineStr">
        <is>
          <t>WHITE FORD</t>
        </is>
      </c>
      <c r="H233" s="144" t="n">
        <v>1322</v>
      </c>
      <c r="I233" s="144" t="inlineStr">
        <is>
          <t xml:space="preserve">CONTRACTOR </t>
        </is>
      </c>
    </row>
    <row r="234" ht="18" customHeight="1" s="7">
      <c r="A234" s="144" t="inlineStr">
        <is>
          <t>SYREETA MITCHELL</t>
        </is>
      </c>
      <c r="B234" s="144" t="inlineStr">
        <is>
          <t>*051381745 GA</t>
        </is>
      </c>
      <c r="C234" s="144" t="inlineStr">
        <is>
          <t>DHL</t>
        </is>
      </c>
      <c r="D234" s="144" t="n">
        <v>2292910094</v>
      </c>
      <c r="E234" s="144" t="inlineStr">
        <is>
          <t>VAN</t>
        </is>
      </c>
      <c r="F234" s="144" t="inlineStr">
        <is>
          <t>3355981 IN</t>
        </is>
      </c>
      <c r="G234" s="144" t="inlineStr">
        <is>
          <t>YELLOW FORD</t>
        </is>
      </c>
      <c r="H234" s="144" t="n">
        <v>1221</v>
      </c>
      <c r="I234" s="144" t="inlineStr">
        <is>
          <t>COMMERCIAL</t>
        </is>
      </c>
    </row>
    <row r="235" ht="18" customHeight="1" s="7">
      <c r="A235" s="144" t="inlineStr">
        <is>
          <t>WELDON LANGAT</t>
        </is>
      </c>
      <c r="B235" s="144" t="inlineStr">
        <is>
          <t>*052496438 GA</t>
        </is>
      </c>
      <c r="C235" s="144" t="inlineStr">
        <is>
          <t>LANDSTAR</t>
        </is>
      </c>
      <c r="D235" s="144" t="n">
        <v>6782556402</v>
      </c>
      <c r="E235" s="144" t="inlineStr">
        <is>
          <t>BOX</t>
        </is>
      </c>
      <c r="F235" s="144" t="inlineStr">
        <is>
          <t>3061466 IN</t>
        </is>
      </c>
      <c r="G235" s="144" t="inlineStr">
        <is>
          <t>BLUE FL</t>
        </is>
      </c>
      <c r="H235" s="144" t="n">
        <v>1221</v>
      </c>
      <c r="I235" s="144" t="inlineStr">
        <is>
          <t>COMMERCIAL</t>
        </is>
      </c>
    </row>
    <row r="236" ht="18" customHeight="1" s="7">
      <c r="A236" s="144" t="inlineStr">
        <is>
          <t>GANDAR ROMERO</t>
        </is>
      </c>
      <c r="B236" s="144" t="n">
        <v>12800529</v>
      </c>
      <c r="C236" s="144" t="inlineStr">
        <is>
          <t>LANDSTAR</t>
        </is>
      </c>
      <c r="D236" s="144" t="n">
        <v>8324210644</v>
      </c>
      <c r="E236" s="144" t="inlineStr">
        <is>
          <t>BOX</t>
        </is>
      </c>
      <c r="F236" s="144" t="inlineStr">
        <is>
          <t>R7341 TX</t>
        </is>
      </c>
      <c r="G236" s="144" t="inlineStr">
        <is>
          <t>WHITE FL</t>
        </is>
      </c>
      <c r="H236" s="144" t="n">
        <v>1221</v>
      </c>
      <c r="I236" s="144" t="inlineStr">
        <is>
          <t>COMMERCIAL</t>
        </is>
      </c>
    </row>
    <row r="237" ht="18" customHeight="1" s="7">
      <c r="A237" s="144" t="inlineStr">
        <is>
          <t>WISE CLIFFORD</t>
        </is>
      </c>
      <c r="B237" s="144" t="inlineStr">
        <is>
          <t>84916897 TN</t>
        </is>
      </c>
      <c r="C237" s="144" t="inlineStr">
        <is>
          <t>AMER TRANS</t>
        </is>
      </c>
      <c r="D237" s="144" t="n">
        <v>6158546067</v>
      </c>
      <c r="E237" s="144" t="inlineStr">
        <is>
          <t>BOX</t>
        </is>
      </c>
      <c r="F237" s="144" t="inlineStr">
        <is>
          <t>83941 KY</t>
        </is>
      </c>
      <c r="G237" s="144" t="inlineStr">
        <is>
          <t>RED FL</t>
        </is>
      </c>
      <c r="H237" s="144" t="n">
        <v>1221</v>
      </c>
      <c r="I237" s="144" t="inlineStr">
        <is>
          <t>COMMERCIAL</t>
        </is>
      </c>
    </row>
    <row r="238" ht="18" customHeight="1" s="7">
      <c r="A238" s="144" t="inlineStr">
        <is>
          <t>GUTEREEIZ FREDDRICK</t>
        </is>
      </c>
      <c r="B238" s="144" t="inlineStr">
        <is>
          <t>T082750 OK</t>
        </is>
      </c>
      <c r="C238" s="144" t="inlineStr">
        <is>
          <t>ISA</t>
        </is>
      </c>
      <c r="D238" s="144" t="n">
        <v>4059655649</v>
      </c>
      <c r="E238" s="144" t="inlineStr">
        <is>
          <t>BOX</t>
        </is>
      </c>
      <c r="F238" s="144" t="inlineStr">
        <is>
          <t>3KC033 OK</t>
        </is>
      </c>
      <c r="G238" s="144" t="inlineStr">
        <is>
          <t>WHITE FL</t>
        </is>
      </c>
      <c r="H238" s="144" t="n">
        <v>1221</v>
      </c>
      <c r="I238" s="144" t="inlineStr">
        <is>
          <t>COMMERCIAL</t>
        </is>
      </c>
    </row>
    <row r="239" ht="18" customHeight="1" s="7">
      <c r="A239" s="144" t="inlineStr">
        <is>
          <t>CHARLES GALLAGHER</t>
        </is>
      </c>
      <c r="B239" s="144" t="inlineStr">
        <is>
          <t>*072570979 TN</t>
        </is>
      </c>
      <c r="C239" s="144" t="inlineStr">
        <is>
          <t>AMER TRANS</t>
        </is>
      </c>
      <c r="D239" s="144" t="n">
        <v>2707997779</v>
      </c>
      <c r="E239" s="144" t="inlineStr">
        <is>
          <t>BOX</t>
        </is>
      </c>
      <c r="F239" s="144" t="inlineStr">
        <is>
          <t>A76704 KS</t>
        </is>
      </c>
      <c r="G239" s="144" t="inlineStr">
        <is>
          <t>RED VOLVO</t>
        </is>
      </c>
      <c r="H239" s="144" t="n">
        <v>1221</v>
      </c>
      <c r="I239" s="144" t="inlineStr">
        <is>
          <t>COMMERCIAL</t>
        </is>
      </c>
    </row>
    <row r="240" ht="18" customHeight="1" s="7">
      <c r="A240" s="144" t="inlineStr">
        <is>
          <t>ORLANDO MAES</t>
        </is>
      </c>
      <c r="B240" s="144" t="inlineStr">
        <is>
          <t>*058320219 GA</t>
        </is>
      </c>
      <c r="C240" s="144" t="inlineStr">
        <is>
          <t>GA SPRINKLER</t>
        </is>
      </c>
      <c r="D240" s="144" t="n">
        <v>2294491583</v>
      </c>
      <c r="E240" s="144" t="inlineStr">
        <is>
          <t>PU</t>
        </is>
      </c>
      <c r="F240" s="144" t="inlineStr">
        <is>
          <t>SFQ6164 GA</t>
        </is>
      </c>
      <c r="G240" s="144" t="inlineStr">
        <is>
          <t>WHITE CHEVY</t>
        </is>
      </c>
      <c r="H240" s="144" t="n">
        <v>2200</v>
      </c>
      <c r="I240" s="144" t="inlineStr">
        <is>
          <t xml:space="preserve">CONTRACTOR </t>
        </is>
      </c>
    </row>
    <row r="241" ht="18" customHeight="1" s="7">
      <c r="A241" s="144" t="inlineStr">
        <is>
          <t>GERRETT WEEKS</t>
        </is>
      </c>
      <c r="B241" s="144" t="inlineStr">
        <is>
          <t>*071197507 GA</t>
        </is>
      </c>
      <c r="C241" s="144" t="inlineStr">
        <is>
          <t>ABRON</t>
        </is>
      </c>
      <c r="D241" s="144" t="n">
        <v>8003577260</v>
      </c>
      <c r="E241" s="144" t="inlineStr">
        <is>
          <t>PU</t>
        </is>
      </c>
      <c r="F241" s="144" t="inlineStr">
        <is>
          <t>XIT391 GA</t>
        </is>
      </c>
      <c r="G241" s="144" t="inlineStr">
        <is>
          <t>WHITE FORD</t>
        </is>
      </c>
      <c r="H241" s="144" t="inlineStr">
        <is>
          <t>BASEWIDE</t>
        </is>
      </c>
      <c r="I241" s="144" t="inlineStr">
        <is>
          <t xml:space="preserve">CONTRACTOR </t>
        </is>
      </c>
    </row>
    <row r="242" ht="18" customHeight="1" s="7">
      <c r="A242" s="144" t="inlineStr">
        <is>
          <t>GARCIA ALEJANDRRO</t>
        </is>
      </c>
      <c r="B242" s="144" t="inlineStr">
        <is>
          <t>G239562880000 FL</t>
        </is>
      </c>
      <c r="C242" s="144" t="inlineStr">
        <is>
          <t>TAVUS</t>
        </is>
      </c>
      <c r="D242" s="144" t="n">
        <v>8139666190</v>
      </c>
      <c r="E242" s="144" t="inlineStr">
        <is>
          <t>FLAT</t>
        </is>
      </c>
      <c r="F242" s="144" t="inlineStr">
        <is>
          <t>C223ES GA</t>
        </is>
      </c>
      <c r="G242" s="144" t="inlineStr">
        <is>
          <t>BLACK KW</t>
        </is>
      </c>
      <c r="H242" s="144" t="n">
        <v>1221</v>
      </c>
      <c r="I242" s="144" t="inlineStr">
        <is>
          <t>COMMERCIAL</t>
        </is>
      </c>
    </row>
    <row r="243" ht="18" customHeight="1" s="7">
      <c r="A243" s="144" t="inlineStr">
        <is>
          <t>PRUNEDA EVERADO</t>
        </is>
      </c>
      <c r="B243" s="144" t="inlineStr">
        <is>
          <t>*02275890 TX</t>
        </is>
      </c>
      <c r="C243" s="144" t="inlineStr">
        <is>
          <t>LANDSTAR</t>
        </is>
      </c>
      <c r="D243" s="144" t="n">
        <v>9569603099</v>
      </c>
      <c r="E243" s="144" t="inlineStr">
        <is>
          <t>BOX</t>
        </is>
      </c>
      <c r="F243" s="144" t="inlineStr">
        <is>
          <t>3145221 IN</t>
        </is>
      </c>
      <c r="G243" s="144" t="inlineStr">
        <is>
          <t>BLUE KW</t>
        </is>
      </c>
      <c r="H243" s="144" t="n">
        <v>1221</v>
      </c>
      <c r="I243" s="144" t="inlineStr">
        <is>
          <t>COMMERCIAL</t>
        </is>
      </c>
    </row>
    <row r="244" ht="18" customHeight="1" s="7">
      <c r="A244" s="144" t="inlineStr">
        <is>
          <t>LAFLEUR STERLING</t>
        </is>
      </c>
      <c r="B244" s="144" t="inlineStr">
        <is>
          <t>39292532 TX</t>
        </is>
      </c>
      <c r="C244" s="144" t="inlineStr">
        <is>
          <t>PANTHER</t>
        </is>
      </c>
      <c r="D244" s="144" t="n">
        <v>2818571809</v>
      </c>
      <c r="E244" s="144" t="inlineStr">
        <is>
          <t>BOX</t>
        </is>
      </c>
      <c r="F244" s="144" t="inlineStr">
        <is>
          <t>3387293 IN</t>
        </is>
      </c>
      <c r="G244" s="144" t="inlineStr">
        <is>
          <t>WHITE FL</t>
        </is>
      </c>
      <c r="H244" s="144" t="n">
        <v>1221</v>
      </c>
      <c r="I244" s="144" t="inlineStr">
        <is>
          <t>COMMERCIAL</t>
        </is>
      </c>
    </row>
    <row r="245" ht="18" customHeight="1" s="7">
      <c r="A245" s="144" t="inlineStr">
        <is>
          <t>MICHAEL MCAFEE</t>
        </is>
      </c>
      <c r="B245" s="144" t="inlineStr">
        <is>
          <t>*054305510 GA</t>
        </is>
      </c>
      <c r="C245" s="144" t="inlineStr">
        <is>
          <t>ESTES</t>
        </is>
      </c>
      <c r="D245" s="144" t="n">
        <v>2298949537</v>
      </c>
      <c r="E245" s="144" t="inlineStr">
        <is>
          <t>BOX</t>
        </is>
      </c>
      <c r="F245" s="144" t="inlineStr">
        <is>
          <t>3586804 IN</t>
        </is>
      </c>
      <c r="G245" s="144" t="inlineStr">
        <is>
          <t>YELLOW KW</t>
        </is>
      </c>
      <c r="H245" s="144" t="n">
        <v>1221</v>
      </c>
      <c r="I245" s="144" t="inlineStr">
        <is>
          <t>COMMERCIAL</t>
        </is>
      </c>
    </row>
    <row r="246" ht="18" customHeight="1" s="7">
      <c r="A246" s="144" t="inlineStr">
        <is>
          <t>NURULLO UGLI</t>
        </is>
      </c>
      <c r="B246" s="144" t="inlineStr">
        <is>
          <t>*055265770 GA</t>
        </is>
      </c>
      <c r="C246" s="144" t="inlineStr">
        <is>
          <t>ATL GROUP</t>
        </is>
      </c>
      <c r="D246" s="144" t="n">
        <v>6786871179</v>
      </c>
      <c r="E246" s="144" t="inlineStr">
        <is>
          <t>FLAT</t>
        </is>
      </c>
      <c r="F246" s="144" t="inlineStr">
        <is>
          <t>C019ER GA</t>
        </is>
      </c>
      <c r="G246" s="144" t="inlineStr">
        <is>
          <t>GRAY VOLVO</t>
        </is>
      </c>
      <c r="H246" s="144" t="n">
        <v>1221</v>
      </c>
      <c r="I246" s="144" t="inlineStr">
        <is>
          <t>COMMERCIAL</t>
        </is>
      </c>
    </row>
    <row r="247" ht="18" customHeight="1" s="7">
      <c r="A247" s="144" t="inlineStr">
        <is>
          <t>DONG CHUANAN</t>
        </is>
      </c>
      <c r="B247" s="144" t="inlineStr">
        <is>
          <t>F5166926 TX</t>
        </is>
      </c>
      <c r="C247" s="144" t="inlineStr">
        <is>
          <t>DCC</t>
        </is>
      </c>
      <c r="D247" s="144" t="n">
        <v>6265293128</v>
      </c>
      <c r="E247" s="144" t="inlineStr">
        <is>
          <t>BOX</t>
        </is>
      </c>
      <c r="F247" s="144" t="inlineStr">
        <is>
          <t>XP17431 CA</t>
        </is>
      </c>
      <c r="G247" s="144" t="inlineStr">
        <is>
          <t>WHITE FL</t>
        </is>
      </c>
      <c r="H247" s="144" t="n">
        <v>1221</v>
      </c>
      <c r="I247" s="144" t="inlineStr">
        <is>
          <t>COMMERCIAL</t>
        </is>
      </c>
    </row>
    <row r="248" ht="18" customHeight="1" s="7">
      <c r="A248" s="144" t="inlineStr">
        <is>
          <t>LEE TIMOTHY</t>
        </is>
      </c>
      <c r="B248" s="144" t="inlineStr">
        <is>
          <t>*056133925 GA</t>
        </is>
      </c>
      <c r="C248" s="144" t="inlineStr">
        <is>
          <t>ABMERE</t>
        </is>
      </c>
      <c r="D248" s="144" t="n">
        <v>2293089677</v>
      </c>
      <c r="E248" s="144" t="inlineStr">
        <is>
          <t>BOX</t>
        </is>
      </c>
      <c r="F248" s="144" t="inlineStr">
        <is>
          <t>C933EX GA</t>
        </is>
      </c>
      <c r="G248" s="144" t="inlineStr">
        <is>
          <t>BLACK PETERBILT</t>
        </is>
      </c>
      <c r="H248" s="144" t="n">
        <v>1221</v>
      </c>
      <c r="I248" s="144" t="inlineStr">
        <is>
          <t>COMMERCIAL</t>
        </is>
      </c>
    </row>
    <row r="249" ht="18" customHeight="1" s="7">
      <c r="A249" s="144" t="inlineStr">
        <is>
          <t>TORRES ANGEL</t>
        </is>
      </c>
      <c r="B249" s="144" t="inlineStr">
        <is>
          <t>227086433 CO</t>
        </is>
      </c>
      <c r="C249" s="144" t="inlineStr">
        <is>
          <t xml:space="preserve">ET </t>
        </is>
      </c>
      <c r="D249" s="144" t="n">
        <v>4064284828</v>
      </c>
      <c r="E249" s="144" t="inlineStr">
        <is>
          <t>BOX</t>
        </is>
      </c>
      <c r="F249" s="144" t="inlineStr">
        <is>
          <t>VB7995 NC</t>
        </is>
      </c>
      <c r="G249" s="144" t="inlineStr">
        <is>
          <t>WHITE IN</t>
        </is>
      </c>
      <c r="H249" s="144" t="n">
        <v>1221</v>
      </c>
      <c r="I249" s="144" t="inlineStr">
        <is>
          <t>COMMERCIAL</t>
        </is>
      </c>
    </row>
    <row r="250" ht="18" customHeight="1" s="7">
      <c r="A250" s="144" t="inlineStr">
        <is>
          <t>LETO GEORGE</t>
        </is>
      </c>
      <c r="B250" s="144" t="inlineStr">
        <is>
          <t>L300300853640 FL</t>
        </is>
      </c>
      <c r="C250" s="144" t="inlineStr">
        <is>
          <t xml:space="preserve">ALPHA </t>
        </is>
      </c>
      <c r="D250" s="144" t="n">
        <v>5156156801</v>
      </c>
      <c r="E250" s="144" t="inlineStr">
        <is>
          <t>BOX</t>
        </is>
      </c>
      <c r="F250" s="144" t="inlineStr">
        <is>
          <t>FP7103 IA</t>
        </is>
      </c>
      <c r="G250" s="144" t="inlineStr">
        <is>
          <t>ORANGE FREIGHTLINER</t>
        </is>
      </c>
      <c r="H250" s="144" t="n">
        <v>1221</v>
      </c>
      <c r="I250" s="144" t="inlineStr">
        <is>
          <t>COMMERCIAL</t>
        </is>
      </c>
    </row>
    <row r="251" ht="18" customHeight="1" s="7">
      <c r="A251" s="144" t="inlineStr">
        <is>
          <t>MOFFATT BLANE</t>
        </is>
      </c>
      <c r="B251" s="144" t="inlineStr">
        <is>
          <t>8941259314 IN</t>
        </is>
      </c>
      <c r="C251" s="144" t="inlineStr">
        <is>
          <t>XLG</t>
        </is>
      </c>
      <c r="D251" s="144" t="n">
        <v>5026643027</v>
      </c>
      <c r="E251" s="144" t="inlineStr">
        <is>
          <t>FLAT</t>
        </is>
      </c>
      <c r="F251" s="144" t="inlineStr">
        <is>
          <t>28179289 IN</t>
        </is>
      </c>
      <c r="G251" s="144" t="inlineStr">
        <is>
          <t>BLACK PETERBILT</t>
        </is>
      </c>
      <c r="H251" s="144" t="n">
        <v>1221</v>
      </c>
      <c r="I251" s="144" t="inlineStr">
        <is>
          <t>COMMERCIAL</t>
        </is>
      </c>
    </row>
    <row r="252" ht="18" customHeight="1" s="7">
      <c r="A252" s="144" t="inlineStr">
        <is>
          <t>CLEMENT BOBBY</t>
        </is>
      </c>
      <c r="B252" s="144" t="inlineStr">
        <is>
          <t>RS986478 OH</t>
        </is>
      </c>
      <c r="C252" s="144" t="inlineStr">
        <is>
          <t>XLG</t>
        </is>
      </c>
      <c r="D252" s="144" t="n">
        <v>3393511155</v>
      </c>
      <c r="E252" s="144" t="inlineStr">
        <is>
          <t>FLAT</t>
        </is>
      </c>
      <c r="F252" s="144" t="inlineStr">
        <is>
          <t>3008882 IN</t>
        </is>
      </c>
      <c r="G252" s="144" t="inlineStr">
        <is>
          <t>BLUE KW</t>
        </is>
      </c>
      <c r="H252" s="144" t="n">
        <v>1221</v>
      </c>
      <c r="I252" s="144" t="inlineStr">
        <is>
          <t>COMMERCIAL</t>
        </is>
      </c>
    </row>
    <row r="253" ht="18" customHeight="1" s="7">
      <c r="A253" s="144" t="inlineStr">
        <is>
          <t>MILLS RONALD</t>
        </is>
      </c>
      <c r="B253" s="144" t="inlineStr">
        <is>
          <t>T63704029 VA</t>
        </is>
      </c>
      <c r="C253" s="144" t="inlineStr">
        <is>
          <t>XLG</t>
        </is>
      </c>
      <c r="D253" s="144" t="n">
        <v>2766131729</v>
      </c>
      <c r="E253" s="144" t="inlineStr">
        <is>
          <t>FLAT</t>
        </is>
      </c>
      <c r="F253" s="144" t="inlineStr">
        <is>
          <t>3019255 IN</t>
        </is>
      </c>
      <c r="G253" s="144" t="inlineStr">
        <is>
          <t>BLACK PETERBILT</t>
        </is>
      </c>
      <c r="H253" s="144" t="n">
        <v>1221</v>
      </c>
      <c r="I253" s="144" t="inlineStr">
        <is>
          <t>COMMERCIAL</t>
        </is>
      </c>
    </row>
    <row r="254" ht="18" customHeight="1" s="7">
      <c r="A254" s="144" t="inlineStr">
        <is>
          <t>FELIX SMITH</t>
        </is>
      </c>
      <c r="B254" s="144" t="inlineStr">
        <is>
          <t>56313337 GA</t>
        </is>
      </c>
      <c r="C254" s="144" t="inlineStr">
        <is>
          <t>S&amp;S CONCRETE</t>
        </is>
      </c>
      <c r="D254" s="144" t="n">
        <v>2294388566</v>
      </c>
      <c r="E254" s="144" t="inlineStr">
        <is>
          <t>DUMP</t>
        </is>
      </c>
      <c r="F254" s="144" t="inlineStr">
        <is>
          <t>EPM527 GA</t>
        </is>
      </c>
      <c r="G254" s="144" t="inlineStr">
        <is>
          <t>WHITE FORD</t>
        </is>
      </c>
      <c r="H254" s="144" t="n">
        <v>5400</v>
      </c>
      <c r="I254" s="144" t="inlineStr">
        <is>
          <t>COMMERCIAL</t>
        </is>
      </c>
    </row>
    <row r="255" ht="18" customHeight="1" s="7">
      <c r="A255" s="144" t="inlineStr">
        <is>
          <t>YUSUF ADAN</t>
        </is>
      </c>
      <c r="B255" s="144" t="inlineStr">
        <is>
          <t>MD-10273800579 MD</t>
        </is>
      </c>
      <c r="C255" s="144" t="inlineStr">
        <is>
          <t>SSS LOGISTICS</t>
        </is>
      </c>
      <c r="D255" s="144" t="n">
        <v>3202249854</v>
      </c>
      <c r="E255" s="144" t="inlineStr">
        <is>
          <t>BOX</t>
        </is>
      </c>
      <c r="F255" s="144" t="inlineStr">
        <is>
          <t>PXB4391 OH</t>
        </is>
      </c>
      <c r="G255" s="144" t="inlineStr">
        <is>
          <t>WHITE FREIGHTLINER</t>
        </is>
      </c>
      <c r="H255" s="144" t="n">
        <v>1221</v>
      </c>
      <c r="I255" s="144" t="inlineStr">
        <is>
          <t>COMMERCIAL</t>
        </is>
      </c>
    </row>
    <row r="256" ht="18" customHeight="1" s="7">
      <c r="A256" s="144" t="inlineStr">
        <is>
          <t>DOUGLAS TYLER</t>
        </is>
      </c>
      <c r="B256" s="144" t="inlineStr">
        <is>
          <t>*056629245 GA</t>
        </is>
      </c>
      <c r="C256" s="144" t="inlineStr">
        <is>
          <t>HALL EXPRESS</t>
        </is>
      </c>
      <c r="D256" s="144" t="n">
        <v>2299461813</v>
      </c>
      <c r="E256" s="144" t="inlineStr">
        <is>
          <t>BOX</t>
        </is>
      </c>
      <c r="F256" s="144" t="inlineStr">
        <is>
          <t>PWQ9115 OH</t>
        </is>
      </c>
      <c r="G256" s="144" t="inlineStr">
        <is>
          <t>WHITE FL</t>
        </is>
      </c>
      <c r="H256" s="144" t="n">
        <v>1221</v>
      </c>
      <c r="I256" s="144" t="inlineStr">
        <is>
          <t>COMMERCIAL</t>
        </is>
      </c>
    </row>
    <row r="257" ht="18" customHeight="1" s="7">
      <c r="A257" s="144" t="inlineStr">
        <is>
          <t>AHMED ALI</t>
        </is>
      </c>
      <c r="B257" s="144" t="inlineStr">
        <is>
          <t>Q0001184339500 MN</t>
        </is>
      </c>
      <c r="C257" s="144" t="inlineStr">
        <is>
          <t>CJSOM LOG</t>
        </is>
      </c>
      <c r="D257" s="144" t="n">
        <v>5173130639</v>
      </c>
      <c r="E257" s="144" t="inlineStr">
        <is>
          <t>BOX</t>
        </is>
      </c>
      <c r="F257" s="144" t="inlineStr">
        <is>
          <t>PZB3023 MN</t>
        </is>
      </c>
      <c r="G257" s="144" t="inlineStr">
        <is>
          <t>GREEN FL</t>
        </is>
      </c>
      <c r="H257" s="144" t="n">
        <v>1221</v>
      </c>
      <c r="I257" s="144" t="inlineStr">
        <is>
          <t>COMMERCIAL</t>
        </is>
      </c>
    </row>
    <row r="258" ht="18" customHeight="1" s="7">
      <c r="A258" s="144" t="inlineStr">
        <is>
          <t>AUSLSTON ROBINSON</t>
        </is>
      </c>
      <c r="B258" s="144" t="inlineStr">
        <is>
          <t>*059002277 GA</t>
        </is>
      </c>
      <c r="C258" s="144" t="inlineStr">
        <is>
          <t>ALBANY BEVRAGE</t>
        </is>
      </c>
      <c r="D258" s="144" t="n">
        <v>2292917450</v>
      </c>
      <c r="E258" s="144" t="inlineStr">
        <is>
          <t>BOX</t>
        </is>
      </c>
      <c r="F258" s="144" t="inlineStr">
        <is>
          <t>PH1389 GA</t>
        </is>
      </c>
      <c r="G258" s="144" t="inlineStr">
        <is>
          <t>WHITE FREIGHTLINER</t>
        </is>
      </c>
      <c r="H258" s="144" t="n">
        <v>7500</v>
      </c>
      <c r="I258" s="144" t="inlineStr">
        <is>
          <t>COMMERCIAL</t>
        </is>
      </c>
    </row>
    <row r="259" ht="18" customHeight="1" s="7">
      <c r="A259" s="144" t="inlineStr">
        <is>
          <t>ROGER SMITH</t>
        </is>
      </c>
      <c r="B259" s="144" t="inlineStr">
        <is>
          <t>*052546318 GA</t>
        </is>
      </c>
      <c r="C259" s="144" t="inlineStr">
        <is>
          <t>ESTES</t>
        </is>
      </c>
      <c r="D259" s="144" t="n">
        <v>2292561717</v>
      </c>
      <c r="E259" s="144" t="inlineStr">
        <is>
          <t>BOX</t>
        </is>
      </c>
      <c r="F259" s="144" t="inlineStr">
        <is>
          <t>3505309 IN</t>
        </is>
      </c>
      <c r="G259" s="144" t="inlineStr">
        <is>
          <t>YELLOW FREIGHTLINER</t>
        </is>
      </c>
      <c r="H259" s="144" t="n">
        <v>1221</v>
      </c>
      <c r="I259" s="144" t="inlineStr">
        <is>
          <t>COMMERCIAL</t>
        </is>
      </c>
    </row>
    <row r="260" ht="18" customHeight="1" s="7">
      <c r="A260" s="144" t="inlineStr">
        <is>
          <t>DARUIS HINES</t>
        </is>
      </c>
      <c r="B260" s="144" t="inlineStr">
        <is>
          <t>*054675418 GA</t>
        </is>
      </c>
      <c r="C260" s="144" t="inlineStr">
        <is>
          <t>HINES</t>
        </is>
      </c>
      <c r="D260" s="144" t="n">
        <v>2297334811</v>
      </c>
      <c r="E260" s="144" t="inlineStr">
        <is>
          <t>PU</t>
        </is>
      </c>
      <c r="F260" s="144" t="inlineStr">
        <is>
          <t>YCJ178 GA</t>
        </is>
      </c>
      <c r="G260" s="144" t="inlineStr">
        <is>
          <t>BLACK FORD</t>
        </is>
      </c>
      <c r="H260" s="144" t="n">
        <v>1221</v>
      </c>
      <c r="I260" s="144" t="inlineStr">
        <is>
          <t xml:space="preserve">CONTRACTOR </t>
        </is>
      </c>
    </row>
    <row r="261" ht="18" customHeight="1" s="7">
      <c r="A261" s="144" t="inlineStr">
        <is>
          <t>JOSEPH MOSES JR</t>
        </is>
      </c>
      <c r="B261" s="144" t="inlineStr">
        <is>
          <t>*054772748 GA</t>
        </is>
      </c>
      <c r="C261" s="144" t="inlineStr">
        <is>
          <t>JMJ</t>
        </is>
      </c>
      <c r="D261" s="144" t="n">
        <v>7064645581</v>
      </c>
      <c r="E261" s="144" t="inlineStr">
        <is>
          <t>BOX</t>
        </is>
      </c>
      <c r="F261" s="144" t="inlineStr">
        <is>
          <t>C7222A GA</t>
        </is>
      </c>
      <c r="G261" s="144" t="inlineStr">
        <is>
          <t>RED PETERBILT</t>
        </is>
      </c>
      <c r="H261" s="144" t="n">
        <v>7501</v>
      </c>
      <c r="I261" s="144" t="inlineStr">
        <is>
          <t>COMMERCIAL</t>
        </is>
      </c>
    </row>
    <row r="262" ht="18" customHeight="1" s="7">
      <c r="A262" s="144" t="inlineStr">
        <is>
          <t>ARAIA ZIGTA</t>
        </is>
      </c>
      <c r="B262" s="144" t="inlineStr">
        <is>
          <t>3842360 WA</t>
        </is>
      </c>
      <c r="C262" s="144" t="inlineStr">
        <is>
          <t>AMN2 TRUCKING</t>
        </is>
      </c>
      <c r="D262" s="144" t="n">
        <v>6177100198</v>
      </c>
      <c r="E262" s="144" t="inlineStr">
        <is>
          <t>BOX</t>
        </is>
      </c>
      <c r="F262" s="144" t="inlineStr">
        <is>
          <t>C628CZ GA</t>
        </is>
      </c>
      <c r="G262" s="144" t="inlineStr">
        <is>
          <t>WHITE FL</t>
        </is>
      </c>
      <c r="H262" s="144" t="n">
        <v>1221</v>
      </c>
      <c r="I262" s="144" t="inlineStr">
        <is>
          <t>COMMERCIAL</t>
        </is>
      </c>
    </row>
    <row r="263" ht="18" customHeight="1" s="7">
      <c r="A263" s="144" t="inlineStr">
        <is>
          <t>ANTWAN MORROW</t>
        </is>
      </c>
      <c r="B263" s="144" t="inlineStr">
        <is>
          <t>*060498019 GA</t>
        </is>
      </c>
      <c r="C263" s="144" t="inlineStr">
        <is>
          <t>MCLANE</t>
        </is>
      </c>
      <c r="D263" s="144" t="n">
        <v>6788223175</v>
      </c>
      <c r="E263" s="144" t="inlineStr">
        <is>
          <t>BOX</t>
        </is>
      </c>
      <c r="F263" s="144" t="inlineStr">
        <is>
          <t>P1007600 IL</t>
        </is>
      </c>
      <c r="G263" s="144" t="inlineStr">
        <is>
          <t>WHITE FL</t>
        </is>
      </c>
      <c r="H263" s="144" t="n">
        <v>7501</v>
      </c>
      <c r="I263" s="144" t="inlineStr">
        <is>
          <t>COMMERCIAL</t>
        </is>
      </c>
    </row>
    <row r="264" ht="18" customHeight="1" s="7">
      <c r="A264" s="144" t="inlineStr">
        <is>
          <t>CHARLES FINCHER</t>
        </is>
      </c>
      <c r="B264" s="144" t="inlineStr">
        <is>
          <t>*055283217 GA</t>
        </is>
      </c>
      <c r="C264" s="144" t="inlineStr">
        <is>
          <t>ETC</t>
        </is>
      </c>
      <c r="D264" s="144" t="n">
        <v>2297248190</v>
      </c>
      <c r="E264" s="144" t="inlineStr">
        <is>
          <t>FLAT</t>
        </is>
      </c>
      <c r="F264" s="144" t="inlineStr">
        <is>
          <t xml:space="preserve">IC78X GA </t>
        </is>
      </c>
      <c r="G264" s="144" t="inlineStr">
        <is>
          <t>BLUE IN</t>
        </is>
      </c>
      <c r="H264" s="144" t="n">
        <v>7000</v>
      </c>
      <c r="I264" s="144" t="inlineStr">
        <is>
          <t>COMMERCIAL</t>
        </is>
      </c>
    </row>
    <row r="265" ht="18" customHeight="1" s="7">
      <c r="A265" s="144" t="inlineStr">
        <is>
          <t>STERRETT DEAN</t>
        </is>
      </c>
      <c r="B265" s="144" t="inlineStr">
        <is>
          <t>1501583972 NV</t>
        </is>
      </c>
      <c r="C265" s="144" t="inlineStr">
        <is>
          <t>CDT</t>
        </is>
      </c>
      <c r="D265" s="144" t="n">
        <v>7022398013</v>
      </c>
      <c r="E265" s="144" t="inlineStr">
        <is>
          <t>BOX</t>
        </is>
      </c>
      <c r="F265" s="144" t="inlineStr">
        <is>
          <t>XC920C FL</t>
        </is>
      </c>
      <c r="G265" s="144" t="inlineStr">
        <is>
          <t>WHITE MACK</t>
        </is>
      </c>
      <c r="H265" s="144" t="n">
        <v>1330</v>
      </c>
      <c r="I265" s="144" t="inlineStr">
        <is>
          <t>COMMERCIAL</t>
        </is>
      </c>
    </row>
    <row r="266" ht="18" customHeight="1" s="7">
      <c r="A266" s="144" t="inlineStr">
        <is>
          <t>DANIEL DEAL</t>
        </is>
      </c>
      <c r="B266" s="144" t="inlineStr">
        <is>
          <t>*055632760 GA</t>
        </is>
      </c>
      <c r="C266" s="144" t="inlineStr">
        <is>
          <t>FEDEX</t>
        </is>
      </c>
      <c r="D266" s="144" t="n">
        <v>2297337588</v>
      </c>
      <c r="E266" s="144" t="inlineStr">
        <is>
          <t>BOX</t>
        </is>
      </c>
      <c r="F266" s="144" t="inlineStr">
        <is>
          <t>C131EY GA</t>
        </is>
      </c>
      <c r="G266" s="144" t="inlineStr">
        <is>
          <t>WHITE FREIGHTLINER</t>
        </is>
      </c>
      <c r="H266" s="144" t="n">
        <v>1221</v>
      </c>
      <c r="I266" s="144" t="inlineStr">
        <is>
          <t>COMMERCIAL</t>
        </is>
      </c>
    </row>
    <row r="267" ht="18" customHeight="1" s="7">
      <c r="A267" s="144" t="inlineStr">
        <is>
          <t>CHRIS KING</t>
        </is>
      </c>
      <c r="B267" s="144" t="inlineStr">
        <is>
          <t>*059406931 GA</t>
        </is>
      </c>
      <c r="C267" s="144" t="inlineStr">
        <is>
          <t>ATLAS FENCING</t>
        </is>
      </c>
      <c r="D267" s="144" t="n">
        <v>2294358019</v>
      </c>
      <c r="E267" s="144" t="inlineStr">
        <is>
          <t>PU</t>
        </is>
      </c>
      <c r="F267" s="144" t="inlineStr">
        <is>
          <t>ESJ950 GA</t>
        </is>
      </c>
      <c r="G267" s="144" t="inlineStr">
        <is>
          <t>RED FORD</t>
        </is>
      </c>
      <c r="H267" s="144" t="n">
        <v>7520</v>
      </c>
      <c r="I267" s="144" t="inlineStr">
        <is>
          <t xml:space="preserve">CONTRACTOR </t>
        </is>
      </c>
    </row>
    <row r="268" ht="18" customHeight="1" s="7">
      <c r="A268" s="144" t="inlineStr">
        <is>
          <t>LEON JEFFERSON</t>
        </is>
      </c>
      <c r="B268" s="144" t="inlineStr">
        <is>
          <t>*056499890 GA</t>
        </is>
      </c>
      <c r="C268" s="144" t="inlineStr">
        <is>
          <t>COCA COLA</t>
        </is>
      </c>
      <c r="D268" s="144" t="n">
        <v>2297335894</v>
      </c>
      <c r="E268" s="144" t="inlineStr">
        <is>
          <t>BOX</t>
        </is>
      </c>
      <c r="F268" s="144" t="inlineStr">
        <is>
          <t>EKS371 GA</t>
        </is>
      </c>
      <c r="G268" s="144" t="inlineStr">
        <is>
          <t>RED FL</t>
        </is>
      </c>
      <c r="H268" s="144" t="n">
        <v>7500</v>
      </c>
      <c r="I268" s="144" t="inlineStr">
        <is>
          <t>COMMERCIAL</t>
        </is>
      </c>
    </row>
    <row r="269" ht="18" customHeight="1" s="7">
      <c r="A269" s="144" t="inlineStr">
        <is>
          <t>PAUL MORALES</t>
        </is>
      </c>
      <c r="B269" s="144" t="n">
        <v>714215558</v>
      </c>
      <c r="C269" s="144" t="inlineStr">
        <is>
          <t>ALL POINTS HAUL</t>
        </is>
      </c>
      <c r="D269" s="144" t="n">
        <v>7074340808</v>
      </c>
      <c r="E269" s="144" t="inlineStr">
        <is>
          <t>FLAT</t>
        </is>
      </c>
      <c r="F269" s="144" t="inlineStr">
        <is>
          <t>3592578 IN</t>
        </is>
      </c>
      <c r="G269" s="144" t="inlineStr">
        <is>
          <t>WESTERN STAR</t>
        </is>
      </c>
      <c r="H269" s="144" t="n">
        <v>1221</v>
      </c>
      <c r="I269" s="144" t="inlineStr">
        <is>
          <t>COMMERCIAL</t>
        </is>
      </c>
    </row>
    <row r="270" ht="18" customHeight="1" s="7">
      <c r="A270" s="144" t="inlineStr">
        <is>
          <t xml:space="preserve">BOHAMON HENRY </t>
        </is>
      </c>
      <c r="B270" s="144" t="inlineStr">
        <is>
          <t>B550383700850 FL</t>
        </is>
      </c>
      <c r="C270" s="144" t="inlineStr">
        <is>
          <t>EMPIRE</t>
        </is>
      </c>
      <c r="D270" s="144" t="n">
        <v>3525724249</v>
      </c>
      <c r="E270" s="144" t="inlineStr">
        <is>
          <t>VAN</t>
        </is>
      </c>
      <c r="F270" s="144" t="inlineStr">
        <is>
          <t>HWTC77 FL</t>
        </is>
      </c>
      <c r="G270" s="144" t="inlineStr">
        <is>
          <t>WHITE RAM</t>
        </is>
      </c>
      <c r="H270" s="144" t="n">
        <v>1351</v>
      </c>
      <c r="I270" s="144" t="inlineStr">
        <is>
          <t xml:space="preserve">CONTRACTOR </t>
        </is>
      </c>
    </row>
    <row r="271" ht="18" customHeight="1" s="7">
      <c r="A271" s="144" t="inlineStr">
        <is>
          <t xml:space="preserve">TIM ETHERDGE </t>
        </is>
      </c>
      <c r="B271" s="144" t="inlineStr">
        <is>
          <t>*062055987 GA</t>
        </is>
      </c>
      <c r="C271" s="144" t="inlineStr">
        <is>
          <t>UTILI QUEST</t>
        </is>
      </c>
      <c r="D271" s="144" t="n">
        <v>678822807</v>
      </c>
      <c r="E271" s="144" t="inlineStr">
        <is>
          <t>PU</t>
        </is>
      </c>
      <c r="F271" s="144" t="inlineStr">
        <is>
          <t>CZG7642 GA</t>
        </is>
      </c>
      <c r="G271" s="144" t="inlineStr">
        <is>
          <t>WHITE RAM</t>
        </is>
      </c>
      <c r="H271" s="144" t="n">
        <v>1330</v>
      </c>
      <c r="I271" s="144" t="inlineStr">
        <is>
          <t xml:space="preserve">CONTRACTOR </t>
        </is>
      </c>
    </row>
    <row r="272" ht="18" customHeight="1" s="7">
      <c r="A272" s="144" t="inlineStr">
        <is>
          <t>ROBERT WEATHERSBY</t>
        </is>
      </c>
      <c r="B272" s="144" t="inlineStr">
        <is>
          <t>*055735787 GA</t>
        </is>
      </c>
      <c r="C272" s="144" t="inlineStr">
        <is>
          <t>A WEST</t>
        </is>
      </c>
      <c r="D272" s="144" t="n">
        <v>2298888347</v>
      </c>
      <c r="E272" s="144" t="inlineStr">
        <is>
          <t>PU</t>
        </is>
      </c>
      <c r="F272" s="144" t="inlineStr">
        <is>
          <t>RIR8273 GA</t>
        </is>
      </c>
      <c r="G272" s="144" t="inlineStr">
        <is>
          <t>WHITE CHEVY</t>
        </is>
      </c>
      <c r="H272" s="144" t="n">
        <v>1330</v>
      </c>
      <c r="I272" s="144" t="inlineStr">
        <is>
          <t xml:space="preserve">CONTRACTOR </t>
        </is>
      </c>
    </row>
    <row r="273" ht="18" customHeight="1" s="7">
      <c r="A273" s="144" t="inlineStr">
        <is>
          <t xml:space="preserve">TIMOTHY BUTLER </t>
        </is>
      </c>
      <c r="B273" s="144" t="inlineStr">
        <is>
          <t>*071739353 GA</t>
        </is>
      </c>
      <c r="C273" s="144" t="inlineStr">
        <is>
          <t>BBH TRANS</t>
        </is>
      </c>
      <c r="D273" s="144" t="n">
        <v>4343902615</v>
      </c>
      <c r="E273" s="144" t="inlineStr">
        <is>
          <t>FLAT</t>
        </is>
      </c>
      <c r="F273" s="144" t="inlineStr">
        <is>
          <t>C92OEY GA</t>
        </is>
      </c>
      <c r="G273" s="144" t="inlineStr">
        <is>
          <t>RED KW</t>
        </is>
      </c>
      <c r="H273" s="144" t="n">
        <v>1221</v>
      </c>
      <c r="I273" s="144" t="inlineStr">
        <is>
          <t>COMMERCIAL</t>
        </is>
      </c>
    </row>
    <row r="274" ht="18" customHeight="1" s="7">
      <c r="A274" s="144" t="inlineStr">
        <is>
          <t>ROBERT HUDSON</t>
        </is>
      </c>
      <c r="B274" s="144" t="inlineStr">
        <is>
          <t>054493235 GA</t>
        </is>
      </c>
      <c r="C274" s="144" t="inlineStr">
        <is>
          <t>ENTERPRISE</t>
        </is>
      </c>
      <c r="D274" s="144" t="n">
        <v>9126756493</v>
      </c>
      <c r="E274" s="144" t="inlineStr">
        <is>
          <t>BOX</t>
        </is>
      </c>
      <c r="F274" s="144" t="inlineStr">
        <is>
          <t>YMA689 GA</t>
        </is>
      </c>
      <c r="G274" s="144" t="inlineStr">
        <is>
          <t>WHITE IN</t>
        </is>
      </c>
      <c r="H274" s="144" t="n">
        <v>3500</v>
      </c>
      <c r="I274" s="144" t="inlineStr">
        <is>
          <t>COMMERCIAL</t>
        </is>
      </c>
    </row>
    <row r="275" ht="18" customHeight="1" s="7">
      <c r="A275" s="144" t="inlineStr">
        <is>
          <t>JUSTIN HILL</t>
        </is>
      </c>
      <c r="B275" s="144" t="inlineStr">
        <is>
          <t>*0503437294 GA</t>
        </is>
      </c>
      <c r="C275" s="144" t="inlineStr">
        <is>
          <t>MBW</t>
        </is>
      </c>
      <c r="D275" s="144" t="n">
        <v>9126603763</v>
      </c>
      <c r="E275" s="144" t="inlineStr">
        <is>
          <t>VAN</t>
        </is>
      </c>
      <c r="F275" s="144" t="inlineStr">
        <is>
          <t>SFU3837 GA</t>
        </is>
      </c>
      <c r="G275" s="144" t="inlineStr">
        <is>
          <t>WHITE MEB</t>
        </is>
      </c>
      <c r="H275" s="144" t="n">
        <v>3500</v>
      </c>
      <c r="I275" s="144" t="inlineStr">
        <is>
          <t xml:space="preserve">CONTRACTOR </t>
        </is>
      </c>
    </row>
    <row r="276" ht="18" customHeight="1" s="7">
      <c r="A276" s="144" t="inlineStr">
        <is>
          <t>DONALD MOORE</t>
        </is>
      </c>
      <c r="B276" s="144" t="inlineStr">
        <is>
          <t>*054004365 GA</t>
        </is>
      </c>
      <c r="C276" s="144" t="inlineStr">
        <is>
          <t>SOUTHERN TURF</t>
        </is>
      </c>
      <c r="D276" s="144" t="n">
        <v>2298699909</v>
      </c>
      <c r="E276" s="144" t="inlineStr">
        <is>
          <t>PU</t>
        </is>
      </c>
      <c r="F276" s="144" t="inlineStr">
        <is>
          <t>RSX5800 GA</t>
        </is>
      </c>
      <c r="G276" s="144" t="inlineStr">
        <is>
          <t>SILVER NISSAN</t>
        </is>
      </c>
      <c r="H276" s="144" t="inlineStr">
        <is>
          <t>HOUSING</t>
        </is>
      </c>
      <c r="I276" s="144" t="inlineStr">
        <is>
          <t xml:space="preserve">CONTRACTOR </t>
        </is>
      </c>
    </row>
    <row r="277" ht="18" customHeight="1" s="7">
      <c r="A277" s="144" t="inlineStr">
        <is>
          <t xml:space="preserve">JOHNICAN LISA </t>
        </is>
      </c>
      <c r="B277" s="144" t="inlineStr">
        <is>
          <t>*006223460 GA</t>
        </is>
      </c>
      <c r="C277" s="144" t="inlineStr">
        <is>
          <t>LANDSTAR</t>
        </is>
      </c>
      <c r="D277" s="144" t="n">
        <v>7135349909</v>
      </c>
      <c r="E277" s="144" t="inlineStr">
        <is>
          <t>BOX</t>
        </is>
      </c>
      <c r="F277" s="144" t="inlineStr">
        <is>
          <t>3673402 GA</t>
        </is>
      </c>
      <c r="G277" s="144" t="inlineStr">
        <is>
          <t>WHITE FL</t>
        </is>
      </c>
      <c r="H277" s="144" t="n">
        <v>1221</v>
      </c>
      <c r="I277" s="144" t="inlineStr">
        <is>
          <t>COMMERCIAL</t>
        </is>
      </c>
    </row>
    <row r="278" ht="18" customHeight="1" s="7">
      <c r="A278" s="144" t="inlineStr">
        <is>
          <t>CHRISTOPHER FLOYD</t>
        </is>
      </c>
      <c r="B278" s="144" t="inlineStr">
        <is>
          <t>*051275563 GA</t>
        </is>
      </c>
      <c r="C278" s="144" t="inlineStr">
        <is>
          <t>T FORCE</t>
        </is>
      </c>
      <c r="D278" s="144" t="n">
        <v>2292149347</v>
      </c>
      <c r="E278" s="144" t="inlineStr">
        <is>
          <t>BOX</t>
        </is>
      </c>
      <c r="F278" s="144" t="inlineStr">
        <is>
          <t>3180858 IN</t>
        </is>
      </c>
      <c r="G278" s="144" t="inlineStr">
        <is>
          <t>WHITE KW</t>
        </is>
      </c>
      <c r="H278" s="144" t="n">
        <v>1331</v>
      </c>
      <c r="I278" s="144" t="inlineStr">
        <is>
          <t>COMMERCIAL</t>
        </is>
      </c>
    </row>
    <row r="279" ht="18" customHeight="1" s="7">
      <c r="A279" s="144" t="inlineStr">
        <is>
          <t xml:space="preserve">CARTER BORIS </t>
        </is>
      </c>
      <c r="B279" s="144" t="inlineStr">
        <is>
          <t>*056890690 GA</t>
        </is>
      </c>
      <c r="C279" s="144" t="inlineStr">
        <is>
          <t>ESTES</t>
        </is>
      </c>
      <c r="D279" s="144" t="n">
        <v>2293645612</v>
      </c>
      <c r="E279" s="144" t="inlineStr">
        <is>
          <t>BOX</t>
        </is>
      </c>
      <c r="F279" s="144" t="inlineStr">
        <is>
          <t>3583345 IN</t>
        </is>
      </c>
      <c r="G279" s="144" t="inlineStr">
        <is>
          <t>YELLOW IN</t>
        </is>
      </c>
      <c r="H279" s="144" t="n">
        <v>1221</v>
      </c>
      <c r="I279" s="144" t="inlineStr">
        <is>
          <t>COMMERCIAL</t>
        </is>
      </c>
    </row>
    <row r="280" ht="18" customHeight="1" s="7">
      <c r="A280" s="144" t="inlineStr">
        <is>
          <t>KHOLMAMATOV JUSURBEK</t>
        </is>
      </c>
      <c r="B280" s="144" t="inlineStr">
        <is>
          <t>480170623 NY</t>
        </is>
      </c>
      <c r="C280" s="144" t="inlineStr">
        <is>
          <t>PARS</t>
        </is>
      </c>
      <c r="D280" s="144" t="n">
        <v>9293370768</v>
      </c>
      <c r="E280" s="144" t="inlineStr">
        <is>
          <t>BOX</t>
        </is>
      </c>
      <c r="F280" s="144" t="inlineStr">
        <is>
          <t>PXA6847 OH</t>
        </is>
      </c>
      <c r="G280" s="144" t="inlineStr">
        <is>
          <t>WHITE INTER</t>
        </is>
      </c>
      <c r="H280" s="144" t="n">
        <v>1221</v>
      </c>
      <c r="I280" s="144" t="inlineStr">
        <is>
          <t>COMMERCIAL</t>
        </is>
      </c>
    </row>
    <row r="281" ht="18" customHeight="1" s="7">
      <c r="A281" s="144" t="inlineStr">
        <is>
          <t>GRADY HUGHES</t>
        </is>
      </c>
      <c r="B281" s="144" t="inlineStr">
        <is>
          <t>*049370953 GA</t>
        </is>
      </c>
      <c r="C281" s="144" t="inlineStr">
        <is>
          <t>CULLIGAN WATER</t>
        </is>
      </c>
      <c r="D281" s="144" t="n">
        <v>2293022887</v>
      </c>
      <c r="E281" s="144" t="inlineStr">
        <is>
          <t>VAN</t>
        </is>
      </c>
      <c r="F281" s="144" t="inlineStr">
        <is>
          <t>RNRQ10 FL</t>
        </is>
      </c>
      <c r="G281" s="144" t="inlineStr">
        <is>
          <t>WHITE FORD</t>
        </is>
      </c>
      <c r="H281" s="144" t="n">
        <v>2500</v>
      </c>
      <c r="I281" s="144" t="inlineStr">
        <is>
          <t xml:space="preserve">CONTRACTOR </t>
        </is>
      </c>
    </row>
    <row r="282" ht="18" customHeight="1" s="7">
      <c r="A282" s="144" t="inlineStr">
        <is>
          <t>THEODORE MCCLOUD JR</t>
        </is>
      </c>
      <c r="B282" s="144" t="inlineStr">
        <is>
          <t>M243800893460 FL</t>
        </is>
      </c>
      <c r="C282" s="144" t="inlineStr">
        <is>
          <t>ATD</t>
        </is>
      </c>
      <c r="D282" s="144" t="n">
        <v>8507592436</v>
      </c>
      <c r="E282" s="144" t="inlineStr">
        <is>
          <t>BOX</t>
        </is>
      </c>
      <c r="F282" s="144" t="inlineStr">
        <is>
          <t>RQZW01 FL</t>
        </is>
      </c>
      <c r="G282" s="144" t="inlineStr">
        <is>
          <t>WHITE HINO</t>
        </is>
      </c>
      <c r="H282" s="144" t="inlineStr">
        <is>
          <t>HOBBY SHOP</t>
        </is>
      </c>
      <c r="I282" s="144" t="inlineStr">
        <is>
          <t>COMMERCIAL</t>
        </is>
      </c>
    </row>
    <row r="283" ht="18" customHeight="1" s="7">
      <c r="A283" s="144" t="inlineStr">
        <is>
          <t>COREY SALTER</t>
        </is>
      </c>
      <c r="B283" s="144" t="inlineStr">
        <is>
          <t>7710506 AL</t>
        </is>
      </c>
      <c r="C283" s="144" t="inlineStr">
        <is>
          <t>POINT LOG</t>
        </is>
      </c>
      <c r="D283" s="144" t="n">
        <v>3346320320</v>
      </c>
      <c r="E283" s="144" t="inlineStr">
        <is>
          <t>BOX</t>
        </is>
      </c>
      <c r="F283" s="144" t="inlineStr">
        <is>
          <t>P1175776 IL</t>
        </is>
      </c>
      <c r="G283" s="144" t="inlineStr">
        <is>
          <t>WHITE FREIGHTLINER</t>
        </is>
      </c>
      <c r="H283" s="144" t="n">
        <v>1221</v>
      </c>
      <c r="I283" s="144" t="inlineStr">
        <is>
          <t>COMMERCIAL</t>
        </is>
      </c>
    </row>
    <row r="284" ht="18" customHeight="1" s="7">
      <c r="A284" s="144" t="inlineStr">
        <is>
          <t>WILLETT JOSEPH</t>
        </is>
      </c>
      <c r="B284" s="144" t="inlineStr">
        <is>
          <t>1707116942 NV</t>
        </is>
      </c>
      <c r="C284" s="144" t="inlineStr">
        <is>
          <t>MATTRANS</t>
        </is>
      </c>
      <c r="D284" s="144" t="n">
        <v>9093821507</v>
      </c>
      <c r="E284" s="144" t="inlineStr">
        <is>
          <t>BOX</t>
        </is>
      </c>
      <c r="F284" s="144" t="inlineStr">
        <is>
          <t>P1219088 IL</t>
        </is>
      </c>
      <c r="G284" s="144" t="inlineStr">
        <is>
          <t>RED FREIGHT</t>
        </is>
      </c>
      <c r="H284" s="144" t="n">
        <v>1221</v>
      </c>
      <c r="I284" s="144" t="inlineStr">
        <is>
          <t>COMMERCIAL</t>
        </is>
      </c>
    </row>
    <row r="285" ht="18" customHeight="1" s="7">
      <c r="A285" s="144" t="inlineStr">
        <is>
          <t>SINGH MANINDER</t>
        </is>
      </c>
      <c r="B285" s="144" t="inlineStr">
        <is>
          <t>9370703822 IN</t>
        </is>
      </c>
      <c r="C285" s="144" t="inlineStr">
        <is>
          <t>PAPPI TRANS</t>
        </is>
      </c>
      <c r="D285" s="144" t="n">
        <v>9179246081</v>
      </c>
      <c r="E285" s="144" t="inlineStr">
        <is>
          <t>BOX</t>
        </is>
      </c>
      <c r="F285" s="144" t="inlineStr">
        <is>
          <t>3668486 IN</t>
        </is>
      </c>
      <c r="G285" s="144" t="inlineStr">
        <is>
          <t>RED FREIGHT</t>
        </is>
      </c>
      <c r="H285" s="144" t="n">
        <v>1221</v>
      </c>
      <c r="I285" s="144" t="inlineStr">
        <is>
          <t>COMMERCIAL</t>
        </is>
      </c>
    </row>
    <row r="286" ht="18" customHeight="1" s="7">
      <c r="A286" s="144" t="inlineStr">
        <is>
          <t>ZACK DENHOM JR</t>
        </is>
      </c>
      <c r="B286" s="144" t="inlineStr">
        <is>
          <t>*055902682 GA</t>
        </is>
      </c>
      <c r="C286" s="144" t="inlineStr">
        <is>
          <t>MEDIA COM</t>
        </is>
      </c>
      <c r="D286" s="144" t="n">
        <v>8457633587</v>
      </c>
      <c r="E286" s="144" t="inlineStr">
        <is>
          <t>VAN</t>
        </is>
      </c>
      <c r="F286" s="144" t="inlineStr">
        <is>
          <t>SIK4240 GA</t>
        </is>
      </c>
      <c r="G286" s="144" t="inlineStr">
        <is>
          <t>WHITE FORD</t>
        </is>
      </c>
      <c r="H286" s="144" t="n">
        <v>3500</v>
      </c>
      <c r="I286" s="144" t="inlineStr">
        <is>
          <t xml:space="preserve">CONTRACTOR </t>
        </is>
      </c>
    </row>
    <row r="287" ht="18" customHeight="1" s="7">
      <c r="A287" s="144" t="inlineStr">
        <is>
          <t>EGAL SHIRE</t>
        </is>
      </c>
      <c r="B287" s="144" t="inlineStr">
        <is>
          <t>UD310836 OH</t>
        </is>
      </c>
      <c r="C287" s="144" t="inlineStr">
        <is>
          <t>AYMO TRUCKING</t>
        </is>
      </c>
      <c r="D287" s="144" t="n">
        <v>8598038523</v>
      </c>
      <c r="E287" s="144" t="inlineStr">
        <is>
          <t>BOX</t>
        </is>
      </c>
      <c r="F287" s="144" t="inlineStr">
        <is>
          <t>PWN3026 OH</t>
        </is>
      </c>
      <c r="G287" s="144" t="inlineStr">
        <is>
          <t>BLUE FREIGHTLINER</t>
        </is>
      </c>
      <c r="H287" s="144" t="n">
        <v>1221</v>
      </c>
      <c r="I287" s="144" t="inlineStr">
        <is>
          <t>COMMERCIAL</t>
        </is>
      </c>
    </row>
    <row r="288" ht="18" customHeight="1" s="7">
      <c r="A288" s="144" t="inlineStr">
        <is>
          <t>JAMES LAWERANCE</t>
        </is>
      </c>
      <c r="B288" s="144" t="inlineStr">
        <is>
          <t>*052771379 GA</t>
        </is>
      </c>
      <c r="C288" s="144" t="inlineStr">
        <is>
          <t>SAM SERVICE</t>
        </is>
      </c>
      <c r="D288" s="144" t="n">
        <v>8554390450</v>
      </c>
      <c r="E288" s="144" t="inlineStr">
        <is>
          <t>PU</t>
        </is>
      </c>
      <c r="F288" s="144" t="inlineStr">
        <is>
          <t>RV41681 GA</t>
        </is>
      </c>
      <c r="G288" s="144" t="inlineStr">
        <is>
          <t>WHITE CHEVY</t>
        </is>
      </c>
      <c r="H288" s="144" t="n">
        <v>3500</v>
      </c>
      <c r="I288" s="144" t="inlineStr">
        <is>
          <t xml:space="preserve">CONTRACTOR </t>
        </is>
      </c>
    </row>
    <row r="289" ht="18" customHeight="1" s="7">
      <c r="A289" s="144" t="inlineStr">
        <is>
          <t>SHEIKH ALI</t>
        </is>
      </c>
      <c r="B289" s="144" t="inlineStr">
        <is>
          <t>S939103775221 MI</t>
        </is>
      </c>
      <c r="C289" s="144" t="inlineStr">
        <is>
          <t>FITH WHEEL</t>
        </is>
      </c>
      <c r="D289" s="144" t="n">
        <v>4049090049</v>
      </c>
      <c r="E289" s="144" t="inlineStr">
        <is>
          <t>BOX</t>
        </is>
      </c>
      <c r="F289" s="144" t="inlineStr">
        <is>
          <t>C843ES GA</t>
        </is>
      </c>
      <c r="G289" s="144" t="inlineStr">
        <is>
          <t>RED FREIGHT</t>
        </is>
      </c>
      <c r="H289" s="144" t="n">
        <v>1360</v>
      </c>
      <c r="I289" s="144" t="inlineStr">
        <is>
          <t>COMMERCIAL</t>
        </is>
      </c>
    </row>
    <row r="290" ht="18" customHeight="1" s="7">
      <c r="A290" s="144" t="inlineStr">
        <is>
          <t>WILLIAM MORRIS</t>
        </is>
      </c>
      <c r="B290" s="144" t="inlineStr">
        <is>
          <t>*058463213 GA</t>
        </is>
      </c>
      <c r="C290" s="144" t="inlineStr">
        <is>
          <t>GA POWER</t>
        </is>
      </c>
      <c r="D290" s="144" t="n">
        <v>2293155051</v>
      </c>
      <c r="E290" s="144" t="inlineStr">
        <is>
          <t>PU</t>
        </is>
      </c>
      <c r="F290" s="144" t="inlineStr">
        <is>
          <t>RYD0874 GA</t>
        </is>
      </c>
      <c r="G290" s="144" t="inlineStr">
        <is>
          <t>WHITE FORD</t>
        </is>
      </c>
      <c r="H290" s="144" t="inlineStr">
        <is>
          <t>SUBSTATION</t>
        </is>
      </c>
      <c r="I290" s="144" t="inlineStr">
        <is>
          <t xml:space="preserve">CONTRACTOR </t>
        </is>
      </c>
    </row>
    <row r="291" ht="18" customHeight="1" s="7">
      <c r="A291" s="144" t="inlineStr">
        <is>
          <t>MONIQUE GRANT</t>
        </is>
      </c>
      <c r="B291" s="144" t="inlineStr">
        <is>
          <t>*056332527 GA</t>
        </is>
      </c>
      <c r="C291" s="144" t="inlineStr">
        <is>
          <t>JONES</t>
        </is>
      </c>
      <c r="D291" s="144" t="n">
        <v>2292888304</v>
      </c>
      <c r="E291" s="144" t="inlineStr">
        <is>
          <t>PU</t>
        </is>
      </c>
      <c r="F291" s="144" t="inlineStr">
        <is>
          <t>WQF564 GA</t>
        </is>
      </c>
      <c r="G291" s="144" t="inlineStr">
        <is>
          <t>WITH FORD</t>
        </is>
      </c>
      <c r="H291" s="144" t="n">
        <v>5362</v>
      </c>
      <c r="I291" s="144" t="inlineStr">
        <is>
          <t xml:space="preserve">CONTRACTOR </t>
        </is>
      </c>
    </row>
    <row r="292" ht="18" customHeight="1" s="7">
      <c r="A292" s="144" t="inlineStr">
        <is>
          <t>BOBBY DANIEL</t>
        </is>
      </c>
      <c r="B292" s="144" t="inlineStr">
        <is>
          <t>D540065700870 FL</t>
        </is>
      </c>
      <c r="C292" s="144" t="inlineStr">
        <is>
          <t>MERCER</t>
        </is>
      </c>
      <c r="D292" s="144" t="n">
        <v>3175999130</v>
      </c>
      <c r="E292" s="144" t="inlineStr">
        <is>
          <t>BOX</t>
        </is>
      </c>
      <c r="F292" s="144" t="inlineStr">
        <is>
          <t xml:space="preserve">3605560 IN </t>
        </is>
      </c>
      <c r="G292" s="144" t="inlineStr">
        <is>
          <t>WHITE KW</t>
        </is>
      </c>
      <c r="H292" s="144" t="n">
        <v>1330</v>
      </c>
      <c r="I292" s="144" t="inlineStr">
        <is>
          <t>COMMERCIAL</t>
        </is>
      </c>
    </row>
    <row r="293" ht="18" customHeight="1" s="7">
      <c r="A293" s="144" t="inlineStr">
        <is>
          <t>HATIP EMIN</t>
        </is>
      </c>
      <c r="B293" s="144" t="inlineStr">
        <is>
          <t>*052988520 GA</t>
        </is>
      </c>
      <c r="C293" s="144" t="inlineStr">
        <is>
          <t>FAST TRANSP.</t>
        </is>
      </c>
      <c r="D293" s="144" t="n">
        <v>2533948488</v>
      </c>
      <c r="E293" s="144" t="inlineStr">
        <is>
          <t>BOX</t>
        </is>
      </c>
      <c r="F293" s="144" t="inlineStr">
        <is>
          <t>C676EQ GA</t>
        </is>
      </c>
      <c r="G293" s="144" t="inlineStr">
        <is>
          <t>WHITE VOLVO</t>
        </is>
      </c>
      <c r="H293" s="144" t="n">
        <v>1221</v>
      </c>
      <c r="I293" s="144" t="inlineStr">
        <is>
          <t>COMMERCIAL</t>
        </is>
      </c>
    </row>
    <row r="294" ht="18" customHeight="1" s="7">
      <c r="A294" s="144" t="inlineStr">
        <is>
          <t>ABDISAMAD ABD</t>
        </is>
      </c>
      <c r="B294" s="144" t="inlineStr">
        <is>
          <t>E74831374 AZ</t>
        </is>
      </c>
      <c r="C294" s="144" t="inlineStr">
        <is>
          <t>J&amp;E</t>
        </is>
      </c>
      <c r="D294" s="144" t="n">
        <v>3124830597</v>
      </c>
      <c r="E294" s="144" t="inlineStr">
        <is>
          <t>BOX</t>
        </is>
      </c>
      <c r="F294" s="144" t="inlineStr">
        <is>
          <t>P989759 IL</t>
        </is>
      </c>
      <c r="G294" s="144" t="inlineStr">
        <is>
          <t>WHITE FL</t>
        </is>
      </c>
      <c r="H294" s="144" t="n">
        <v>1221</v>
      </c>
      <c r="I294" s="144" t="inlineStr">
        <is>
          <t>COMMERCIAL</t>
        </is>
      </c>
    </row>
    <row r="295" ht="18" customHeight="1" s="7">
      <c r="A295" s="144" t="inlineStr">
        <is>
          <t xml:space="preserve">MARK GONZALEZ </t>
        </is>
      </c>
      <c r="B295" s="144" t="inlineStr">
        <is>
          <t>G64595217604632 FL</t>
        </is>
      </c>
      <c r="C295" s="144" t="inlineStr">
        <is>
          <t>MAA</t>
        </is>
      </c>
      <c r="D295" s="144" t="n">
        <v>5513278051</v>
      </c>
      <c r="E295" s="144" t="inlineStr">
        <is>
          <t>BOX</t>
        </is>
      </c>
      <c r="F295" s="144" t="inlineStr">
        <is>
          <t>AX3315 NS</t>
        </is>
      </c>
      <c r="G295" s="144" t="inlineStr">
        <is>
          <t>BLUE FL</t>
        </is>
      </c>
      <c r="H295" s="144" t="n">
        <v>1221</v>
      </c>
      <c r="I295" s="144" t="inlineStr">
        <is>
          <t>COMMERCIAL</t>
        </is>
      </c>
    </row>
    <row r="296" ht="18" customHeight="1" s="7">
      <c r="A296" s="144" t="inlineStr">
        <is>
          <t>MORAN-AGUIRRE LUIS</t>
        </is>
      </c>
      <c r="B296" s="144" t="inlineStr">
        <is>
          <t>D05866901 AZ</t>
        </is>
      </c>
      <c r="C296" s="144" t="inlineStr">
        <is>
          <t>LANDSTAR</t>
        </is>
      </c>
      <c r="D296" s="144" t="n">
        <v>5203769220</v>
      </c>
      <c r="E296" s="144" t="inlineStr">
        <is>
          <t>BOX</t>
        </is>
      </c>
      <c r="F296" s="144" t="inlineStr">
        <is>
          <t>3673374 IN</t>
        </is>
      </c>
      <c r="G296" s="144" t="inlineStr">
        <is>
          <t>WHITE INTER</t>
        </is>
      </c>
      <c r="H296" s="144" t="n">
        <v>1221</v>
      </c>
      <c r="I296" s="144" t="inlineStr">
        <is>
          <t>COMMERCIAL</t>
        </is>
      </c>
    </row>
    <row r="297" ht="18" customHeight="1" s="7">
      <c r="A297" s="144" t="inlineStr">
        <is>
          <t>SINGH HARPRAL</t>
        </is>
      </c>
      <c r="B297" s="144" t="inlineStr">
        <is>
          <t>W1626817 CA</t>
        </is>
      </c>
      <c r="C297" s="144" t="inlineStr">
        <is>
          <t>SAS</t>
        </is>
      </c>
      <c r="D297" s="144" t="n">
        <v>2093056138</v>
      </c>
      <c r="E297" s="144" t="inlineStr">
        <is>
          <t>BOX</t>
        </is>
      </c>
      <c r="F297" s="144" t="inlineStr">
        <is>
          <t>ZP19540 CA</t>
        </is>
      </c>
      <c r="G297" s="144" t="inlineStr">
        <is>
          <t>RED FREIGHT</t>
        </is>
      </c>
      <c r="H297" s="144" t="n">
        <v>1221</v>
      </c>
      <c r="I297" s="144" t="inlineStr">
        <is>
          <t>COMMERCIAL</t>
        </is>
      </c>
    </row>
    <row r="298" ht="18" customHeight="1" s="7">
      <c r="A298" s="144" t="inlineStr">
        <is>
          <t>MASON FOSTER</t>
        </is>
      </c>
      <c r="B298" s="144" t="inlineStr">
        <is>
          <t>*060173401 GA</t>
        </is>
      </c>
      <c r="C298" s="144" t="inlineStr">
        <is>
          <t>TB&amp;J</t>
        </is>
      </c>
      <c r="D298" s="144" t="n">
        <v>2299206115</v>
      </c>
      <c r="E298" s="144" t="inlineStr">
        <is>
          <t>PU</t>
        </is>
      </c>
      <c r="F298" s="144" t="inlineStr">
        <is>
          <t>DBQ8072 GA</t>
        </is>
      </c>
      <c r="G298" s="144" t="inlineStr">
        <is>
          <t>WHITE FORD</t>
        </is>
      </c>
      <c r="H298" s="144" t="n">
        <v>2500</v>
      </c>
      <c r="I298" s="144" t="inlineStr">
        <is>
          <t xml:space="preserve">CONTRACTOR </t>
        </is>
      </c>
    </row>
    <row r="299" ht="18" customHeight="1" s="7">
      <c r="A299" s="144" t="inlineStr">
        <is>
          <t>SHANNON MOSELY</t>
        </is>
      </c>
      <c r="B299" s="144" t="inlineStr">
        <is>
          <t>*060567797 GA</t>
        </is>
      </c>
      <c r="C299" s="144" t="inlineStr">
        <is>
          <t>DHL</t>
        </is>
      </c>
      <c r="D299" s="144" t="n">
        <v>2292141751</v>
      </c>
      <c r="E299" s="144" t="inlineStr">
        <is>
          <t>VAN</t>
        </is>
      </c>
      <c r="F299" s="144" t="inlineStr">
        <is>
          <t>QREZ31 FL</t>
        </is>
      </c>
      <c r="G299" s="144" t="inlineStr">
        <is>
          <t>YELLOW FORD</t>
        </is>
      </c>
      <c r="H299" s="144" t="n">
        <v>1221</v>
      </c>
      <c r="I299" s="144" t="inlineStr">
        <is>
          <t xml:space="preserve">CONTRACTOR </t>
        </is>
      </c>
    </row>
    <row r="300" ht="18" customHeight="1" s="7">
      <c r="A300" s="144" t="inlineStr">
        <is>
          <t>ANDREW FIELDS</t>
        </is>
      </c>
      <c r="B300" s="144" t="inlineStr">
        <is>
          <t>*052724381 GA</t>
        </is>
      </c>
      <c r="C300" s="144" t="inlineStr">
        <is>
          <t>CENTRAL TRANS</t>
        </is>
      </c>
      <c r="D300" s="144" t="n">
        <v>2294022619</v>
      </c>
      <c r="E300" s="144" t="inlineStr">
        <is>
          <t>BOX</t>
        </is>
      </c>
      <c r="F300" s="144" t="inlineStr">
        <is>
          <t>2790334 IN</t>
        </is>
      </c>
      <c r="G300" s="144" t="inlineStr">
        <is>
          <t>YELLOW PETER</t>
        </is>
      </c>
      <c r="H300" s="144" t="n">
        <v>7360</v>
      </c>
      <c r="I300" s="144" t="inlineStr">
        <is>
          <t>COMMERCIAL</t>
        </is>
      </c>
    </row>
    <row r="301" ht="18" customHeight="1" s="7">
      <c r="A301" s="144" t="inlineStr">
        <is>
          <t>SHAUN RAULERSON</t>
        </is>
      </c>
      <c r="B301" s="144" t="inlineStr">
        <is>
          <t>*055543358 GA</t>
        </is>
      </c>
      <c r="C301" s="144" t="inlineStr">
        <is>
          <t>SHUAN TOWING</t>
        </is>
      </c>
      <c r="D301" s="144" t="n">
        <v>2293447446</v>
      </c>
      <c r="E301" s="144" t="inlineStr">
        <is>
          <t>FLAT</t>
        </is>
      </c>
      <c r="F301" s="144" t="inlineStr">
        <is>
          <t>DFK841 GA</t>
        </is>
      </c>
      <c r="G301" s="144" t="inlineStr">
        <is>
          <t>WHITE FORD</t>
        </is>
      </c>
      <c r="H301" s="144" t="n">
        <v>7000</v>
      </c>
      <c r="I301" s="144" t="inlineStr">
        <is>
          <t xml:space="preserve">CONTRACTOR </t>
        </is>
      </c>
    </row>
    <row r="302" ht="18" customHeight="1" s="7">
      <c r="A302" s="144" t="inlineStr">
        <is>
          <t>GEORGE LASHELY</t>
        </is>
      </c>
      <c r="B302" s="144" t="inlineStr">
        <is>
          <t>*053143719 GA</t>
        </is>
      </c>
      <c r="C302" s="144" t="inlineStr">
        <is>
          <t>BETTS</t>
        </is>
      </c>
      <c r="D302" s="144" t="n">
        <v>2294564161</v>
      </c>
      <c r="E302" s="144" t="inlineStr">
        <is>
          <t>PU</t>
        </is>
      </c>
      <c r="F302" s="144" t="inlineStr">
        <is>
          <t>EZA662 GA</t>
        </is>
      </c>
      <c r="G302" s="144" t="inlineStr">
        <is>
          <t>WHITE DODGE</t>
        </is>
      </c>
      <c r="H302" s="144" t="inlineStr">
        <is>
          <t>SUBSTATION</t>
        </is>
      </c>
      <c r="I302" s="144" t="inlineStr">
        <is>
          <t xml:space="preserve">CONTRACTOR </t>
        </is>
      </c>
    </row>
    <row r="303" ht="18" customHeight="1" s="7">
      <c r="A303" s="144" t="inlineStr">
        <is>
          <t>ROLLINS BENJAMIN</t>
        </is>
      </c>
      <c r="B303" s="144" t="inlineStr">
        <is>
          <t>*059710072 GA</t>
        </is>
      </c>
      <c r="C303" s="144" t="inlineStr">
        <is>
          <t>ALBANY AIR</t>
        </is>
      </c>
      <c r="D303" s="144" t="n">
        <v>2294360341</v>
      </c>
      <c r="E303" s="144" t="inlineStr">
        <is>
          <t>PU</t>
        </is>
      </c>
      <c r="F303" s="144" t="inlineStr">
        <is>
          <t>CWB7219 GA</t>
        </is>
      </c>
      <c r="G303" s="144" t="inlineStr">
        <is>
          <t>WHITE FORD</t>
        </is>
      </c>
      <c r="H303" s="144" t="inlineStr">
        <is>
          <t>GYM</t>
        </is>
      </c>
      <c r="I303" s="144" t="inlineStr">
        <is>
          <t xml:space="preserve">CONTRACTOR </t>
        </is>
      </c>
    </row>
    <row r="304" ht="18" customHeight="1" s="7">
      <c r="A304" s="144" t="inlineStr">
        <is>
          <t>JASON MULFORD</t>
        </is>
      </c>
      <c r="B304" s="144" t="inlineStr">
        <is>
          <t>*049075038 GA</t>
        </is>
      </c>
      <c r="C304" s="144" t="inlineStr">
        <is>
          <t>SHOE BOX</t>
        </is>
      </c>
      <c r="D304" s="144" t="n">
        <v>2293953629</v>
      </c>
      <c r="E304" s="144" t="inlineStr">
        <is>
          <t>BOX</t>
        </is>
      </c>
      <c r="F304" s="144" t="inlineStr">
        <is>
          <t>ELL355 GA</t>
        </is>
      </c>
      <c r="G304" s="144" t="inlineStr">
        <is>
          <t>BLACK FREIGHT</t>
        </is>
      </c>
      <c r="H304" s="144" t="n">
        <v>1221</v>
      </c>
      <c r="I304" s="144" t="inlineStr">
        <is>
          <t>COMMERCIAL</t>
        </is>
      </c>
    </row>
    <row r="305" ht="18" customHeight="1" s="7">
      <c r="A305" s="144" t="inlineStr">
        <is>
          <t>MICHEAL GREEN</t>
        </is>
      </c>
      <c r="B305" s="144" t="inlineStr">
        <is>
          <t>*051299819 GA</t>
        </is>
      </c>
      <c r="C305" s="144" t="inlineStr">
        <is>
          <t>VESTIS</t>
        </is>
      </c>
      <c r="D305" s="144" t="n">
        <v>2294133446</v>
      </c>
      <c r="E305" s="144" t="inlineStr">
        <is>
          <t>VAN</t>
        </is>
      </c>
      <c r="F305" s="144" t="inlineStr">
        <is>
          <t>GXHU96 FL</t>
        </is>
      </c>
      <c r="G305" s="144" t="inlineStr">
        <is>
          <t>WHITE FORD</t>
        </is>
      </c>
      <c r="H305" s="144" t="n">
        <v>7500</v>
      </c>
      <c r="I305" s="144" t="inlineStr">
        <is>
          <t xml:space="preserve">CONTRACTOR </t>
        </is>
      </c>
    </row>
    <row r="306" ht="18" customHeight="1" s="7">
      <c r="A306" s="144" t="inlineStr">
        <is>
          <t>DOUGLAS VANN</t>
        </is>
      </c>
      <c r="B306" s="144" t="inlineStr">
        <is>
          <t>*030398290 GA</t>
        </is>
      </c>
      <c r="C306" s="144" t="inlineStr">
        <is>
          <t>RECYCLE DIV</t>
        </is>
      </c>
      <c r="D306" s="144" t="n">
        <v>7065053197</v>
      </c>
      <c r="E306" s="144" t="inlineStr">
        <is>
          <t>FLAT</t>
        </is>
      </c>
      <c r="F306" s="144" t="inlineStr">
        <is>
          <t>P102CM GA</t>
        </is>
      </c>
      <c r="G306" s="144" t="inlineStr">
        <is>
          <t>WHITE INTER</t>
        </is>
      </c>
      <c r="H306" s="144" t="n">
        <v>7500</v>
      </c>
      <c r="I306" s="144" t="inlineStr">
        <is>
          <t>COMMERCIAL</t>
        </is>
      </c>
    </row>
    <row r="307" ht="18" customHeight="1" s="7">
      <c r="A307" s="144" t="inlineStr">
        <is>
          <t>JOHN MASON</t>
        </is>
      </c>
      <c r="B307" s="144" t="inlineStr">
        <is>
          <t>*059082563 GA</t>
        </is>
      </c>
      <c r="C307" s="144" t="inlineStr">
        <is>
          <t>CONCRETE ENTERP</t>
        </is>
      </c>
      <c r="D307" s="144" t="n">
        <v>2298881904</v>
      </c>
      <c r="E307" s="144" t="inlineStr">
        <is>
          <t>PU</t>
        </is>
      </c>
      <c r="F307" s="144" t="inlineStr">
        <is>
          <t>815KJC GA</t>
        </is>
      </c>
      <c r="G307" s="144" t="inlineStr">
        <is>
          <t>WHITE FORD</t>
        </is>
      </c>
      <c r="H307" s="144" t="inlineStr">
        <is>
          <t xml:space="preserve">GOLF </t>
        </is>
      </c>
      <c r="I307" s="144" t="inlineStr">
        <is>
          <t xml:space="preserve">CONTRACTOR </t>
        </is>
      </c>
    </row>
    <row r="308" ht="18" customHeight="1" s="7">
      <c r="A308" s="144" t="inlineStr">
        <is>
          <t>NOBLITT STEVE</t>
        </is>
      </c>
      <c r="B308" s="144" t="inlineStr">
        <is>
          <t>N143781924510 FL</t>
        </is>
      </c>
      <c r="C308" s="144" t="inlineStr">
        <is>
          <t>GATEWAY</t>
        </is>
      </c>
      <c r="D308" s="144" t="n">
        <v>9043884799</v>
      </c>
      <c r="E308" s="144" t="inlineStr">
        <is>
          <t>PU</t>
        </is>
      </c>
      <c r="F308" s="144" t="inlineStr">
        <is>
          <t>IRPE48 FL</t>
        </is>
      </c>
      <c r="G308" s="144" t="inlineStr">
        <is>
          <t>WHITE CHEVY</t>
        </is>
      </c>
      <c r="H308" s="144" t="n">
        <v>7108</v>
      </c>
      <c r="I308" s="144" t="inlineStr">
        <is>
          <t xml:space="preserve">CONTRACTOR </t>
        </is>
      </c>
    </row>
    <row r="309" ht="18" customHeight="1" s="7">
      <c r="A309" s="144" t="inlineStr">
        <is>
          <t>ROBINSON JEFFERY</t>
        </is>
      </c>
      <c r="B309" s="144" t="inlineStr">
        <is>
          <t>R152422662591 FL</t>
        </is>
      </c>
      <c r="C309" s="144" t="inlineStr">
        <is>
          <t>JBR TRANS</t>
        </is>
      </c>
      <c r="D309" s="144" t="n">
        <v>8503215621</v>
      </c>
      <c r="E309" s="144" t="inlineStr">
        <is>
          <t>FLAT</t>
        </is>
      </c>
      <c r="F309" s="144" t="inlineStr">
        <is>
          <t>XC651A FL</t>
        </is>
      </c>
      <c r="G309" s="144" t="inlineStr">
        <is>
          <t>BLACK FREIGHT</t>
        </is>
      </c>
      <c r="H309" s="144" t="n">
        <v>1221</v>
      </c>
      <c r="I309" s="144" t="inlineStr">
        <is>
          <t>COMMERCIAL</t>
        </is>
      </c>
    </row>
    <row r="310" ht="18" customHeight="1" s="7">
      <c r="A310" s="144" t="inlineStr">
        <is>
          <t>DONALD HATCHER</t>
        </is>
      </c>
      <c r="B310" s="144" t="inlineStr">
        <is>
          <t>7028766 AL</t>
        </is>
      </c>
      <c r="C310" s="144" t="inlineStr">
        <is>
          <t>MERIDA TRANS</t>
        </is>
      </c>
      <c r="D310" s="144" t="n">
        <v>2053329172</v>
      </c>
      <c r="E310" s="144" t="inlineStr">
        <is>
          <t>BOX</t>
        </is>
      </c>
      <c r="F310" s="144" t="inlineStr">
        <is>
          <t>1195172 AL</t>
        </is>
      </c>
      <c r="G310" s="144" t="inlineStr">
        <is>
          <t>WHITE KENWORTH</t>
        </is>
      </c>
      <c r="H310" s="144" t="n">
        <v>1330</v>
      </c>
      <c r="I310" s="144" t="inlineStr">
        <is>
          <t>COMMERCIAL</t>
        </is>
      </c>
    </row>
    <row r="311" ht="18" customHeight="1" s="7">
      <c r="A311" s="144" t="inlineStr">
        <is>
          <t>ROBERT HORNE JR</t>
        </is>
      </c>
      <c r="B311" s="144" t="inlineStr">
        <is>
          <t>*050984331 GA</t>
        </is>
      </c>
      <c r="C311" s="144" t="inlineStr">
        <is>
          <t>SAM SERVICE</t>
        </is>
      </c>
      <c r="D311" s="144" t="n">
        <v>8554390450</v>
      </c>
      <c r="E311" s="144" t="inlineStr">
        <is>
          <t>PU</t>
        </is>
      </c>
      <c r="F311" s="144" t="inlineStr">
        <is>
          <t>SAE3847 GA</t>
        </is>
      </c>
      <c r="G311" s="144" t="inlineStr">
        <is>
          <t>WHITE FORD</t>
        </is>
      </c>
      <c r="H311" s="144" t="n">
        <v>7450</v>
      </c>
      <c r="I311" s="144" t="inlineStr">
        <is>
          <t xml:space="preserve">CONTRACTOR </t>
        </is>
      </c>
    </row>
    <row r="312" ht="18" customHeight="1" s="7">
      <c r="A312" s="144" t="inlineStr">
        <is>
          <t>NICHOLAS BLAIR</t>
        </is>
      </c>
      <c r="B312" s="144" t="inlineStr">
        <is>
          <t>*058775901 GA</t>
        </is>
      </c>
      <c r="C312" s="144" t="inlineStr">
        <is>
          <t>CONCRETE ENTERP</t>
        </is>
      </c>
      <c r="D312" s="144" t="n">
        <v>2298881904</v>
      </c>
      <c r="E312" s="144" t="inlineStr">
        <is>
          <t>PU</t>
        </is>
      </c>
      <c r="F312" s="144" t="inlineStr">
        <is>
          <t>SCP1630 GA</t>
        </is>
      </c>
      <c r="G312" s="144" t="inlineStr">
        <is>
          <t>BLACK FORD</t>
        </is>
      </c>
      <c r="H312" s="144" t="n">
        <v>7450</v>
      </c>
      <c r="I312" s="144" t="inlineStr">
        <is>
          <t xml:space="preserve">CONTRACTOR </t>
        </is>
      </c>
    </row>
    <row r="313" ht="18" customHeight="1" s="7">
      <c r="A313" s="144" t="inlineStr">
        <is>
          <t>KELLI DEVEGTER</t>
        </is>
      </c>
      <c r="B313" s="144" t="inlineStr">
        <is>
          <t>*055543069 GA</t>
        </is>
      </c>
      <c r="C313" s="144" t="inlineStr">
        <is>
          <t>MBW</t>
        </is>
      </c>
      <c r="D313" s="144" t="n">
        <v>9122243683</v>
      </c>
      <c r="E313" s="144" t="inlineStr">
        <is>
          <t>PU</t>
        </is>
      </c>
      <c r="F313" s="144" t="inlineStr">
        <is>
          <t>CQN1624 GA</t>
        </is>
      </c>
      <c r="G313" s="144" t="inlineStr">
        <is>
          <t>WHITE CHEVY</t>
        </is>
      </c>
      <c r="H313" s="144" t="n">
        <v>3500</v>
      </c>
      <c r="I313" s="144" t="inlineStr">
        <is>
          <t xml:space="preserve">CONTRACTOR </t>
        </is>
      </c>
    </row>
    <row r="314" ht="18" customHeight="1" s="7">
      <c r="A314" s="144" t="inlineStr">
        <is>
          <t>BASS JOHN</t>
        </is>
      </c>
      <c r="B314" s="144" t="inlineStr">
        <is>
          <t>*055948603 GA</t>
        </is>
      </c>
      <c r="C314" s="144" t="inlineStr">
        <is>
          <t>H2O</t>
        </is>
      </c>
      <c r="D314" s="144" t="n">
        <v>2298541733</v>
      </c>
      <c r="E314" s="144" t="inlineStr">
        <is>
          <t>PU</t>
        </is>
      </c>
      <c r="F314" s="144" t="inlineStr">
        <is>
          <t>SHP0458 GA</t>
        </is>
      </c>
      <c r="G314" s="144" t="inlineStr">
        <is>
          <t>WHITE DODGE</t>
        </is>
      </c>
      <c r="H314" s="144" t="n">
        <v>7520</v>
      </c>
      <c r="I314" s="144" t="inlineStr">
        <is>
          <t xml:space="preserve">CONTRACTOR </t>
        </is>
      </c>
    </row>
    <row r="315" ht="18" customHeight="1" s="7">
      <c r="A315" s="144" t="inlineStr">
        <is>
          <t>ANTRAVIOUS PARKS</t>
        </is>
      </c>
      <c r="B315" s="144" t="inlineStr">
        <is>
          <t>*057890349 GA</t>
        </is>
      </c>
      <c r="C315" s="144" t="inlineStr">
        <is>
          <t>BUFFALO ROCK</t>
        </is>
      </c>
      <c r="D315" s="144" t="n">
        <v>2294855829</v>
      </c>
      <c r="E315" s="144" t="inlineStr">
        <is>
          <t>VAN</t>
        </is>
      </c>
      <c r="F315" s="144" t="inlineStr">
        <is>
          <t>TAN1054 GA</t>
        </is>
      </c>
      <c r="G315" s="144" t="inlineStr">
        <is>
          <t>WHITE CHEVY</t>
        </is>
      </c>
      <c r="H315" s="144" t="n">
        <v>7500</v>
      </c>
      <c r="I315" s="144" t="inlineStr">
        <is>
          <t xml:space="preserve">CONTRACTOR </t>
        </is>
      </c>
    </row>
    <row r="316" ht="18" customHeight="1" s="7">
      <c r="A316" s="144" t="inlineStr">
        <is>
          <t xml:space="preserve">ZACHARY FELTMAN </t>
        </is>
      </c>
      <c r="B316" s="144" t="inlineStr">
        <is>
          <t>*057940022 GA</t>
        </is>
      </c>
      <c r="C316" s="144" t="inlineStr">
        <is>
          <t>CAPITAL CUTTERS</t>
        </is>
      </c>
      <c r="D316" s="144" t="n">
        <v>4048617214</v>
      </c>
      <c r="E316" s="144" t="inlineStr">
        <is>
          <t>PU</t>
        </is>
      </c>
      <c r="F316" s="144" t="inlineStr">
        <is>
          <t>RYM6325 GA</t>
        </is>
      </c>
      <c r="G316" s="144" t="inlineStr">
        <is>
          <t>WHITE DODGE</t>
        </is>
      </c>
      <c r="H316" s="144" t="n">
        <v>2200</v>
      </c>
      <c r="I316" s="144" t="inlineStr">
        <is>
          <t xml:space="preserve">CONTRACTOR </t>
        </is>
      </c>
    </row>
    <row r="317" ht="18" customHeight="1" s="7">
      <c r="A317" s="144" t="inlineStr">
        <is>
          <t xml:space="preserve">NAILOVIC BAHRIJA </t>
        </is>
      </c>
      <c r="B317" s="144" t="inlineStr">
        <is>
          <t>N00420639 KY</t>
        </is>
      </c>
      <c r="C317" s="144" t="inlineStr">
        <is>
          <t xml:space="preserve">ATLAS  </t>
        </is>
      </c>
      <c r="D317" s="144" t="n">
        <v>2703033846</v>
      </c>
      <c r="E317" s="144" t="inlineStr">
        <is>
          <t>BOX</t>
        </is>
      </c>
      <c r="F317" s="144" t="inlineStr">
        <is>
          <t>008121A KY</t>
        </is>
      </c>
      <c r="G317" s="144" t="inlineStr">
        <is>
          <t>RED VOLVO</t>
        </is>
      </c>
      <c r="H317" s="144" t="n">
        <v>1221</v>
      </c>
      <c r="I317" s="144" t="inlineStr">
        <is>
          <t>COMMERCIAL</t>
        </is>
      </c>
    </row>
    <row r="318" ht="18" customHeight="1" s="7">
      <c r="A318" s="144" t="inlineStr">
        <is>
          <t>CORREA TIRADO</t>
        </is>
      </c>
      <c r="B318" s="144" t="inlineStr">
        <is>
          <t>C636010972610 FL</t>
        </is>
      </c>
      <c r="C318" s="144" t="inlineStr">
        <is>
          <t>VGT</t>
        </is>
      </c>
      <c r="D318" s="144" t="n">
        <v>4074846385</v>
      </c>
      <c r="E318" s="144" t="inlineStr">
        <is>
          <t>BOX</t>
        </is>
      </c>
      <c r="F318" s="144" t="inlineStr">
        <is>
          <t>FW9071 IA</t>
        </is>
      </c>
      <c r="G318" s="144" t="inlineStr">
        <is>
          <t>WHITE VOLVO</t>
        </is>
      </c>
      <c r="H318" s="144" t="n">
        <v>1221</v>
      </c>
      <c r="I318" s="144" t="inlineStr">
        <is>
          <t>COMMERCIAL</t>
        </is>
      </c>
    </row>
    <row r="319" ht="18" customHeight="1" s="7">
      <c r="A319" s="144" t="inlineStr">
        <is>
          <t>TURMAN MYRON</t>
        </is>
      </c>
      <c r="B319" s="144" t="inlineStr">
        <is>
          <t>2310777519 IN</t>
        </is>
      </c>
      <c r="C319" s="144" t="inlineStr">
        <is>
          <t>GTB FREIGHT</t>
        </is>
      </c>
      <c r="D319" s="144" t="n">
        <v>8122617848</v>
      </c>
      <c r="E319" s="144" t="inlineStr">
        <is>
          <t>BOX</t>
        </is>
      </c>
      <c r="F319" s="144" t="inlineStr">
        <is>
          <t>3043324 IN</t>
        </is>
      </c>
      <c r="G319" s="144" t="inlineStr">
        <is>
          <t>WHITE FREIGHTLINER</t>
        </is>
      </c>
      <c r="H319" s="144" t="n">
        <v>1221</v>
      </c>
      <c r="I319" s="144" t="inlineStr">
        <is>
          <t>COMMERCIAL</t>
        </is>
      </c>
    </row>
    <row r="320" ht="18" customHeight="1" s="7">
      <c r="A320" s="144" t="inlineStr">
        <is>
          <t>SIMIC MARKO</t>
        </is>
      </c>
      <c r="B320" s="144" t="inlineStr">
        <is>
          <t>S19171875 KY</t>
        </is>
      </c>
      <c r="C320" s="144" t="inlineStr">
        <is>
          <t>SIMIC LOGISTICS</t>
        </is>
      </c>
      <c r="D320" s="144" t="n">
        <v>2707928977</v>
      </c>
      <c r="E320" s="144" t="inlineStr">
        <is>
          <t>BOX</t>
        </is>
      </c>
      <c r="F320" s="144" t="inlineStr">
        <is>
          <t>A94150 KY</t>
        </is>
      </c>
      <c r="G320" s="144" t="inlineStr">
        <is>
          <t>BLUE VOLVO</t>
        </is>
      </c>
      <c r="H320" s="144" t="n">
        <v>1221</v>
      </c>
      <c r="I320" s="144" t="inlineStr">
        <is>
          <t>COMMERCIAL</t>
        </is>
      </c>
    </row>
    <row r="321" ht="18" customHeight="1" s="7">
      <c r="A321" s="144" t="inlineStr">
        <is>
          <t>PARKER JAMES</t>
        </is>
      </c>
      <c r="B321" s="144" t="inlineStr">
        <is>
          <t>P626459843240 FL</t>
        </is>
      </c>
      <c r="C321" s="144" t="inlineStr">
        <is>
          <t>L&amp;L</t>
        </is>
      </c>
      <c r="D321" s="144" t="n">
        <v>8502510410</v>
      </c>
      <c r="E321" s="144" t="inlineStr">
        <is>
          <t>PU</t>
        </is>
      </c>
      <c r="F321" s="144" t="inlineStr">
        <is>
          <t>Y31XIZ FL</t>
        </is>
      </c>
      <c r="G321" s="144" t="inlineStr">
        <is>
          <t>WHITE FORD</t>
        </is>
      </c>
      <c r="H321" s="144" t="n">
        <v>5651</v>
      </c>
      <c r="I321" s="144" t="inlineStr">
        <is>
          <t xml:space="preserve">CONTRACTOR </t>
        </is>
      </c>
    </row>
    <row r="322" ht="18" customHeight="1" s="7">
      <c r="A322" s="144" t="inlineStr">
        <is>
          <t xml:space="preserve">JOSUE RONALD </t>
        </is>
      </c>
      <c r="B322" s="144" t="inlineStr">
        <is>
          <t>J200720833490 FL</t>
        </is>
      </c>
      <c r="C322" s="144" t="inlineStr">
        <is>
          <t>BRIWAY</t>
        </is>
      </c>
      <c r="D322" s="144" t="n">
        <v>6897779492</v>
      </c>
      <c r="E322" s="144" t="inlineStr">
        <is>
          <t>BOX</t>
        </is>
      </c>
      <c r="F322" s="144" t="inlineStr">
        <is>
          <t>P1262491 IL</t>
        </is>
      </c>
      <c r="G322" s="144" t="inlineStr">
        <is>
          <t>RED FREIGHT</t>
        </is>
      </c>
      <c r="H322" s="144" t="n">
        <v>1221</v>
      </c>
      <c r="I322" s="144" t="inlineStr">
        <is>
          <t>COMMERCIAL</t>
        </is>
      </c>
    </row>
    <row r="323" ht="18" customHeight="1" s="7">
      <c r="A323" s="144" t="inlineStr">
        <is>
          <t>RICKEY GILBERT</t>
        </is>
      </c>
      <c r="B323" s="144" t="inlineStr">
        <is>
          <t>*053304068 GA</t>
        </is>
      </c>
      <c r="C323" s="144" t="inlineStr">
        <is>
          <t>XPO LOGISTICS</t>
        </is>
      </c>
      <c r="D323" s="144" t="n">
        <v>2293642871</v>
      </c>
      <c r="E323" s="144" t="inlineStr">
        <is>
          <t>BOX</t>
        </is>
      </c>
      <c r="F323" s="144" t="inlineStr">
        <is>
          <t>3556939 IN</t>
        </is>
      </c>
      <c r="G323" s="144" t="inlineStr">
        <is>
          <t>WHITE FREIGHTLINER</t>
        </is>
      </c>
      <c r="H323" s="144" t="n">
        <v>1221</v>
      </c>
      <c r="I323" s="144" t="inlineStr">
        <is>
          <t>COMMERCIAL</t>
        </is>
      </c>
    </row>
    <row r="324" ht="18" customHeight="1" s="7">
      <c r="A324" s="144" t="inlineStr">
        <is>
          <t>DANNIE FRISBEE</t>
        </is>
      </c>
      <c r="B324" s="144" t="inlineStr">
        <is>
          <t>*039861976 GA</t>
        </is>
      </c>
      <c r="C324" s="144" t="inlineStr">
        <is>
          <t>ALBANY AIR</t>
        </is>
      </c>
      <c r="D324" s="144" t="n">
        <v>2294497055</v>
      </c>
      <c r="E324" s="144" t="inlineStr">
        <is>
          <t>PU</t>
        </is>
      </c>
      <c r="F324" s="144" t="inlineStr">
        <is>
          <t>CRW4035 GA</t>
        </is>
      </c>
      <c r="G324" s="144" t="inlineStr">
        <is>
          <t>WHITE FORD</t>
        </is>
      </c>
      <c r="H324" s="144" t="n">
        <v>7450</v>
      </c>
      <c r="I324" s="144" t="inlineStr">
        <is>
          <t>COMMERCIAL</t>
        </is>
      </c>
    </row>
    <row r="325" ht="18" customHeight="1" s="7">
      <c r="A325" s="144" t="inlineStr">
        <is>
          <t>JONES MATTHEW</t>
        </is>
      </c>
      <c r="B325" s="144" t="inlineStr">
        <is>
          <t>*054007515 GA</t>
        </is>
      </c>
      <c r="C325" s="144" t="inlineStr">
        <is>
          <t>A WEST</t>
        </is>
      </c>
      <c r="D325" s="144" t="n">
        <v>2298888347</v>
      </c>
      <c r="E325" s="144" t="inlineStr">
        <is>
          <t>PU</t>
        </is>
      </c>
      <c r="F325" s="144" t="inlineStr">
        <is>
          <t>CKM5827 GA</t>
        </is>
      </c>
      <c r="G325" s="144" t="inlineStr">
        <is>
          <t>WHT CHEVY</t>
        </is>
      </c>
      <c r="H325" s="144" t="n">
        <v>1330</v>
      </c>
      <c r="I325" s="144" t="inlineStr">
        <is>
          <t xml:space="preserve">CONTRACTOR </t>
        </is>
      </c>
    </row>
    <row r="326" ht="18" customHeight="1" s="7">
      <c r="A326" s="144" t="inlineStr">
        <is>
          <t>BANNERMAN DAVID</t>
        </is>
      </c>
      <c r="B326" s="144" t="inlineStr">
        <is>
          <t>*000005708196 NC</t>
        </is>
      </c>
      <c r="C326" s="144" t="inlineStr">
        <is>
          <t>RLM LOGIS</t>
        </is>
      </c>
      <c r="D326" s="144" t="n">
        <v>9105405027</v>
      </c>
      <c r="E326" s="144" t="inlineStr">
        <is>
          <t>FLAT</t>
        </is>
      </c>
      <c r="F326" s="144" t="inlineStr">
        <is>
          <t>NP8114 NC</t>
        </is>
      </c>
      <c r="G326" s="144" t="inlineStr">
        <is>
          <t>GREEN FREIGHTLINER</t>
        </is>
      </c>
      <c r="H326" s="144" t="n">
        <v>1221</v>
      </c>
      <c r="I326" s="144" t="inlineStr">
        <is>
          <t>COMMERCIAL</t>
        </is>
      </c>
    </row>
    <row r="327" ht="18" customHeight="1" s="7">
      <c r="A327" s="144" t="inlineStr">
        <is>
          <t>CIVAL DANIEL</t>
        </is>
      </c>
      <c r="B327" s="144" t="inlineStr">
        <is>
          <t>C1401C0903480 FL</t>
        </is>
      </c>
      <c r="C327" s="144" t="inlineStr">
        <is>
          <t>GOV FORWARD</t>
        </is>
      </c>
      <c r="D327" s="144" t="n">
        <v>7548019352</v>
      </c>
      <c r="E327" s="144" t="inlineStr">
        <is>
          <t>BOX</t>
        </is>
      </c>
      <c r="F327" s="144" t="inlineStr">
        <is>
          <t>P1157453 IL</t>
        </is>
      </c>
      <c r="G327" s="144" t="inlineStr">
        <is>
          <t>RED FREIGHT</t>
        </is>
      </c>
      <c r="H327" s="144" t="n">
        <v>1221</v>
      </c>
      <c r="I327" s="144" t="inlineStr">
        <is>
          <t>COMMERCIAL</t>
        </is>
      </c>
    </row>
    <row r="328" ht="18" customHeight="1" s="7">
      <c r="A328" s="144" t="inlineStr">
        <is>
          <t>MATTHEW CONNELL</t>
        </is>
      </c>
      <c r="B328" s="144" t="inlineStr">
        <is>
          <t>*056613285 GA</t>
        </is>
      </c>
      <c r="C328" s="144" t="inlineStr">
        <is>
          <t>CONCRETE ENTERP</t>
        </is>
      </c>
      <c r="D328" s="144" t="n">
        <v>2298881904</v>
      </c>
      <c r="E328" s="144" t="inlineStr">
        <is>
          <t>FLAT</t>
        </is>
      </c>
      <c r="F328" s="144" t="inlineStr">
        <is>
          <t>P817CD GA</t>
        </is>
      </c>
      <c r="G328" s="144" t="inlineStr">
        <is>
          <t>GREEN KENWORTH</t>
        </is>
      </c>
      <c r="H328" s="144" t="inlineStr">
        <is>
          <t>K-9</t>
        </is>
      </c>
      <c r="I328" s="144" t="inlineStr">
        <is>
          <t>COMMERCIAL</t>
        </is>
      </c>
    </row>
    <row r="329" ht="18" customHeight="1" s="7">
      <c r="A329" s="144" t="inlineStr">
        <is>
          <t>SCHAFFER MICHAEL</t>
        </is>
      </c>
      <c r="B329" s="144" t="inlineStr">
        <is>
          <t>S16055864330 IL</t>
        </is>
      </c>
      <c r="C329" s="144" t="inlineStr">
        <is>
          <t>DD&amp;S EXPRESS</t>
        </is>
      </c>
      <c r="D329" s="144" t="n">
        <v>6185808064</v>
      </c>
      <c r="E329" s="144" t="inlineStr">
        <is>
          <t>FLAT</t>
        </is>
      </c>
      <c r="F329" s="144" t="inlineStr">
        <is>
          <t>3392096 IN</t>
        </is>
      </c>
      <c r="G329" s="144" t="inlineStr">
        <is>
          <t>BLACK PETERBILT</t>
        </is>
      </c>
      <c r="H329" s="144" t="n">
        <v>1221</v>
      </c>
      <c r="I329" s="144" t="inlineStr">
        <is>
          <t>COMMERCIAL</t>
        </is>
      </c>
    </row>
    <row r="330" ht="18" customHeight="1" s="7">
      <c r="A330" s="144" t="inlineStr">
        <is>
          <t>ZAMFIR PETRE</t>
        </is>
      </c>
      <c r="B330" s="144" t="inlineStr">
        <is>
          <t>26839214 PA</t>
        </is>
      </c>
      <c r="C330" s="144" t="inlineStr">
        <is>
          <t>EDOS</t>
        </is>
      </c>
      <c r="D330" s="144" t="n">
        <v>2675659336</v>
      </c>
      <c r="E330" s="144" t="inlineStr">
        <is>
          <t>BOX</t>
        </is>
      </c>
      <c r="F330" s="144" t="inlineStr">
        <is>
          <t>AG13624 PA</t>
        </is>
      </c>
      <c r="G330" s="144" t="inlineStr">
        <is>
          <t>GRAY VOLVO</t>
        </is>
      </c>
      <c r="H330" s="144" t="n">
        <v>1221</v>
      </c>
      <c r="I330" s="144" t="inlineStr">
        <is>
          <t>COMMERCIAL</t>
        </is>
      </c>
    </row>
    <row r="331" ht="18" customHeight="1" s="7">
      <c r="A331" s="144" t="inlineStr">
        <is>
          <t>ANTHONY BROWN</t>
        </is>
      </c>
      <c r="B331" s="144" t="inlineStr">
        <is>
          <t>*057036387 GA</t>
        </is>
      </c>
      <c r="C331" s="144" t="inlineStr">
        <is>
          <t>CSI</t>
        </is>
      </c>
      <c r="D331" s="144" t="n">
        <v>2294461401</v>
      </c>
      <c r="E331" s="144" t="inlineStr">
        <is>
          <t>DUMP</t>
        </is>
      </c>
      <c r="F331" s="144" t="inlineStr">
        <is>
          <t>P2953B GA</t>
        </is>
      </c>
      <c r="G331" s="144" t="inlineStr">
        <is>
          <t>WHITE FREIGHTLINER</t>
        </is>
      </c>
      <c r="H331" s="144" t="n">
        <v>1221</v>
      </c>
      <c r="I331" s="144" t="inlineStr">
        <is>
          <t>COMMERCIAL</t>
        </is>
      </c>
    </row>
    <row r="332" ht="18" customHeight="1" s="7">
      <c r="A332" s="144" t="inlineStr">
        <is>
          <t>ANTONIO WHITEHEAD</t>
        </is>
      </c>
      <c r="B332" s="144" t="inlineStr">
        <is>
          <t>*054306027 GA</t>
        </is>
      </c>
      <c r="C332" s="144" t="inlineStr">
        <is>
          <t>EXPRESS DISPOSAL</t>
        </is>
      </c>
      <c r="D332" s="144" t="n">
        <v>2293524300</v>
      </c>
      <c r="E332" s="144" t="inlineStr">
        <is>
          <t>DUMP</t>
        </is>
      </c>
      <c r="F332" s="144" t="inlineStr">
        <is>
          <t>EKI031 GA</t>
        </is>
      </c>
      <c r="G332" s="144" t="inlineStr">
        <is>
          <t>WHITE INTER</t>
        </is>
      </c>
      <c r="H332" s="144" t="n">
        <v>7360</v>
      </c>
      <c r="I332" s="144" t="inlineStr">
        <is>
          <t>COMMERCIAL</t>
        </is>
      </c>
    </row>
    <row r="333" ht="18" customHeight="1" s="7">
      <c r="A333" s="144" t="inlineStr">
        <is>
          <t>SCHWERIN JERRY</t>
        </is>
      </c>
      <c r="B333" s="144" t="inlineStr">
        <is>
          <t>*000047715805 NC</t>
        </is>
      </c>
      <c r="C333" s="144" t="inlineStr">
        <is>
          <t>AM HOTSHOT</t>
        </is>
      </c>
      <c r="D333" s="144" t="n">
        <v>7174143354</v>
      </c>
      <c r="E333" s="144" t="inlineStr">
        <is>
          <t>BOX</t>
        </is>
      </c>
      <c r="F333" s="144" t="inlineStr">
        <is>
          <t>P1241790 IL</t>
        </is>
      </c>
      <c r="G333" s="144" t="inlineStr">
        <is>
          <t>RED INTER</t>
        </is>
      </c>
      <c r="H333" s="144" t="n">
        <v>1221</v>
      </c>
      <c r="I333" s="144" t="inlineStr">
        <is>
          <t>COMMERCIAL</t>
        </is>
      </c>
    </row>
    <row r="334" ht="18" customHeight="1" s="7">
      <c r="A334" s="144" t="inlineStr">
        <is>
          <t>DALE WILLIS</t>
        </is>
      </c>
      <c r="B334" s="144" t="inlineStr">
        <is>
          <t>*050827768 GA</t>
        </is>
      </c>
      <c r="C334" s="144" t="inlineStr">
        <is>
          <t>EVERON</t>
        </is>
      </c>
      <c r="D334" s="144" t="n">
        <v>4705574710</v>
      </c>
      <c r="E334" s="144" t="inlineStr">
        <is>
          <t>PU</t>
        </is>
      </c>
      <c r="F334" s="144" t="inlineStr">
        <is>
          <t>CTE5745 GA</t>
        </is>
      </c>
      <c r="G334" s="144" t="inlineStr">
        <is>
          <t>WHITE FORD</t>
        </is>
      </c>
      <c r="H334" s="144" t="n">
        <v>7500</v>
      </c>
      <c r="I334" s="144" t="inlineStr">
        <is>
          <t xml:space="preserve">CONTRACTOR </t>
        </is>
      </c>
    </row>
    <row r="335" ht="18" customHeight="1" s="7">
      <c r="A335" s="144" t="inlineStr">
        <is>
          <t>NATHANIEL ERGLE</t>
        </is>
      </c>
      <c r="B335" s="144" t="inlineStr">
        <is>
          <t>*049229070 GA</t>
        </is>
      </c>
      <c r="C335" s="144" t="inlineStr">
        <is>
          <t>EVERON</t>
        </is>
      </c>
      <c r="D335" s="144" t="n">
        <v>4046973052</v>
      </c>
      <c r="E335" s="144" t="inlineStr">
        <is>
          <t>PU</t>
        </is>
      </c>
      <c r="F335" s="144" t="inlineStr">
        <is>
          <t>CTE5754 GA</t>
        </is>
      </c>
      <c r="G335" s="144" t="inlineStr">
        <is>
          <t>WHITE FORD</t>
        </is>
      </c>
      <c r="H335" s="144" t="n">
        <v>7500</v>
      </c>
      <c r="I335" s="144" t="inlineStr">
        <is>
          <t xml:space="preserve">CONTRACTOR </t>
        </is>
      </c>
    </row>
    <row r="336" ht="18" customHeight="1" s="7">
      <c r="A336" s="144" t="inlineStr">
        <is>
          <t>WILLIAM BENTON</t>
        </is>
      </c>
      <c r="B336" s="144" t="inlineStr">
        <is>
          <t>*049838707 GA</t>
        </is>
      </c>
      <c r="C336" s="144" t="inlineStr">
        <is>
          <t>BATES</t>
        </is>
      </c>
      <c r="D336" s="144" t="n">
        <v>2294365338</v>
      </c>
      <c r="E336" s="144" t="inlineStr">
        <is>
          <t>TANK</t>
        </is>
      </c>
      <c r="F336" s="144" t="inlineStr">
        <is>
          <t>YBA282 GA</t>
        </is>
      </c>
      <c r="G336" s="144" t="inlineStr">
        <is>
          <t>WHITE FREIGHTLINER</t>
        </is>
      </c>
      <c r="H336" s="144" t="n">
        <v>1221</v>
      </c>
      <c r="I336" s="144" t="inlineStr">
        <is>
          <t>COMMERCIAL</t>
        </is>
      </c>
    </row>
    <row r="337" ht="18" customHeight="1" s="7">
      <c r="A337" s="144" t="inlineStr">
        <is>
          <t>THOMAS MOORE</t>
        </is>
      </c>
      <c r="B337" s="144" t="inlineStr">
        <is>
          <t>11445298 TX</t>
        </is>
      </c>
      <c r="C337" s="144" t="inlineStr">
        <is>
          <t>ROAD EAGLE TRANS</t>
        </is>
      </c>
      <c r="D337" s="144" t="n">
        <v>7133058252</v>
      </c>
      <c r="E337" s="144" t="inlineStr">
        <is>
          <t>PU</t>
        </is>
      </c>
      <c r="F337" s="144" t="inlineStr">
        <is>
          <t>VHJ0324 TX</t>
        </is>
      </c>
      <c r="G337" s="144" t="inlineStr">
        <is>
          <t xml:space="preserve">BLUE FORD </t>
        </is>
      </c>
      <c r="H337" s="144" t="n">
        <v>1221</v>
      </c>
      <c r="I337" s="144" t="inlineStr">
        <is>
          <t xml:space="preserve">CONTRACTOR </t>
        </is>
      </c>
    </row>
    <row r="338" ht="18" customHeight="1" s="7">
      <c r="A338" s="144" t="inlineStr">
        <is>
          <t>WRAY MICHAEL JR</t>
        </is>
      </c>
      <c r="B338" s="144" t="inlineStr">
        <is>
          <t>C094138001 MO</t>
        </is>
      </c>
      <c r="C338" s="144" t="inlineStr">
        <is>
          <t>WRIGHT</t>
        </is>
      </c>
      <c r="D338" s="144" t="n">
        <v>4172175586</v>
      </c>
      <c r="E338" s="144" t="inlineStr">
        <is>
          <t>BOX</t>
        </is>
      </c>
      <c r="F338" s="144" t="inlineStr">
        <is>
          <t>23KROY MO</t>
        </is>
      </c>
      <c r="G338" s="144" t="inlineStr">
        <is>
          <t>WHIITE FREIGHT</t>
        </is>
      </c>
      <c r="H338" s="144" t="n">
        <v>1221</v>
      </c>
      <c r="I338" s="144" t="inlineStr">
        <is>
          <t>COMMERCIAL</t>
        </is>
      </c>
    </row>
    <row r="339" ht="18" customHeight="1" s="7">
      <c r="A339" s="144" t="inlineStr">
        <is>
          <t xml:space="preserve">JOHNTHAN SCHULER </t>
        </is>
      </c>
      <c r="B339" s="144" t="inlineStr">
        <is>
          <t>*054288573 GA</t>
        </is>
      </c>
      <c r="C339" s="144" t="inlineStr">
        <is>
          <t>MCNAUGHTON MCK</t>
        </is>
      </c>
      <c r="D339" s="144" t="n">
        <v>2293433333</v>
      </c>
      <c r="E339" s="144" t="inlineStr">
        <is>
          <t>PU</t>
        </is>
      </c>
      <c r="F339" s="144" t="inlineStr">
        <is>
          <t>EHK512 GA</t>
        </is>
      </c>
      <c r="G339" s="144" t="inlineStr">
        <is>
          <t xml:space="preserve"> WHITE RAM</t>
        </is>
      </c>
      <c r="H339" s="144" t="n">
        <v>1331</v>
      </c>
      <c r="I339" s="144" t="inlineStr">
        <is>
          <t xml:space="preserve">CONTRACTOR </t>
        </is>
      </c>
    </row>
    <row r="340" ht="18" customHeight="1" s="7">
      <c r="A340" s="144" t="inlineStr">
        <is>
          <t>KENNETH MOSELY</t>
        </is>
      </c>
      <c r="B340" s="144" t="inlineStr">
        <is>
          <t>*057696465 GA</t>
        </is>
      </c>
      <c r="C340" s="144" t="inlineStr">
        <is>
          <t>BEVERAGE SOUTH</t>
        </is>
      </c>
      <c r="D340" s="144" t="n">
        <v>2296039019</v>
      </c>
      <c r="E340" s="144" t="inlineStr">
        <is>
          <t>BOX</t>
        </is>
      </c>
      <c r="F340" s="144" t="inlineStr">
        <is>
          <t>EGK332 GA</t>
        </is>
      </c>
      <c r="G340" s="144" t="inlineStr">
        <is>
          <t>WHITE FL</t>
        </is>
      </c>
      <c r="H340" s="144" t="n">
        <v>7501</v>
      </c>
      <c r="I340" s="144" t="inlineStr">
        <is>
          <t>COMMERCIAL</t>
        </is>
      </c>
    </row>
    <row r="341" ht="18" customHeight="1" s="7">
      <c r="A341" s="144" t="inlineStr">
        <is>
          <t>RICHARD MORRISON</t>
        </is>
      </c>
      <c r="B341" s="144" t="inlineStr">
        <is>
          <t>M625747664080 FL</t>
        </is>
      </c>
      <c r="C341" s="144" t="inlineStr">
        <is>
          <t>FEDEX</t>
        </is>
      </c>
      <c r="D341" s="144" t="n">
        <v>8002385350</v>
      </c>
      <c r="E341" s="144" t="inlineStr">
        <is>
          <t>BOX</t>
        </is>
      </c>
      <c r="F341" s="144" t="inlineStr">
        <is>
          <t>C898HT TN</t>
        </is>
      </c>
      <c r="G341" s="144" t="inlineStr">
        <is>
          <t>WHITE FL</t>
        </is>
      </c>
      <c r="H341" s="144" t="inlineStr">
        <is>
          <t>BW</t>
        </is>
      </c>
      <c r="I341" s="144" t="inlineStr">
        <is>
          <t>COMMERCIAL</t>
        </is>
      </c>
    </row>
    <row r="342" ht="18" customHeight="1" s="7">
      <c r="A342" s="144" t="inlineStr">
        <is>
          <t>KARL WIGGINS</t>
        </is>
      </c>
      <c r="B342" s="144" t="inlineStr">
        <is>
          <t>*054699588 GA</t>
        </is>
      </c>
      <c r="C342" s="144" t="inlineStr">
        <is>
          <t xml:space="preserve">SOUTHEASTERN </t>
        </is>
      </c>
      <c r="D342" s="144" t="n">
        <v>2293957037</v>
      </c>
      <c r="E342" s="144" t="inlineStr">
        <is>
          <t>BOX</t>
        </is>
      </c>
      <c r="F342" s="144" t="inlineStr">
        <is>
          <t>3182368 IN</t>
        </is>
      </c>
      <c r="G342" s="144" t="inlineStr">
        <is>
          <t>WHITE FL</t>
        </is>
      </c>
      <c r="H342" s="144" t="n">
        <v>7501</v>
      </c>
      <c r="I342" s="144" t="inlineStr">
        <is>
          <t>COMMERCIAL</t>
        </is>
      </c>
    </row>
    <row r="343" ht="18" customHeight="1" s="7">
      <c r="A343" s="144" t="inlineStr">
        <is>
          <t>WYATT HURST</t>
        </is>
      </c>
      <c r="B343" s="144" t="inlineStr">
        <is>
          <t>*060738449 GA</t>
        </is>
      </c>
      <c r="C343" s="144" t="inlineStr">
        <is>
          <t>LADE</t>
        </is>
      </c>
      <c r="D343" s="144" t="n">
        <v>2297859550</v>
      </c>
      <c r="E343" s="144" t="inlineStr">
        <is>
          <t>PU</t>
        </is>
      </c>
      <c r="F343" s="144" t="inlineStr">
        <is>
          <t>SEJ8117 GA</t>
        </is>
      </c>
      <c r="G343" s="144" t="inlineStr">
        <is>
          <t>WHITE DODGE</t>
        </is>
      </c>
      <c r="H343" s="144" t="n">
        <v>1251</v>
      </c>
      <c r="I343" s="144" t="inlineStr">
        <is>
          <t xml:space="preserve">CONTRACTOR </t>
        </is>
      </c>
    </row>
    <row r="344" ht="18" customHeight="1" s="7">
      <c r="A344" s="144" t="inlineStr">
        <is>
          <t xml:space="preserve">MORTON JEFFERY </t>
        </is>
      </c>
      <c r="B344" s="144" t="inlineStr">
        <is>
          <t>U04210606001 MO</t>
        </is>
      </c>
      <c r="C344" s="144" t="inlineStr">
        <is>
          <t xml:space="preserve">JD TRUCKING </t>
        </is>
      </c>
      <c r="D344" s="144" t="n">
        <v>5735782548</v>
      </c>
      <c r="E344" s="144" t="inlineStr">
        <is>
          <t>FLAT</t>
        </is>
      </c>
      <c r="F344" s="144" t="inlineStr">
        <is>
          <t>53A50B MO</t>
        </is>
      </c>
      <c r="G344" s="144" t="inlineStr">
        <is>
          <t>RED PETERBILT</t>
        </is>
      </c>
      <c r="H344" s="144" t="n">
        <v>1221</v>
      </c>
      <c r="I344" s="144" t="inlineStr">
        <is>
          <t>COMMERCIAL</t>
        </is>
      </c>
    </row>
    <row r="345" ht="18" customHeight="1" s="7">
      <c r="A345" s="144" t="inlineStr">
        <is>
          <t>JOHN JARMON</t>
        </is>
      </c>
      <c r="B345" s="144" t="inlineStr">
        <is>
          <t>*000004978683 NC</t>
        </is>
      </c>
      <c r="C345" s="144" t="inlineStr">
        <is>
          <t>JJJ</t>
        </is>
      </c>
      <c r="D345" s="144" t="n">
        <v>9105407341</v>
      </c>
      <c r="E345" s="144" t="inlineStr">
        <is>
          <t>FLAT</t>
        </is>
      </c>
      <c r="F345" s="144" t="inlineStr">
        <is>
          <t>ML7005 NC</t>
        </is>
      </c>
      <c r="G345" s="144" t="inlineStr">
        <is>
          <t>WHITE PETERBILT</t>
        </is>
      </c>
      <c r="H345" s="144" t="n">
        <v>1221</v>
      </c>
      <c r="I345" s="144" t="inlineStr">
        <is>
          <t>COMMERCIAL</t>
        </is>
      </c>
    </row>
    <row r="346" ht="18" customHeight="1" s="7">
      <c r="A346" s="144" t="inlineStr">
        <is>
          <t>JOHN FLOURNOY</t>
        </is>
      </c>
      <c r="B346" s="144" t="inlineStr">
        <is>
          <t>*050830142 GA</t>
        </is>
      </c>
      <c r="C346" s="144" t="inlineStr">
        <is>
          <t>GRIFFIN</t>
        </is>
      </c>
      <c r="D346" s="144" t="n">
        <v>2298946751</v>
      </c>
      <c r="E346" s="144" t="inlineStr">
        <is>
          <t>FLAT</t>
        </is>
      </c>
      <c r="F346" s="144" t="inlineStr">
        <is>
          <t>DQR871 GA</t>
        </is>
      </c>
      <c r="G346" s="144" t="inlineStr">
        <is>
          <t>WHITE PETERBILT</t>
        </is>
      </c>
      <c r="H346" s="144" t="n">
        <v>3700</v>
      </c>
      <c r="I346" s="144" t="inlineStr">
        <is>
          <t>COMMERCIAL</t>
        </is>
      </c>
    </row>
    <row r="347" ht="18" customHeight="1" s="7">
      <c r="A347" s="144" t="inlineStr">
        <is>
          <t>DANIEL EDWARD</t>
        </is>
      </c>
      <c r="B347" s="144" t="inlineStr">
        <is>
          <t>*0000235556291 NC</t>
        </is>
      </c>
      <c r="C347" s="144" t="inlineStr">
        <is>
          <t>JB HUNT</t>
        </is>
      </c>
      <c r="D347" s="144" t="n">
        <v>7043801434</v>
      </c>
      <c r="E347" s="144" t="inlineStr">
        <is>
          <t>BOX</t>
        </is>
      </c>
      <c r="F347" s="144" t="inlineStr">
        <is>
          <t>357671 IN</t>
        </is>
      </c>
      <c r="G347" s="144" t="inlineStr">
        <is>
          <t>WHITE IN</t>
        </is>
      </c>
      <c r="H347" s="144" t="n">
        <v>1221</v>
      </c>
      <c r="I347" s="144" t="inlineStr">
        <is>
          <t>COMMERCIAL</t>
        </is>
      </c>
    </row>
    <row r="348" ht="18" customHeight="1" s="7">
      <c r="A348" s="144" t="inlineStr">
        <is>
          <t>SCOTT ERNE</t>
        </is>
      </c>
      <c r="B348" s="144" t="inlineStr">
        <is>
          <t>*054286684 GA</t>
        </is>
      </c>
      <c r="C348" s="144" t="inlineStr">
        <is>
          <t>ESTES</t>
        </is>
      </c>
      <c r="D348" s="144" t="n">
        <v>2292918111</v>
      </c>
      <c r="E348" s="144" t="inlineStr">
        <is>
          <t>BOX</t>
        </is>
      </c>
      <c r="F348" s="144" t="inlineStr">
        <is>
          <t>3586642 IN</t>
        </is>
      </c>
      <c r="G348" s="144" t="inlineStr">
        <is>
          <t>YELLOW KENWORTH</t>
        </is>
      </c>
      <c r="H348" s="144" t="n">
        <v>1221</v>
      </c>
      <c r="I348" s="144" t="inlineStr">
        <is>
          <t>COMMERCIAL</t>
        </is>
      </c>
    </row>
    <row r="349" ht="18" customHeight="1" s="7">
      <c r="A349" s="144" t="inlineStr">
        <is>
          <t xml:space="preserve">HURON ROBINSON </t>
        </is>
      </c>
      <c r="B349" s="144" t="inlineStr">
        <is>
          <t>*050986177 GA</t>
        </is>
      </c>
      <c r="C349" s="144" t="inlineStr">
        <is>
          <t>LANDSTAR</t>
        </is>
      </c>
      <c r="D349" s="144" t="n">
        <v>2295915011</v>
      </c>
      <c r="E349" s="144" t="inlineStr">
        <is>
          <t>BOX</t>
        </is>
      </c>
      <c r="F349" s="144" t="inlineStr">
        <is>
          <t>3484168 IN</t>
        </is>
      </c>
      <c r="G349" s="144" t="inlineStr">
        <is>
          <t>WHITE FL</t>
        </is>
      </c>
      <c r="H349" s="144" t="n">
        <v>1221</v>
      </c>
      <c r="I349" s="144" t="inlineStr">
        <is>
          <t>COMMERCIAL</t>
        </is>
      </c>
    </row>
    <row r="350" ht="18" customHeight="1" s="7">
      <c r="A350" s="144" t="inlineStr">
        <is>
          <t>KEITH POSEY</t>
        </is>
      </c>
      <c r="B350" s="144" t="inlineStr">
        <is>
          <t>*059462633 GA</t>
        </is>
      </c>
      <c r="C350" s="144" t="inlineStr">
        <is>
          <t>ART SIGN</t>
        </is>
      </c>
      <c r="D350" s="144" t="n">
        <v>2298834044</v>
      </c>
      <c r="E350" s="144" t="inlineStr">
        <is>
          <t>PU</t>
        </is>
      </c>
      <c r="F350" s="144" t="inlineStr">
        <is>
          <t xml:space="preserve">DXL397 GA </t>
        </is>
      </c>
      <c r="G350" s="144" t="inlineStr">
        <is>
          <t>WHITE FL</t>
        </is>
      </c>
      <c r="H350" s="144" t="n">
        <v>7500</v>
      </c>
      <c r="I350" s="144" t="inlineStr">
        <is>
          <t>COMMERCIAL</t>
        </is>
      </c>
    </row>
    <row r="351" ht="18" customHeight="1" s="7">
      <c r="A351" s="144" t="inlineStr">
        <is>
          <t>MANUEL GOMEZ</t>
        </is>
      </c>
      <c r="B351" s="144" t="inlineStr">
        <is>
          <t>*0707071267 GA</t>
        </is>
      </c>
      <c r="C351" s="144" t="inlineStr">
        <is>
          <t>UNITED MACHINERY</t>
        </is>
      </c>
      <c r="D351" s="144" t="n">
        <v>2299778643</v>
      </c>
      <c r="E351" s="144" t="inlineStr">
        <is>
          <t>PU</t>
        </is>
      </c>
      <c r="F351" s="144" t="inlineStr">
        <is>
          <t>SDV5746 GA</t>
        </is>
      </c>
      <c r="G351" s="144" t="inlineStr">
        <is>
          <t>WHITE GMC</t>
        </is>
      </c>
      <c r="H351" s="144" t="inlineStr">
        <is>
          <t>KENNELS</t>
        </is>
      </c>
      <c r="I351" s="144" t="inlineStr">
        <is>
          <t xml:space="preserve">CONTRACTOR </t>
        </is>
      </c>
    </row>
    <row r="352" ht="18" customHeight="1" s="7">
      <c r="A352" s="144" t="inlineStr">
        <is>
          <t>MACKIC ELDAN</t>
        </is>
      </c>
      <c r="B352" s="144" t="inlineStr">
        <is>
          <t>33914560 PA</t>
        </is>
      </c>
      <c r="C352" s="144" t="inlineStr">
        <is>
          <t>EDOS</t>
        </is>
      </c>
      <c r="D352" s="144" t="n">
        <v>8015743481</v>
      </c>
      <c r="E352" s="144" t="inlineStr">
        <is>
          <t>BOX</t>
        </is>
      </c>
      <c r="F352" s="144" t="inlineStr">
        <is>
          <t>AH40499 PA</t>
        </is>
      </c>
      <c r="G352" s="144" t="inlineStr">
        <is>
          <t>WHITE FL</t>
        </is>
      </c>
      <c r="H352" s="144" t="n">
        <v>1221</v>
      </c>
      <c r="I352" s="144" t="inlineStr">
        <is>
          <t xml:space="preserve">CONTRACTOR </t>
        </is>
      </c>
    </row>
    <row r="353" ht="18" customHeight="1" s="7">
      <c r="A353" s="144" t="inlineStr">
        <is>
          <t>JAMES BROWN</t>
        </is>
      </c>
      <c r="B353" s="144" t="inlineStr">
        <is>
          <t>*060145716 GA</t>
        </is>
      </c>
      <c r="C353" s="144" t="inlineStr">
        <is>
          <t>JB HUNT</t>
        </is>
      </c>
      <c r="D353" s="144" t="n">
        <v>2543931651</v>
      </c>
      <c r="E353" s="144" t="inlineStr">
        <is>
          <t>BOX</t>
        </is>
      </c>
      <c r="F353" s="144" t="inlineStr">
        <is>
          <t>3476228 IN</t>
        </is>
      </c>
      <c r="G353" s="144" t="inlineStr">
        <is>
          <t>WHITE INTER</t>
        </is>
      </c>
      <c r="H353" s="144" t="n">
        <v>5651</v>
      </c>
      <c r="I353" s="144" t="inlineStr">
        <is>
          <t>COMMERCIAL</t>
        </is>
      </c>
    </row>
    <row r="354" ht="18" customHeight="1" s="7">
      <c r="A354" s="144" t="inlineStr">
        <is>
          <t xml:space="preserve">ASATOORIANS EDWARD </t>
        </is>
      </c>
      <c r="B354" s="144" t="inlineStr">
        <is>
          <t>A6491997 CA</t>
        </is>
      </c>
      <c r="C354" s="144" t="inlineStr">
        <is>
          <t>API EXPRESS</t>
        </is>
      </c>
      <c r="D354" s="144" t="n">
        <v>7479770066</v>
      </c>
      <c r="E354" s="144" t="inlineStr">
        <is>
          <t>BOX</t>
        </is>
      </c>
      <c r="F354" s="144" t="inlineStr">
        <is>
          <t>P1243417 IL</t>
        </is>
      </c>
      <c r="G354" s="144" t="inlineStr">
        <is>
          <t>WHITE FREIGHTLINER</t>
        </is>
      </c>
      <c r="H354" s="144" t="n">
        <v>1221</v>
      </c>
      <c r="I354" s="144" t="inlineStr">
        <is>
          <t>COMMERCIAL</t>
        </is>
      </c>
    </row>
    <row r="355" ht="18" customHeight="1" s="7">
      <c r="A355" s="144" t="inlineStr">
        <is>
          <t>MORRIS KEVIN</t>
        </is>
      </c>
      <c r="B355" s="144" t="inlineStr">
        <is>
          <t>947911355 AR</t>
        </is>
      </c>
      <c r="C355" s="144" t="inlineStr">
        <is>
          <t>SAFEWAY</t>
        </is>
      </c>
      <c r="D355" s="144" t="n">
        <v>4795670355</v>
      </c>
      <c r="E355" s="144" t="inlineStr">
        <is>
          <t>FLAT</t>
        </is>
      </c>
      <c r="F355" s="144" t="inlineStr">
        <is>
          <t>37KT1D MO</t>
        </is>
      </c>
      <c r="G355" s="144" t="inlineStr">
        <is>
          <t>BLACK FREIGHT</t>
        </is>
      </c>
      <c r="H355" s="144" t="n">
        <v>1221</v>
      </c>
      <c r="I355" s="144" t="inlineStr">
        <is>
          <t>COMMERCIAL</t>
        </is>
      </c>
    </row>
    <row r="356" ht="18" customHeight="1" s="7">
      <c r="A356" s="144" t="inlineStr">
        <is>
          <t>RYAN DOTTA</t>
        </is>
      </c>
      <c r="B356" s="144" t="inlineStr">
        <is>
          <t>*054414745 GA</t>
        </is>
      </c>
      <c r="C356" s="144" t="inlineStr">
        <is>
          <t>JIM BOYD</t>
        </is>
      </c>
      <c r="D356" s="144" t="n">
        <v>2294461401</v>
      </c>
      <c r="E356" s="144" t="inlineStr">
        <is>
          <t>BOX</t>
        </is>
      </c>
      <c r="F356" s="144" t="inlineStr">
        <is>
          <t>P993CP GA</t>
        </is>
      </c>
      <c r="G356" s="144" t="inlineStr">
        <is>
          <t>WHITE KENWORTH</t>
        </is>
      </c>
      <c r="H356" s="144" t="n">
        <v>1330</v>
      </c>
      <c r="I356" s="144" t="inlineStr">
        <is>
          <t>COMMERCIAL</t>
        </is>
      </c>
    </row>
    <row r="357" ht="18" customHeight="1" s="7">
      <c r="A357" s="144" t="inlineStr">
        <is>
          <t>DAKOTA PARSONS</t>
        </is>
      </c>
      <c r="B357" s="144" t="inlineStr">
        <is>
          <t>*057045583 GA</t>
        </is>
      </c>
      <c r="C357" s="144" t="inlineStr">
        <is>
          <t>INDUSTRIAL MANFAC</t>
        </is>
      </c>
      <c r="D357" s="144" t="n">
        <v>2295666805</v>
      </c>
      <c r="E357" s="144" t="inlineStr">
        <is>
          <t>PU</t>
        </is>
      </c>
      <c r="F357" s="144" t="inlineStr">
        <is>
          <t>TGG5910 GA</t>
        </is>
      </c>
      <c r="G357" s="144" t="inlineStr">
        <is>
          <t>BLACK FORD</t>
        </is>
      </c>
      <c r="H357" s="144" t="n">
        <v>2200</v>
      </c>
      <c r="I357" s="144" t="inlineStr">
        <is>
          <t xml:space="preserve">CONTRACTOR </t>
        </is>
      </c>
    </row>
    <row r="358" ht="18" customHeight="1" s="7">
      <c r="A358" s="144" t="inlineStr">
        <is>
          <t>ALAN CAGLE</t>
        </is>
      </c>
      <c r="B358" s="144" t="inlineStr">
        <is>
          <t>*051561549 GA</t>
        </is>
      </c>
      <c r="C358" s="144" t="inlineStr">
        <is>
          <t>ARBON</t>
        </is>
      </c>
      <c r="D358" s="144" t="n">
        <v>18003577260</v>
      </c>
      <c r="E358" s="144" t="inlineStr">
        <is>
          <t>PU</t>
        </is>
      </c>
      <c r="F358" s="144" t="inlineStr">
        <is>
          <t>TFJ6392 GA</t>
        </is>
      </c>
      <c r="G358" s="144" t="inlineStr">
        <is>
          <t>WHITE GMC</t>
        </is>
      </c>
      <c r="H358" s="144" t="n">
        <v>2400</v>
      </c>
      <c r="I358" s="144" t="inlineStr">
        <is>
          <t xml:space="preserve">CONTRACTOR </t>
        </is>
      </c>
    </row>
    <row r="359" ht="18" customHeight="1" s="7">
      <c r="A359" s="144" t="inlineStr">
        <is>
          <t>MARK FLETCHER</t>
        </is>
      </c>
      <c r="B359" s="144" t="inlineStr">
        <is>
          <t>*055844377 GA</t>
        </is>
      </c>
      <c r="C359" s="144" t="inlineStr">
        <is>
          <t>ADVENT</t>
        </is>
      </c>
      <c r="D359" s="144" t="n">
        <v>2294397418</v>
      </c>
      <c r="E359" s="144" t="inlineStr">
        <is>
          <t>BOX</t>
        </is>
      </c>
      <c r="F359" s="144" t="inlineStr">
        <is>
          <t>RVI4842 GA</t>
        </is>
      </c>
      <c r="G359" s="144" t="inlineStr">
        <is>
          <t>WHITE ISUZU</t>
        </is>
      </c>
      <c r="H359" s="144" t="n">
        <v>3700</v>
      </c>
      <c r="I359" s="144" t="inlineStr">
        <is>
          <t>COMMERCIAL</t>
        </is>
      </c>
    </row>
    <row r="360" ht="18" customHeight="1" s="7">
      <c r="A360" s="144" t="inlineStr">
        <is>
          <t>DEPTULA ERIC</t>
        </is>
      </c>
      <c r="B360" s="144" t="inlineStr">
        <is>
          <t>D1342047732208 WI</t>
        </is>
      </c>
      <c r="C360" s="144" t="inlineStr">
        <is>
          <t>TTI</t>
        </is>
      </c>
      <c r="D360" s="144" t="n">
        <v>7153233251</v>
      </c>
      <c r="E360" s="144" t="inlineStr">
        <is>
          <t>FLAT</t>
        </is>
      </c>
      <c r="F360" s="144" t="inlineStr">
        <is>
          <t>12667Z WI</t>
        </is>
      </c>
      <c r="G360" s="144" t="inlineStr">
        <is>
          <t>BLACK KENWORTH</t>
        </is>
      </c>
      <c r="H360" s="144" t="n">
        <v>1221</v>
      </c>
      <c r="I360" s="144" t="inlineStr">
        <is>
          <t>COMMERCIAL</t>
        </is>
      </c>
    </row>
    <row r="361" ht="18" customHeight="1" s="7">
      <c r="A361" s="144" t="inlineStr">
        <is>
          <t>ANDERSON CHARLES</t>
        </is>
      </c>
      <c r="B361" s="144" t="inlineStr">
        <is>
          <t>A536145703040 FL</t>
        </is>
      </c>
      <c r="C361" s="144" t="inlineStr">
        <is>
          <t>MJW</t>
        </is>
      </c>
      <c r="D361" s="144" t="n">
        <v>9046254340</v>
      </c>
      <c r="E361" s="144" t="inlineStr">
        <is>
          <t>PU</t>
        </is>
      </c>
      <c r="F361" s="144" t="inlineStr">
        <is>
          <t>KZTE05 FL</t>
        </is>
      </c>
      <c r="G361" s="144" t="inlineStr">
        <is>
          <t>WHITE FORD</t>
        </is>
      </c>
      <c r="H361" s="144" t="n">
        <v>1330</v>
      </c>
      <c r="I361" s="144" t="inlineStr">
        <is>
          <t xml:space="preserve">CONTRACTOR </t>
        </is>
      </c>
    </row>
    <row r="362" ht="18" customHeight="1" s="7">
      <c r="A362" s="144" t="inlineStr">
        <is>
          <t>RAULERSON SHANE</t>
        </is>
      </c>
      <c r="B362" s="144" t="inlineStr">
        <is>
          <t>R462781892140 FL</t>
        </is>
      </c>
      <c r="C362" s="144" t="inlineStr">
        <is>
          <t>MJW</t>
        </is>
      </c>
      <c r="D362" s="144" t="n">
        <v>9048914118</v>
      </c>
      <c r="E362" s="144" t="inlineStr">
        <is>
          <t>PU</t>
        </is>
      </c>
      <c r="F362" s="144" t="inlineStr">
        <is>
          <t>ISBM20 FL</t>
        </is>
      </c>
      <c r="G362" s="144" t="inlineStr">
        <is>
          <t>BLUE FORD</t>
        </is>
      </c>
      <c r="H362" s="144" t="n">
        <v>1330</v>
      </c>
      <c r="I362" s="144" t="inlineStr">
        <is>
          <t xml:space="preserve">CONTRACTOR </t>
        </is>
      </c>
    </row>
    <row r="363" ht="18" customHeight="1" s="7">
      <c r="A363" s="144" t="inlineStr">
        <is>
          <t>JEROME WAY JR</t>
        </is>
      </c>
      <c r="B363" s="144" t="inlineStr">
        <is>
          <t>*040505130 GA</t>
        </is>
      </c>
      <c r="C363" s="144" t="inlineStr">
        <is>
          <t>J&amp;L</t>
        </is>
      </c>
      <c r="D363" s="144" t="n">
        <v>4045422025</v>
      </c>
      <c r="E363" s="144" t="inlineStr">
        <is>
          <t>FLAT</t>
        </is>
      </c>
      <c r="F363" s="144" t="inlineStr">
        <is>
          <t>IC33FB GA</t>
        </is>
      </c>
      <c r="G363" s="144" t="inlineStr">
        <is>
          <t>WHITE PETERBILT</t>
        </is>
      </c>
      <c r="H363" s="144" t="n">
        <v>1221</v>
      </c>
      <c r="I363" s="144" t="inlineStr">
        <is>
          <t>COMMERCIAL</t>
        </is>
      </c>
    </row>
    <row r="364" ht="18" customHeight="1" s="7">
      <c r="A364" s="144" t="inlineStr">
        <is>
          <t>DEMENTHRISS JAMES</t>
        </is>
      </c>
      <c r="B364" s="144" t="inlineStr">
        <is>
          <t>*054876472 GA</t>
        </is>
      </c>
      <c r="C364" s="144" t="inlineStr">
        <is>
          <t>INDUSTRIAL MANFACT</t>
        </is>
      </c>
      <c r="D364" s="144" t="n">
        <v>7069923205</v>
      </c>
      <c r="E364" s="144" t="inlineStr">
        <is>
          <t>PU</t>
        </is>
      </c>
      <c r="F364" s="144" t="inlineStr">
        <is>
          <t>SGC0797 GA</t>
        </is>
      </c>
      <c r="G364" s="144" t="inlineStr">
        <is>
          <t>WHITE FORD</t>
        </is>
      </c>
      <c r="H364" s="144" t="n">
        <v>10200</v>
      </c>
      <c r="I364" s="144" t="inlineStr">
        <is>
          <t xml:space="preserve">CONTRACTOR </t>
        </is>
      </c>
    </row>
    <row r="365" ht="18" customHeight="1" s="7">
      <c r="A365" s="144" t="inlineStr">
        <is>
          <t>GARCIA EDDY</t>
        </is>
      </c>
      <c r="B365" s="144" t="inlineStr">
        <is>
          <t>G622200652960 FL</t>
        </is>
      </c>
      <c r="C365" s="144" t="inlineStr">
        <is>
          <t>PRIORITY TRANS</t>
        </is>
      </c>
      <c r="D365" s="144" t="n">
        <v>7863706662</v>
      </c>
      <c r="E365" s="144" t="inlineStr">
        <is>
          <t>BOX</t>
        </is>
      </c>
      <c r="F365" s="144" t="inlineStr">
        <is>
          <t>DF10AZ FL</t>
        </is>
      </c>
      <c r="G365" s="144" t="inlineStr">
        <is>
          <t>BLUE INTER</t>
        </is>
      </c>
      <c r="H365" s="144" t="n">
        <v>1221</v>
      </c>
      <c r="I365" s="144" t="inlineStr">
        <is>
          <t>COMMERCIAL</t>
        </is>
      </c>
    </row>
    <row r="366" ht="18" customHeight="1" s="7">
      <c r="A366" s="144" t="inlineStr">
        <is>
          <t>JUAREZ ERNESTO</t>
        </is>
      </c>
      <c r="B366" s="144" t="inlineStr">
        <is>
          <t>1002654729 NV</t>
        </is>
      </c>
      <c r="C366" s="144" t="inlineStr">
        <is>
          <t>LAGO TRUCKING</t>
        </is>
      </c>
      <c r="D366" s="144" t="n">
        <v>7029343293</v>
      </c>
      <c r="E366" s="144" t="inlineStr">
        <is>
          <t>FLAT</t>
        </is>
      </c>
      <c r="F366" s="144" t="inlineStr">
        <is>
          <t>8O86OA NV</t>
        </is>
      </c>
      <c r="G366" s="144" t="inlineStr">
        <is>
          <t>BLUE FREIGHTLINER</t>
        </is>
      </c>
      <c r="H366" s="144" t="n">
        <v>1221</v>
      </c>
      <c r="I366" s="144" t="inlineStr">
        <is>
          <t>COMMERCIAL</t>
        </is>
      </c>
    </row>
    <row r="367" ht="18" customHeight="1" s="7">
      <c r="A367" s="144" t="inlineStr">
        <is>
          <t>KAMBRA SKORNICKA</t>
        </is>
      </c>
      <c r="B367" s="144" t="inlineStr">
        <is>
          <t>S652461839336 MI</t>
        </is>
      </c>
      <c r="C367" s="144" t="inlineStr">
        <is>
          <t>LANDSTAR</t>
        </is>
      </c>
      <c r="D367" s="144" t="n">
        <v>9893390209</v>
      </c>
      <c r="E367" s="144" t="inlineStr">
        <is>
          <t>VAN</t>
        </is>
      </c>
      <c r="F367" s="144" t="inlineStr">
        <is>
          <t>DF06233 MI</t>
        </is>
      </c>
      <c r="G367" s="144" t="inlineStr">
        <is>
          <t>WHITE MEB</t>
        </is>
      </c>
      <c r="H367" s="144" t="n">
        <v>1221</v>
      </c>
      <c r="I367" s="144" t="inlineStr">
        <is>
          <t xml:space="preserve">CONTRACTOR </t>
        </is>
      </c>
    </row>
    <row r="368" ht="18" customHeight="1" s="7">
      <c r="A368" s="144" t="inlineStr">
        <is>
          <t>MYERS DANIEL</t>
        </is>
      </c>
      <c r="B368" s="144" t="inlineStr">
        <is>
          <t>*059129783 GA</t>
        </is>
      </c>
      <c r="C368" s="144" t="inlineStr">
        <is>
          <t>BUFFALO ROCK</t>
        </is>
      </c>
      <c r="D368" s="144" t="n">
        <v>2298864191</v>
      </c>
      <c r="E368" s="144" t="inlineStr">
        <is>
          <t>PU</t>
        </is>
      </c>
      <c r="F368" s="144" t="inlineStr">
        <is>
          <t>AUF3600 GA</t>
        </is>
      </c>
      <c r="G368" s="144" t="inlineStr">
        <is>
          <t>WHITECHEV</t>
        </is>
      </c>
      <c r="H368" s="144" t="n">
        <v>7501</v>
      </c>
      <c r="I368" s="144" t="inlineStr">
        <is>
          <t xml:space="preserve">CONTRACTOR </t>
        </is>
      </c>
    </row>
    <row r="369" ht="18" customHeight="1" s="7">
      <c r="A369" s="144" t="inlineStr">
        <is>
          <t>JERMAINE ANDERSON</t>
        </is>
      </c>
      <c r="B369" s="144" t="inlineStr">
        <is>
          <t>*054307795 GA</t>
        </is>
      </c>
      <c r="C369" s="144" t="inlineStr">
        <is>
          <t>BUFFALO ROCK</t>
        </is>
      </c>
      <c r="D369" s="144" t="n">
        <v>2298941265</v>
      </c>
      <c r="E369" s="144" t="inlineStr">
        <is>
          <t>BOX</t>
        </is>
      </c>
      <c r="F369" s="144" t="inlineStr">
        <is>
          <t>3542144 IN</t>
        </is>
      </c>
      <c r="G369" s="144" t="inlineStr">
        <is>
          <t>WHITEFRIEGHTLINER</t>
        </is>
      </c>
      <c r="H369" s="144" t="n">
        <v>7501</v>
      </c>
      <c r="I369" s="144" t="inlineStr">
        <is>
          <t xml:space="preserve">CONTRACTOR </t>
        </is>
      </c>
    </row>
    <row r="370" ht="18" customHeight="1" s="7">
      <c r="A370" s="144" t="inlineStr">
        <is>
          <t>COOPER CHRISTOPER</t>
        </is>
      </c>
      <c r="B370" s="144" t="inlineStr">
        <is>
          <t>*052346712 GA</t>
        </is>
      </c>
      <c r="C370" s="144" t="inlineStr">
        <is>
          <t>TMHEXPRESS</t>
        </is>
      </c>
      <c r="D370" s="144" t="n">
        <v>2299387328</v>
      </c>
      <c r="E370" s="144" t="inlineStr">
        <is>
          <t>BOX</t>
        </is>
      </c>
      <c r="F370" s="144" t="inlineStr">
        <is>
          <t>C487DZ GA</t>
        </is>
      </c>
      <c r="G370" s="144" t="inlineStr">
        <is>
          <t>YELLOWFRIGHTLINER</t>
        </is>
      </c>
      <c r="H370" s="144" t="n">
        <v>1221</v>
      </c>
      <c r="I370" s="144" t="inlineStr">
        <is>
          <t>COMMERCIAL</t>
        </is>
      </c>
    </row>
    <row r="371" ht="18" customHeight="1" s="7">
      <c r="A371" s="144" t="inlineStr">
        <is>
          <t xml:space="preserve"> DESMOND LEVINE</t>
        </is>
      </c>
      <c r="B371" s="144" t="inlineStr">
        <is>
          <t>L150163971870 FL</t>
        </is>
      </c>
      <c r="C371" s="144" t="inlineStr">
        <is>
          <t>OFINSTALLATION</t>
        </is>
      </c>
      <c r="D371" s="144" t="n">
        <v>9046476189</v>
      </c>
      <c r="E371" s="144" t="inlineStr">
        <is>
          <t>BOX</t>
        </is>
      </c>
      <c r="F371" s="144" t="inlineStr">
        <is>
          <t>20EMDS FL</t>
        </is>
      </c>
      <c r="G371" s="144" t="inlineStr">
        <is>
          <t>WHITE INTERNATIONAL</t>
        </is>
      </c>
      <c r="H371" s="144" t="n">
        <v>3500</v>
      </c>
      <c r="I371" s="144" t="inlineStr">
        <is>
          <t xml:space="preserve">CONTRACTOR </t>
        </is>
      </c>
    </row>
    <row r="372"/>
    <row r="373" ht="18" customHeight="1" s="7">
      <c r="A373" s="144" t="inlineStr">
        <is>
          <t>RODGERS</t>
        </is>
      </c>
      <c r="B373" s="144" t="inlineStr">
        <is>
          <t>*01626817 GA</t>
        </is>
      </c>
      <c r="C373" s="144" t="inlineStr">
        <is>
          <t>EXPRESS DISPOSAL</t>
        </is>
      </c>
      <c r="D373" s="144" t="n">
        <v>2293524300</v>
      </c>
      <c r="E373" s="144" t="inlineStr">
        <is>
          <t>PU</t>
        </is>
      </c>
      <c r="F373" s="144" t="inlineStr">
        <is>
          <t>XJY841GA</t>
        </is>
      </c>
      <c r="G373" s="144" t="inlineStr">
        <is>
          <t>WHITE DODGE</t>
        </is>
      </c>
      <c r="H373" s="144" t="inlineStr">
        <is>
          <t>BASEWIDE</t>
        </is>
      </c>
      <c r="I373" s="144" t="inlineStr">
        <is>
          <t xml:space="preserve">CONTRACTOR </t>
        </is>
      </c>
    </row>
    <row r="374" ht="18" customHeight="1" s="7">
      <c r="A374" s="144" t="inlineStr">
        <is>
          <t>WALKER WILLIAM</t>
        </is>
      </c>
      <c r="B374" s="144" t="inlineStr">
        <is>
          <t>*000004799981 NC</t>
        </is>
      </c>
      <c r="C374" s="144" t="inlineStr">
        <is>
          <t>WL WALKER TRUCKING</t>
        </is>
      </c>
      <c r="D374" s="144" t="n">
        <v>9107890419</v>
      </c>
      <c r="E374" s="144" t="inlineStr">
        <is>
          <t>FLAT</t>
        </is>
      </c>
      <c r="F374" s="144" t="inlineStr">
        <is>
          <t>NP3736 NC</t>
        </is>
      </c>
      <c r="G374" s="144" t="inlineStr">
        <is>
          <t>RED PETERBILT</t>
        </is>
      </c>
      <c r="H374" s="144" t="n">
        <v>1221</v>
      </c>
      <c r="I374" s="144" t="inlineStr">
        <is>
          <t>COMMERCIAL</t>
        </is>
      </c>
    </row>
    <row r="375" ht="18" customHeight="1" s="7">
      <c r="A375" s="144" t="inlineStr">
        <is>
          <t>WEEKLEY GREGORY</t>
        </is>
      </c>
      <c r="B375" s="144" t="inlineStr">
        <is>
          <t>*053926547 GA</t>
        </is>
      </c>
      <c r="C375" s="144" t="inlineStr">
        <is>
          <t>SAFE AIR</t>
        </is>
      </c>
      <c r="D375" s="144" t="n">
        <v>2298885100</v>
      </c>
      <c r="E375" s="144" t="inlineStr">
        <is>
          <t>PU</t>
        </is>
      </c>
      <c r="F375" s="144" t="inlineStr">
        <is>
          <t>PJX2169 GA</t>
        </is>
      </c>
      <c r="G375" s="144" t="inlineStr">
        <is>
          <t>WHITE FORD</t>
        </is>
      </c>
      <c r="H375" s="144" t="n">
        <v>2215</v>
      </c>
      <c r="I375" s="144" t="inlineStr">
        <is>
          <t xml:space="preserve">CONTRACTOR </t>
        </is>
      </c>
    </row>
    <row r="376" ht="18" customHeight="1" s="7">
      <c r="A376" s="144" t="inlineStr">
        <is>
          <t>BAUCOM JONES</t>
        </is>
      </c>
      <c r="B376" s="144" t="inlineStr">
        <is>
          <t>*061539197 GA</t>
        </is>
      </c>
      <c r="C376" s="144" t="inlineStr">
        <is>
          <t>SAFE AIR</t>
        </is>
      </c>
      <c r="D376" s="144" t="n">
        <v>2298835100</v>
      </c>
      <c r="E376" s="144" t="inlineStr">
        <is>
          <t>PU</t>
        </is>
      </c>
      <c r="F376" s="144" t="inlineStr">
        <is>
          <t>RJY4926 GA</t>
        </is>
      </c>
      <c r="G376" s="144" t="inlineStr">
        <is>
          <t>WHITE FORD</t>
        </is>
      </c>
      <c r="H376" s="144" t="n">
        <v>2215</v>
      </c>
      <c r="I376" s="144" t="inlineStr">
        <is>
          <t xml:space="preserve">CONTRACTOR </t>
        </is>
      </c>
    </row>
    <row r="377" ht="18" customHeight="1" s="7">
      <c r="A377" s="144" t="inlineStr">
        <is>
          <t>CONE JON</t>
        </is>
      </c>
      <c r="B377" s="144" t="inlineStr">
        <is>
          <t>*060143484 GA</t>
        </is>
      </c>
      <c r="C377" s="144" t="inlineStr">
        <is>
          <t>SAFE AIR</t>
        </is>
      </c>
      <c r="D377" s="144" t="n">
        <v>2299935100</v>
      </c>
      <c r="E377" s="144" t="inlineStr">
        <is>
          <t>PU</t>
        </is>
      </c>
      <c r="F377" s="144" t="inlineStr">
        <is>
          <t>CQF4642 GA</t>
        </is>
      </c>
      <c r="G377" s="144" t="inlineStr">
        <is>
          <t>WHITE CHEVY</t>
        </is>
      </c>
      <c r="H377" s="144" t="n">
        <v>2215</v>
      </c>
      <c r="I377" s="144" t="inlineStr">
        <is>
          <t xml:space="preserve">CONTRACTOR </t>
        </is>
      </c>
    </row>
    <row r="378" ht="18" customHeight="1" s="7">
      <c r="A378" s="144" t="inlineStr">
        <is>
          <t>BRAIN PETERSON</t>
        </is>
      </c>
      <c r="B378" s="144" t="inlineStr">
        <is>
          <t>5580888 AL</t>
        </is>
      </c>
      <c r="C378" s="144" t="inlineStr">
        <is>
          <t>MONDELEZ</t>
        </is>
      </c>
      <c r="D378" s="144" t="n">
        <v>8774542305</v>
      </c>
      <c r="E378" s="144" t="inlineStr">
        <is>
          <t>BOX</t>
        </is>
      </c>
      <c r="F378" s="144" t="inlineStr">
        <is>
          <t>2910485 IN</t>
        </is>
      </c>
      <c r="G378" s="144" t="inlineStr">
        <is>
          <t>WHITE FREIGHTLINER</t>
        </is>
      </c>
      <c r="H378" s="144" t="n">
        <v>7501</v>
      </c>
      <c r="I378" s="144" t="inlineStr">
        <is>
          <t>COMMERCIAL</t>
        </is>
      </c>
    </row>
    <row r="379" ht="18" customHeight="1" s="7">
      <c r="A379" s="144" t="inlineStr">
        <is>
          <t>JADE FLEMING</t>
        </is>
      </c>
      <c r="B379" s="144" t="inlineStr">
        <is>
          <t>*059982375 GA</t>
        </is>
      </c>
      <c r="C379" s="144" t="inlineStr">
        <is>
          <t>GA POWER</t>
        </is>
      </c>
      <c r="D379" s="144" t="n">
        <v>2292052276</v>
      </c>
      <c r="E379" s="144" t="inlineStr">
        <is>
          <t>PU</t>
        </is>
      </c>
      <c r="F379" s="144" t="inlineStr">
        <is>
          <t>RLY2689 GA</t>
        </is>
      </c>
      <c r="G379" s="144" t="inlineStr">
        <is>
          <t>WHITE FORD</t>
        </is>
      </c>
      <c r="H379" s="144" t="inlineStr">
        <is>
          <t>BW</t>
        </is>
      </c>
      <c r="I379" s="144" t="inlineStr">
        <is>
          <t xml:space="preserve">CONTRACTOR </t>
        </is>
      </c>
    </row>
    <row r="380" ht="18" customHeight="1" s="7">
      <c r="A380" s="144" t="inlineStr">
        <is>
          <t>JEREMY PICKETT</t>
        </is>
      </c>
      <c r="B380" s="144" t="inlineStr">
        <is>
          <t>P230433762160 FL</t>
        </is>
      </c>
      <c r="C380" s="144" t="inlineStr">
        <is>
          <t>LONG HAUL</t>
        </is>
      </c>
      <c r="D380" s="144" t="n">
        <v>9048910715</v>
      </c>
      <c r="E380" s="144" t="inlineStr">
        <is>
          <t>BOX</t>
        </is>
      </c>
      <c r="F380" s="144" t="inlineStr">
        <is>
          <t>PZA7247 MN</t>
        </is>
      </c>
      <c r="G380" s="144" t="inlineStr">
        <is>
          <t>GREEN PETER</t>
        </is>
      </c>
      <c r="H380" s="144" t="n">
        <v>3500</v>
      </c>
      <c r="I380" s="144" t="inlineStr">
        <is>
          <t>COMMERCIAL</t>
        </is>
      </c>
    </row>
    <row r="381" ht="18" customHeight="1" s="7">
      <c r="A381" s="144" t="inlineStr">
        <is>
          <t>COREY WILKERSON</t>
        </is>
      </c>
      <c r="B381" s="144" t="inlineStr">
        <is>
          <t>*054428569 GA</t>
        </is>
      </c>
      <c r="C381" s="144" t="inlineStr">
        <is>
          <t>BLAKE</t>
        </is>
      </c>
      <c r="D381" s="144" t="n">
        <v>4782339235</v>
      </c>
      <c r="E381" s="144" t="inlineStr">
        <is>
          <t xml:space="preserve">PU </t>
        </is>
      </c>
      <c r="F381" s="144" t="inlineStr">
        <is>
          <t>CYF2118 GA</t>
        </is>
      </c>
      <c r="G381" s="144" t="inlineStr">
        <is>
          <t>WHITE CHEVY</t>
        </is>
      </c>
      <c r="H381" s="144" t="n">
        <v>2200</v>
      </c>
      <c r="I381" s="144" t="inlineStr">
        <is>
          <t xml:space="preserve">CONTRACTOR </t>
        </is>
      </c>
    </row>
    <row r="382" ht="18" customHeight="1" s="7">
      <c r="A382" s="144" t="inlineStr">
        <is>
          <t>SIMPSON RAKEEM</t>
        </is>
      </c>
      <c r="B382" s="144" t="inlineStr">
        <is>
          <t>*000035423855 NC</t>
        </is>
      </c>
      <c r="C382" s="144" t="inlineStr">
        <is>
          <t>MOORE TRANS</t>
        </is>
      </c>
      <c r="D382" s="144" t="n">
        <v>9106174286</v>
      </c>
      <c r="E382" s="144" t="inlineStr">
        <is>
          <t>FLAT</t>
        </is>
      </c>
      <c r="F382" s="144" t="inlineStr">
        <is>
          <t>ML9859 NC</t>
        </is>
      </c>
      <c r="G382" s="144" t="inlineStr">
        <is>
          <t>RED KENWORTH</t>
        </is>
      </c>
      <c r="H382" s="144" t="n">
        <v>1221</v>
      </c>
      <c r="I382" s="144" t="inlineStr">
        <is>
          <t>COMMERCIAL</t>
        </is>
      </c>
    </row>
    <row r="383" ht="18" customHeight="1" s="7">
      <c r="A383" s="144" t="inlineStr">
        <is>
          <t>DANLEY JUSTIN</t>
        </is>
      </c>
      <c r="B383" s="144" t="inlineStr">
        <is>
          <t>D540423804700 FL</t>
        </is>
      </c>
      <c r="C383" s="144" t="inlineStr">
        <is>
          <t>OLD DOMINION</t>
        </is>
      </c>
      <c r="D383" s="144" t="n">
        <v>2298690584</v>
      </c>
      <c r="E383" s="144" t="inlineStr">
        <is>
          <t>BOX</t>
        </is>
      </c>
      <c r="F383" s="144" t="inlineStr">
        <is>
          <t>ND2624 NC</t>
        </is>
      </c>
      <c r="G383" s="144" t="inlineStr">
        <is>
          <t>GREEN FREIGHTLINER</t>
        </is>
      </c>
      <c r="H383" s="144" t="n">
        <v>1221</v>
      </c>
      <c r="I383" s="144" t="inlineStr">
        <is>
          <t>COMMERCIAL</t>
        </is>
      </c>
    </row>
    <row r="384" ht="18" customHeight="1" s="7">
      <c r="A384" s="144" t="inlineStr">
        <is>
          <t>JASON BLAIR</t>
        </is>
      </c>
      <c r="B384" s="144" t="inlineStr">
        <is>
          <t>*058423082 GA</t>
        </is>
      </c>
      <c r="C384" s="144" t="inlineStr">
        <is>
          <t>BLAKE</t>
        </is>
      </c>
      <c r="D384" s="144" t="n">
        <v>4787338316</v>
      </c>
      <c r="E384" s="144" t="inlineStr">
        <is>
          <t>PU</t>
        </is>
      </c>
      <c r="F384" s="144" t="inlineStr">
        <is>
          <t>CLP8926 GA</t>
        </is>
      </c>
      <c r="G384" s="144" t="inlineStr">
        <is>
          <t>WHITE CHEVY</t>
        </is>
      </c>
      <c r="H384" s="144" t="n">
        <v>2210</v>
      </c>
      <c r="I384" s="144" t="inlineStr">
        <is>
          <t xml:space="preserve">CONTRACTOR </t>
        </is>
      </c>
    </row>
    <row r="385" ht="18" customHeight="1" s="7">
      <c r="A385" s="144" t="inlineStr">
        <is>
          <t>NOWLINGS NICOLAS</t>
        </is>
      </c>
      <c r="B385" s="144" t="inlineStr">
        <is>
          <t>N219996671000 FL</t>
        </is>
      </c>
      <c r="C385" s="144" t="inlineStr">
        <is>
          <t>HMB</t>
        </is>
      </c>
      <c r="D385" s="144" t="n">
        <v>3522019514</v>
      </c>
      <c r="E385" s="144" t="inlineStr">
        <is>
          <t>BOX</t>
        </is>
      </c>
      <c r="F385" s="144" t="inlineStr">
        <is>
          <t>3240270 IN</t>
        </is>
      </c>
      <c r="G385" s="144" t="inlineStr">
        <is>
          <t>WHITE PETERBILT</t>
        </is>
      </c>
      <c r="H385" s="144" t="n">
        <v>1221</v>
      </c>
      <c r="I385" s="144" t="inlineStr">
        <is>
          <t>COMMERCIAL</t>
        </is>
      </c>
    </row>
    <row r="386" ht="18" customHeight="1" s="7">
      <c r="A386" s="144" t="inlineStr">
        <is>
          <t>JOHNATHAN SUMMERLIN</t>
        </is>
      </c>
      <c r="B386" s="144" t="inlineStr">
        <is>
          <t>*054298764 GA</t>
        </is>
      </c>
      <c r="C386" s="144" t="inlineStr">
        <is>
          <t>TRG</t>
        </is>
      </c>
      <c r="D386" s="144" t="n">
        <v>2294001308</v>
      </c>
      <c r="E386" s="144" t="inlineStr">
        <is>
          <t>PU</t>
        </is>
      </c>
      <c r="F386" s="144" t="inlineStr">
        <is>
          <t>CZV6546 GA</t>
        </is>
      </c>
      <c r="G386" s="144" t="inlineStr">
        <is>
          <t>WHITE CHEVY</t>
        </is>
      </c>
      <c r="H386" s="144" t="inlineStr">
        <is>
          <t>BW</t>
        </is>
      </c>
      <c r="I386" s="144" t="inlineStr">
        <is>
          <t xml:space="preserve">CONTRACTOR </t>
        </is>
      </c>
    </row>
    <row r="387" ht="18" customHeight="1" s="7">
      <c r="A387" s="144" t="inlineStr">
        <is>
          <t>IAGAFAROV TIMUR</t>
        </is>
      </c>
      <c r="B387" s="144" t="inlineStr">
        <is>
          <t>I216811903050 FL</t>
        </is>
      </c>
      <c r="C387" s="144" t="inlineStr">
        <is>
          <t xml:space="preserve">ACROSS </t>
        </is>
      </c>
      <c r="D387" s="144" t="n">
        <v>8505866750</v>
      </c>
      <c r="E387" s="144" t="inlineStr">
        <is>
          <t>FLAT</t>
        </is>
      </c>
      <c r="F387" s="144" t="inlineStr">
        <is>
          <t>P1084034 IL</t>
        </is>
      </c>
      <c r="G387" s="144" t="inlineStr">
        <is>
          <t>BLUE KENWORTH</t>
        </is>
      </c>
      <c r="H387" s="144" t="n">
        <v>1221</v>
      </c>
      <c r="I387" s="144" t="inlineStr">
        <is>
          <t>COMMERCIAL</t>
        </is>
      </c>
    </row>
    <row r="388" ht="18" customHeight="1" s="7">
      <c r="A388" s="144" t="inlineStr">
        <is>
          <t>LOPEZ CHRISTOPHER</t>
        </is>
      </c>
      <c r="B388" s="144" t="inlineStr">
        <is>
          <t>*056977092 GA</t>
        </is>
      </c>
      <c r="C388" s="144" t="inlineStr">
        <is>
          <t>S&amp;S CONCRETE</t>
        </is>
      </c>
      <c r="D388" s="144" t="n">
        <v>2294388566</v>
      </c>
      <c r="E388" s="144" t="inlineStr">
        <is>
          <t>PU</t>
        </is>
      </c>
      <c r="F388" s="144" t="inlineStr">
        <is>
          <t>SSCRE02 GA</t>
        </is>
      </c>
      <c r="G388" s="144" t="inlineStr">
        <is>
          <t>WHITE DODGE</t>
        </is>
      </c>
      <c r="H388" s="144" t="n">
        <v>5400</v>
      </c>
      <c r="I388" s="144" t="inlineStr">
        <is>
          <t xml:space="preserve">CONTRACTOR </t>
        </is>
      </c>
    </row>
    <row r="389" ht="18" customHeight="1" s="7">
      <c r="A389" s="144" t="inlineStr">
        <is>
          <t>JOHNATHAN ROGERS</t>
        </is>
      </c>
      <c r="B389" s="144" t="inlineStr">
        <is>
          <t>*053710999 GA</t>
        </is>
      </c>
      <c r="C389" s="144" t="inlineStr">
        <is>
          <t>EXPRESS DISPOSAL</t>
        </is>
      </c>
      <c r="D389" s="144" t="n">
        <v>2293524300</v>
      </c>
      <c r="E389" s="144" t="inlineStr">
        <is>
          <t>DUMP</t>
        </is>
      </c>
      <c r="F389" s="144" t="inlineStr">
        <is>
          <t>GBY146 GA</t>
        </is>
      </c>
      <c r="G389" s="144" t="inlineStr">
        <is>
          <t>GREEN MACK</t>
        </is>
      </c>
      <c r="H389" s="144" t="inlineStr">
        <is>
          <t>HOUSING</t>
        </is>
      </c>
      <c r="I389" s="144" t="inlineStr">
        <is>
          <t>COMMERCIAL</t>
        </is>
      </c>
    </row>
    <row r="390" ht="18" customHeight="1" s="7">
      <c r="A390" s="144" t="inlineStr">
        <is>
          <t>CURRIN WESLEY</t>
        </is>
      </c>
      <c r="B390" s="144" t="inlineStr">
        <is>
          <t>*000008708919 NC</t>
        </is>
      </c>
      <c r="C390" s="144" t="inlineStr">
        <is>
          <t>TRIPLE J</t>
        </is>
      </c>
      <c r="D390" s="144" t="n">
        <v>3369631608</v>
      </c>
      <c r="E390" s="144" t="inlineStr">
        <is>
          <t>FLAT</t>
        </is>
      </c>
      <c r="F390" s="144" t="inlineStr">
        <is>
          <t>ND8665 NC</t>
        </is>
      </c>
      <c r="G390" s="144" t="inlineStr">
        <is>
          <t>BLUE FREIGHTLINER</t>
        </is>
      </c>
      <c r="H390" s="144" t="n">
        <v>1221</v>
      </c>
      <c r="I390" s="144" t="inlineStr">
        <is>
          <t>COMMERCIAL</t>
        </is>
      </c>
    </row>
    <row r="391" ht="18" customHeight="1" s="7">
      <c r="A391" s="144" t="inlineStr">
        <is>
          <t>SANK BYRD</t>
        </is>
      </c>
      <c r="B391" s="144" t="inlineStr">
        <is>
          <t>*053750177 GA</t>
        </is>
      </c>
      <c r="C391" s="144" t="inlineStr">
        <is>
          <t>FEEDING VALLEY</t>
        </is>
      </c>
      <c r="D391" s="144" t="n">
        <v>7065614755</v>
      </c>
      <c r="E391" s="144" t="inlineStr">
        <is>
          <t>BOX</t>
        </is>
      </c>
      <c r="F391" s="144" t="inlineStr">
        <is>
          <t>PG442H GA</t>
        </is>
      </c>
      <c r="G391" s="144" t="inlineStr">
        <is>
          <t>WHITE INTER</t>
        </is>
      </c>
      <c r="H391" s="144" t="n">
        <v>7501</v>
      </c>
      <c r="I391" s="144" t="inlineStr">
        <is>
          <t>COMMERCIAL</t>
        </is>
      </c>
    </row>
    <row r="392" ht="18" customHeight="1" s="7">
      <c r="A392" s="144" t="inlineStr">
        <is>
          <t>RIGGINS VERNON</t>
        </is>
      </c>
      <c r="B392" s="144" t="inlineStr">
        <is>
          <t>*0558813670 TN</t>
        </is>
      </c>
      <c r="C392" s="144" t="inlineStr">
        <is>
          <t>CENTIMAX</t>
        </is>
      </c>
      <c r="D392" s="144" t="n">
        <v>6153495427</v>
      </c>
      <c r="E392" s="144" t="inlineStr">
        <is>
          <t>PU</t>
        </is>
      </c>
      <c r="F392" s="144" t="inlineStr">
        <is>
          <t>14229CP TN</t>
        </is>
      </c>
      <c r="G392" s="144" t="inlineStr">
        <is>
          <t>BLACK FORD</t>
        </is>
      </c>
      <c r="H392" s="144" t="n">
        <v>1221</v>
      </c>
      <c r="I392" s="144" t="inlineStr">
        <is>
          <t xml:space="preserve">CONTRACTOR </t>
        </is>
      </c>
    </row>
    <row r="393" ht="18" customHeight="1" s="7">
      <c r="A393" s="144" t="inlineStr">
        <is>
          <t>HARTSFIELD YVONNTE</t>
        </is>
      </c>
      <c r="B393" s="144" t="inlineStr">
        <is>
          <t>H632970858290 FL</t>
        </is>
      </c>
      <c r="C393" s="144" t="inlineStr">
        <is>
          <t>ALI  EXPRESS</t>
        </is>
      </c>
      <c r="D393" s="144" t="n">
        <v>8634448945</v>
      </c>
      <c r="E393" s="144" t="inlineStr">
        <is>
          <t>BOX</t>
        </is>
      </c>
      <c r="F393" s="144" t="inlineStr">
        <is>
          <t>DF69AZ FL</t>
        </is>
      </c>
      <c r="G393" s="144" t="inlineStr">
        <is>
          <t>BLACK KENWORTH</t>
        </is>
      </c>
      <c r="H393" s="144" t="n">
        <v>1221</v>
      </c>
      <c r="I393" s="144" t="inlineStr">
        <is>
          <t>COMMERCIAL</t>
        </is>
      </c>
    </row>
    <row r="394" ht="18" customHeight="1" s="7">
      <c r="A394" s="144" t="inlineStr">
        <is>
          <t>REED BRENNAN</t>
        </is>
      </c>
      <c r="B394" s="144" t="inlineStr">
        <is>
          <t>R30007386370 FL</t>
        </is>
      </c>
      <c r="C394" s="144" t="inlineStr">
        <is>
          <t>ENTERPRISE</t>
        </is>
      </c>
      <c r="D394" s="144" t="n">
        <v>9044224474</v>
      </c>
      <c r="E394" s="144" t="inlineStr">
        <is>
          <t>BOX</t>
        </is>
      </c>
      <c r="F394" s="144" t="inlineStr">
        <is>
          <t>KBYU23 FL</t>
        </is>
      </c>
      <c r="G394" s="144" t="inlineStr">
        <is>
          <t>WHITE INTER</t>
        </is>
      </c>
      <c r="H394" s="144" t="n">
        <v>3500</v>
      </c>
      <c r="I394" s="144" t="inlineStr">
        <is>
          <t>COMMERCIAL</t>
        </is>
      </c>
    </row>
    <row r="395" ht="18" customHeight="1" s="7">
      <c r="A395" s="144" t="inlineStr">
        <is>
          <t>BENJIE ROLLINSON</t>
        </is>
      </c>
      <c r="B395" s="144" t="inlineStr">
        <is>
          <t>R452072671710 FL</t>
        </is>
      </c>
      <c r="C395" s="144" t="inlineStr">
        <is>
          <t>SAFETY KLEAN</t>
        </is>
      </c>
      <c r="D395" s="144" t="n">
        <v>8505281929</v>
      </c>
      <c r="E395" s="144" t="inlineStr">
        <is>
          <t>BOX</t>
        </is>
      </c>
      <c r="F395" s="144" t="inlineStr">
        <is>
          <t>3421436 IN</t>
        </is>
      </c>
      <c r="G395" s="144" t="inlineStr">
        <is>
          <t>WHITE FREIGHTLINER</t>
        </is>
      </c>
      <c r="H395" s="144" t="n">
        <v>2200</v>
      </c>
      <c r="I395" s="144" t="inlineStr">
        <is>
          <t>COMMERCIAL</t>
        </is>
      </c>
    </row>
    <row r="396" ht="18" customHeight="1" s="7">
      <c r="A396" s="144" t="inlineStr">
        <is>
          <t>GECK ANDREAS</t>
        </is>
      </c>
      <c r="B396" s="144" t="inlineStr">
        <is>
          <t>B5151647 CA</t>
        </is>
      </c>
      <c r="C396" s="144" t="inlineStr">
        <is>
          <t>GOLDEN WAY</t>
        </is>
      </c>
      <c r="D396" s="144" t="n">
        <v>8185162704</v>
      </c>
      <c r="E396" s="144" t="inlineStr">
        <is>
          <t>FLAT</t>
        </is>
      </c>
      <c r="F396" s="144" t="inlineStr">
        <is>
          <t>P1176709 IL</t>
        </is>
      </c>
      <c r="G396" s="144" t="inlineStr">
        <is>
          <t>ORANGE PETER</t>
        </is>
      </c>
      <c r="H396" s="144" t="n">
        <v>1221</v>
      </c>
      <c r="I396" s="144" t="inlineStr">
        <is>
          <t>COMMERCIAL</t>
        </is>
      </c>
    </row>
    <row r="397" ht="18" customHeight="1" s="7">
      <c r="A397" s="144" t="inlineStr">
        <is>
          <t>FIGUEROA HUMBERTO</t>
        </is>
      </c>
      <c r="B397" s="144" t="inlineStr">
        <is>
          <t>F204002807000 FL</t>
        </is>
      </c>
      <c r="C397" s="144" t="inlineStr">
        <is>
          <t>PMP TRUCKING</t>
        </is>
      </c>
      <c r="D397" s="144" t="n">
        <v>3058901767</v>
      </c>
      <c r="E397" s="144" t="inlineStr">
        <is>
          <t>BOX</t>
        </is>
      </c>
      <c r="F397" s="144" t="inlineStr">
        <is>
          <t>XE444I FL</t>
        </is>
      </c>
      <c r="G397" s="144" t="inlineStr">
        <is>
          <t>RED FREIGHT</t>
        </is>
      </c>
      <c r="H397" s="144" t="n">
        <v>1221</v>
      </c>
      <c r="I397" s="144" t="inlineStr">
        <is>
          <t>COMMERCIAL</t>
        </is>
      </c>
    </row>
    <row r="398" ht="18" customHeight="1" s="7">
      <c r="A398" s="144" t="inlineStr">
        <is>
          <t>BILLY FOSTER</t>
        </is>
      </c>
      <c r="B398" s="144" t="inlineStr">
        <is>
          <t>*049362915 GA</t>
        </is>
      </c>
      <c r="C398" s="144" t="inlineStr">
        <is>
          <t>TB&amp;J</t>
        </is>
      </c>
      <c r="D398" s="144" t="n">
        <v>2298699096</v>
      </c>
      <c r="E398" s="144" t="inlineStr">
        <is>
          <t>PU</t>
        </is>
      </c>
      <c r="F398" s="144" t="inlineStr">
        <is>
          <t>CZZ3910 GA</t>
        </is>
      </c>
      <c r="G398" s="144" t="inlineStr">
        <is>
          <t>WHITE CHEVY</t>
        </is>
      </c>
      <c r="H398" s="144" t="inlineStr">
        <is>
          <t>BW</t>
        </is>
      </c>
      <c r="I398" s="144" t="inlineStr">
        <is>
          <t xml:space="preserve">CONTRACTOR </t>
        </is>
      </c>
    </row>
    <row r="399" ht="18" customHeight="1" s="7">
      <c r="A399" s="144" t="inlineStr">
        <is>
          <t>LUZ CLEMENTE</t>
        </is>
      </c>
      <c r="B399" s="144" t="inlineStr">
        <is>
          <t>*056211921 GA</t>
        </is>
      </c>
      <c r="C399" s="144" t="inlineStr">
        <is>
          <t>LA REINA</t>
        </is>
      </c>
      <c r="D399" s="144" t="n">
        <v>7063323294</v>
      </c>
      <c r="E399" s="144" t="inlineStr">
        <is>
          <t>BOX</t>
        </is>
      </c>
      <c r="F399" s="144" t="inlineStr">
        <is>
          <t>C104DA GA</t>
        </is>
      </c>
      <c r="G399" s="144" t="inlineStr">
        <is>
          <t>BLACK FREIGHT</t>
        </is>
      </c>
      <c r="H399" s="144" t="n">
        <v>1221</v>
      </c>
      <c r="I399" s="144" t="inlineStr">
        <is>
          <t>COMMERCIAL</t>
        </is>
      </c>
    </row>
    <row r="400" ht="18" customHeight="1" s="7">
      <c r="A400" s="144" t="inlineStr">
        <is>
          <t>MORGAN JOHN</t>
        </is>
      </c>
      <c r="B400" s="144" t="inlineStr">
        <is>
          <t>T67514444 VA</t>
        </is>
      </c>
      <c r="C400" s="144" t="inlineStr">
        <is>
          <t>G CHISLETT TRUCKING</t>
        </is>
      </c>
      <c r="D400" s="144" t="n">
        <v>4343331800</v>
      </c>
      <c r="E400" s="144" t="inlineStr">
        <is>
          <t>FLAT</t>
        </is>
      </c>
      <c r="F400" s="144" t="inlineStr">
        <is>
          <t>36774PF NY</t>
        </is>
      </c>
      <c r="G400" s="144" t="inlineStr">
        <is>
          <t>BLACK FREIGHT</t>
        </is>
      </c>
      <c r="H400" s="144" t="n">
        <v>1221</v>
      </c>
      <c r="I400" s="144" t="inlineStr">
        <is>
          <t>COMMERCIAL</t>
        </is>
      </c>
    </row>
    <row r="401" ht="18" customHeight="1" s="7">
      <c r="A401" s="144" t="inlineStr">
        <is>
          <t>SAIID MOHAMED</t>
        </is>
      </c>
      <c r="B401" s="144" t="inlineStr">
        <is>
          <t>*056429917 GA</t>
        </is>
      </c>
      <c r="C401" s="144" t="inlineStr">
        <is>
          <t>TOGETHER TRANS</t>
        </is>
      </c>
      <c r="D401" s="144" t="n">
        <v>4044836064</v>
      </c>
      <c r="E401" s="144" t="inlineStr">
        <is>
          <t>BOX</t>
        </is>
      </c>
      <c r="F401" s="144" t="inlineStr">
        <is>
          <t>PAW6410 MN</t>
        </is>
      </c>
      <c r="G401" s="144" t="inlineStr">
        <is>
          <t>WHITE FREIGHTLINER</t>
        </is>
      </c>
      <c r="H401" s="144" t="n">
        <v>1221</v>
      </c>
      <c r="I401" s="144" t="inlineStr">
        <is>
          <t>COMMERCIAL</t>
        </is>
      </c>
    </row>
    <row r="402" ht="18" customHeight="1" s="7">
      <c r="A402" s="144" t="inlineStr">
        <is>
          <t>LAMB RON</t>
        </is>
      </c>
      <c r="B402" s="144" t="inlineStr">
        <is>
          <t>*053663359 GA</t>
        </is>
      </c>
      <c r="C402" s="144" t="inlineStr">
        <is>
          <t>SEMINOLE</t>
        </is>
      </c>
      <c r="D402" s="144" t="n">
        <v>2299038180</v>
      </c>
      <c r="E402" s="144" t="inlineStr">
        <is>
          <t>PU</t>
        </is>
      </c>
      <c r="F402" s="144" t="inlineStr">
        <is>
          <t>YPT855 GA</t>
        </is>
      </c>
      <c r="G402" s="144" t="inlineStr">
        <is>
          <t>WHITE DODGE</t>
        </is>
      </c>
      <c r="H402" s="144" t="inlineStr">
        <is>
          <t>BW</t>
        </is>
      </c>
      <c r="I402" s="144" t="inlineStr">
        <is>
          <t>COMMERCIAL</t>
        </is>
      </c>
    </row>
    <row r="403" ht="18" customHeight="1" s="7">
      <c r="A403" s="144" t="inlineStr">
        <is>
          <t>RICHARDSON TANYA</t>
        </is>
      </c>
      <c r="B403" s="144" t="inlineStr">
        <is>
          <t>*042890552 CO</t>
        </is>
      </c>
      <c r="C403" s="144" t="inlineStr">
        <is>
          <t>LANDSTAR</t>
        </is>
      </c>
      <c r="D403" s="144" t="n">
        <v>9709888612</v>
      </c>
      <c r="E403" s="144" t="inlineStr">
        <is>
          <t>VAN</t>
        </is>
      </c>
      <c r="F403" s="144" t="inlineStr">
        <is>
          <t>OKC127 CO</t>
        </is>
      </c>
      <c r="G403" s="144" t="inlineStr">
        <is>
          <t>SILVER MEB</t>
        </is>
      </c>
      <c r="H403" s="144" t="n">
        <v>1221</v>
      </c>
      <c r="I403" s="144" t="inlineStr">
        <is>
          <t xml:space="preserve">CONTRACTOR </t>
        </is>
      </c>
    </row>
    <row r="404" ht="18" customHeight="1" s="7">
      <c r="A404" s="144" t="inlineStr">
        <is>
          <t>BILLY HALL JR</t>
        </is>
      </c>
      <c r="B404" s="144" t="inlineStr">
        <is>
          <t>*053009925 GA</t>
        </is>
      </c>
      <c r="C404" s="144" t="inlineStr">
        <is>
          <t xml:space="preserve">DHL </t>
        </is>
      </c>
      <c r="D404" s="144" t="n">
        <v>2292559081</v>
      </c>
      <c r="E404" s="144" t="inlineStr">
        <is>
          <t>VAN</t>
        </is>
      </c>
      <c r="F404" s="144" t="inlineStr">
        <is>
          <t>QREZ3O FL</t>
        </is>
      </c>
      <c r="G404" s="144" t="inlineStr">
        <is>
          <t>YELLOW FORD</t>
        </is>
      </c>
      <c r="H404" s="144" t="n">
        <v>1221</v>
      </c>
      <c r="I404" s="144" t="inlineStr">
        <is>
          <t xml:space="preserve">CONTRACTOR </t>
        </is>
      </c>
    </row>
    <row r="405" ht="18" customHeight="1" s="7">
      <c r="A405" s="144" t="inlineStr">
        <is>
          <t>TRACY ROBERTS</t>
        </is>
      </c>
      <c r="B405" s="144" t="inlineStr">
        <is>
          <t>*033696693 GA</t>
        </is>
      </c>
      <c r="C405" s="144" t="inlineStr">
        <is>
          <t>MECO</t>
        </is>
      </c>
      <c r="D405" s="144" t="n">
        <v>2294461515</v>
      </c>
      <c r="E405" s="144" t="inlineStr">
        <is>
          <t>PU</t>
        </is>
      </c>
      <c r="F405" s="144" t="inlineStr">
        <is>
          <t>XSC626 NC</t>
        </is>
      </c>
      <c r="G405" s="144" t="inlineStr">
        <is>
          <t>WHITE DODGE</t>
        </is>
      </c>
      <c r="H405" s="144" t="n">
        <v>7500</v>
      </c>
      <c r="I405" s="144" t="inlineStr">
        <is>
          <t xml:space="preserve">CONTRACTOR </t>
        </is>
      </c>
    </row>
    <row r="406" ht="18" customHeight="1" s="7">
      <c r="A406" s="144" t="inlineStr">
        <is>
          <t>JEREMY LANEY</t>
        </is>
      </c>
      <c r="B406" s="144" t="inlineStr">
        <is>
          <t>*052860669 GA</t>
        </is>
      </c>
      <c r="C406" s="144" t="inlineStr">
        <is>
          <t>SAFETY MAX</t>
        </is>
      </c>
      <c r="D406" s="144" t="n">
        <v>2298780300</v>
      </c>
      <c r="E406" s="144" t="inlineStr">
        <is>
          <t>VAN</t>
        </is>
      </c>
      <c r="F406" s="144" t="inlineStr">
        <is>
          <t>RLN7803 GA</t>
        </is>
      </c>
      <c r="G406" s="144" t="inlineStr">
        <is>
          <t>WHITE FORD</t>
        </is>
      </c>
      <c r="H406" s="144" t="inlineStr">
        <is>
          <t>POWERWORKS</t>
        </is>
      </c>
      <c r="I406" s="144" t="inlineStr">
        <is>
          <t xml:space="preserve">CONTRACTOR </t>
        </is>
      </c>
    </row>
    <row r="407" ht="18" customHeight="1" s="7">
      <c r="A407" s="144" t="inlineStr">
        <is>
          <t>KRUSE JASON</t>
        </is>
      </c>
      <c r="B407" s="144" t="inlineStr">
        <is>
          <t>K6204306900703 WI</t>
        </is>
      </c>
      <c r="C407" s="144" t="inlineStr">
        <is>
          <t>LANDSTAR</t>
        </is>
      </c>
      <c r="D407" s="144" t="n">
        <v>5636762197</v>
      </c>
      <c r="E407" s="144" t="inlineStr">
        <is>
          <t>BOX</t>
        </is>
      </c>
      <c r="F407" s="144" t="inlineStr">
        <is>
          <t>3110104 IN</t>
        </is>
      </c>
      <c r="G407" s="144" t="inlineStr">
        <is>
          <t>WHITE FREIGHTLINER</t>
        </is>
      </c>
      <c r="H407" s="144" t="n">
        <v>1221</v>
      </c>
      <c r="I407" s="144" t="inlineStr">
        <is>
          <t>COMMERCIAL</t>
        </is>
      </c>
    </row>
    <row r="408" ht="18" customHeight="1" s="7">
      <c r="A408" s="144" t="inlineStr">
        <is>
          <t>KELTON SWANIGAN</t>
        </is>
      </c>
      <c r="B408" s="144" t="inlineStr">
        <is>
          <t>*055262445 GA</t>
        </is>
      </c>
      <c r="C408" s="144" t="inlineStr">
        <is>
          <t>CONCRETE ENTERP</t>
        </is>
      </c>
      <c r="D408" s="144" t="inlineStr">
        <is>
          <t>229 8881904</t>
        </is>
      </c>
      <c r="E408" s="144" t="inlineStr">
        <is>
          <t>DUMP</t>
        </is>
      </c>
      <c r="F408" s="144" t="inlineStr">
        <is>
          <t>EDB224 GA</t>
        </is>
      </c>
      <c r="G408" s="144" t="inlineStr">
        <is>
          <t>WHITE KENWORTH</t>
        </is>
      </c>
      <c r="H408" s="144" t="n">
        <v>7520</v>
      </c>
      <c r="I408" s="144" t="inlineStr">
        <is>
          <t>COMMERCIAL</t>
        </is>
      </c>
    </row>
    <row r="409" ht="18" customHeight="1" s="7">
      <c r="A409" s="144" t="inlineStr">
        <is>
          <t>ROY FLICK</t>
        </is>
      </c>
      <c r="B409" s="144" t="inlineStr">
        <is>
          <t>*8917723541 IN</t>
        </is>
      </c>
      <c r="C409" s="144" t="inlineStr">
        <is>
          <t>HB TRUCKING</t>
        </is>
      </c>
      <c r="D409" s="144" t="n">
        <v>81265317599</v>
      </c>
      <c r="E409" s="144" t="inlineStr">
        <is>
          <t>BOX</t>
        </is>
      </c>
      <c r="F409" s="144" t="inlineStr">
        <is>
          <t>3022866 IN</t>
        </is>
      </c>
      <c r="G409" s="144" t="inlineStr">
        <is>
          <t>BLUE FRIEGHTLINER</t>
        </is>
      </c>
      <c r="H409" s="144" t="n">
        <v>1221</v>
      </c>
      <c r="I409" s="144" t="inlineStr">
        <is>
          <t>COMMERCIAL</t>
        </is>
      </c>
    </row>
    <row r="410" ht="18" customHeight="1" s="7">
      <c r="A410" s="144" t="inlineStr">
        <is>
          <t>DAVIS PAUL</t>
        </is>
      </c>
      <c r="B410" s="144" t="inlineStr">
        <is>
          <t>*050250479 GA</t>
        </is>
      </c>
      <c r="C410" s="144" t="inlineStr">
        <is>
          <t>OIL RECOVERY</t>
        </is>
      </c>
      <c r="D410" s="144" t="n">
        <v>2293361111</v>
      </c>
      <c r="E410" s="144" t="inlineStr">
        <is>
          <t>TANK</t>
        </is>
      </c>
      <c r="F410" s="144" t="inlineStr">
        <is>
          <t>P073C3N GA</t>
        </is>
      </c>
      <c r="G410" s="144" t="inlineStr">
        <is>
          <t>WHITE INTERNATIONAL</t>
        </is>
      </c>
      <c r="H410" s="144" t="n">
        <v>1432</v>
      </c>
      <c r="I410" s="144" t="inlineStr">
        <is>
          <t>COMMERCIAL</t>
        </is>
      </c>
    </row>
    <row r="411" ht="18" customHeight="1" s="7">
      <c r="A411" s="144" t="inlineStr">
        <is>
          <t>THOMAS RODNEY</t>
        </is>
      </c>
      <c r="B411" s="144" t="inlineStr">
        <is>
          <t>55022889 GA</t>
        </is>
      </c>
      <c r="C411" s="144" t="inlineStr">
        <is>
          <t>METRO POWER</t>
        </is>
      </c>
      <c r="D411" s="144" t="n">
        <v>2298866801</v>
      </c>
      <c r="E411" s="144" t="inlineStr">
        <is>
          <t>PU</t>
        </is>
      </c>
      <c r="F411" s="144" t="inlineStr">
        <is>
          <t>TBY2837 GA</t>
        </is>
      </c>
      <c r="G411" s="144" t="inlineStr">
        <is>
          <t>WHITE FORD</t>
        </is>
      </c>
      <c r="H411" s="144" t="n">
        <v>2215</v>
      </c>
      <c r="I411" s="144" t="inlineStr">
        <is>
          <t xml:space="preserve">CONTRACTOR </t>
        </is>
      </c>
    </row>
    <row r="412" ht="18" customHeight="1" s="7">
      <c r="A412" s="144" t="inlineStr">
        <is>
          <t>THOMAS MICHEALS</t>
        </is>
      </c>
      <c r="B412" s="144" t="inlineStr">
        <is>
          <t>M2428306245807 WI</t>
        </is>
      </c>
      <c r="C412" s="144" t="inlineStr">
        <is>
          <t>PTS</t>
        </is>
      </c>
      <c r="D412" s="144" t="n">
        <v>9208508582</v>
      </c>
      <c r="E412" s="144" t="inlineStr">
        <is>
          <t>BOX</t>
        </is>
      </c>
      <c r="F412" s="144" t="inlineStr">
        <is>
          <t>P1267105 IL</t>
        </is>
      </c>
      <c r="G412" s="144" t="inlineStr">
        <is>
          <t>WHITE KW</t>
        </is>
      </c>
      <c r="H412" s="144" t="n">
        <v>1221</v>
      </c>
      <c r="I412" s="144" t="inlineStr">
        <is>
          <t>COMMERCIAL</t>
        </is>
      </c>
    </row>
    <row r="413" ht="18" customHeight="1" s="7">
      <c r="A413" s="144" t="inlineStr">
        <is>
          <t>REZNICHENKO PAVEL</t>
        </is>
      </c>
      <c r="B413" s="144" t="inlineStr">
        <is>
          <t>R18125119 KY</t>
        </is>
      </c>
      <c r="C413" s="144" t="inlineStr">
        <is>
          <t>TOTAL HAULING</t>
        </is>
      </c>
      <c r="D413" s="144" t="n">
        <v>8282795056</v>
      </c>
      <c r="E413" s="144" t="inlineStr">
        <is>
          <t>BOX</t>
        </is>
      </c>
      <c r="F413" s="144" t="inlineStr">
        <is>
          <t>A74676 KY</t>
        </is>
      </c>
      <c r="G413" s="144" t="inlineStr">
        <is>
          <t>WHITE VOLVO</t>
        </is>
      </c>
      <c r="H413" s="144" t="n">
        <v>1340</v>
      </c>
      <c r="I413" s="144" t="inlineStr">
        <is>
          <t>COMMERCIAL</t>
        </is>
      </c>
    </row>
    <row r="414" ht="18" customHeight="1" s="7">
      <c r="A414" s="144" t="inlineStr">
        <is>
          <t>VANUS MCMANUS</t>
        </is>
      </c>
      <c r="B414" s="144" t="inlineStr">
        <is>
          <t>*008699383 SC</t>
        </is>
      </c>
      <c r="C414" s="144" t="inlineStr">
        <is>
          <t>KING PREISTIGE</t>
        </is>
      </c>
      <c r="D414" s="144" t="n">
        <v>8436724295</v>
      </c>
      <c r="E414" s="144" t="inlineStr">
        <is>
          <t>BOX</t>
        </is>
      </c>
      <c r="F414" s="144" t="inlineStr">
        <is>
          <t>3538596 IN</t>
        </is>
      </c>
      <c r="G414" s="144" t="inlineStr">
        <is>
          <t>WHITE INTERNATIONAL</t>
        </is>
      </c>
      <c r="H414" s="144" t="n">
        <v>1221</v>
      </c>
      <c r="I414" s="144" t="inlineStr">
        <is>
          <t xml:space="preserve">CONTRACTOR </t>
        </is>
      </c>
    </row>
    <row r="415" ht="18" customHeight="1" s="7">
      <c r="A415" s="144" t="inlineStr">
        <is>
          <t>JOHN TIPPER</t>
        </is>
      </c>
      <c r="B415" s="144" t="inlineStr">
        <is>
          <t>*055945536 GA</t>
        </is>
      </c>
      <c r="C415" s="144" t="inlineStr">
        <is>
          <t>BUFFALO ROCK</t>
        </is>
      </c>
      <c r="D415" s="144" t="n">
        <v>2294299451</v>
      </c>
      <c r="E415" s="144" t="inlineStr">
        <is>
          <t>PU</t>
        </is>
      </c>
      <c r="F415" s="144" t="inlineStr">
        <is>
          <t>RVH6547 GA</t>
        </is>
      </c>
      <c r="G415" s="144" t="inlineStr">
        <is>
          <t>WHITE FORD</t>
        </is>
      </c>
      <c r="H415" s="144" t="n">
        <v>7501</v>
      </c>
      <c r="I415" s="144" t="inlineStr">
        <is>
          <t xml:space="preserve">CONTRACTOR </t>
        </is>
      </c>
    </row>
    <row r="416" ht="18" customHeight="1" s="7">
      <c r="A416" s="144" t="inlineStr">
        <is>
          <t>KENNETH HUGHES</t>
        </is>
      </c>
      <c r="B416" s="144" t="inlineStr">
        <is>
          <t>H220465676364 MI</t>
        </is>
      </c>
      <c r="C416" s="144" t="inlineStr">
        <is>
          <t>KSH EXPRESS</t>
        </is>
      </c>
      <c r="D416" s="144" t="n">
        <v>23128621661</v>
      </c>
      <c r="E416" s="144" t="inlineStr">
        <is>
          <t>FLAT</t>
        </is>
      </c>
      <c r="F416" s="144" t="inlineStr">
        <is>
          <t>RC35788 MI</t>
        </is>
      </c>
      <c r="G416" s="144" t="inlineStr">
        <is>
          <t>BLUE KENWORTH</t>
        </is>
      </c>
      <c r="H416" s="144" t="n">
        <v>1221</v>
      </c>
      <c r="I416" s="144" t="inlineStr">
        <is>
          <t>COMMERCIAL</t>
        </is>
      </c>
    </row>
    <row r="417" ht="18" customHeight="1" s="7">
      <c r="A417" s="144" t="inlineStr">
        <is>
          <t>KIM SPENCER</t>
        </is>
      </c>
      <c r="B417" s="144" t="inlineStr">
        <is>
          <t>*000034107958 NC</t>
        </is>
      </c>
      <c r="C417" s="144" t="inlineStr">
        <is>
          <t>MOORE TRANS</t>
        </is>
      </c>
      <c r="D417" s="144" t="n">
        <v>9107899603</v>
      </c>
      <c r="E417" s="144" t="inlineStr">
        <is>
          <t>FLAT</t>
        </is>
      </c>
      <c r="F417" s="144" t="inlineStr">
        <is>
          <t>ML9806 NC</t>
        </is>
      </c>
      <c r="G417" s="144" t="inlineStr">
        <is>
          <t>GREEN KENWORTH</t>
        </is>
      </c>
      <c r="H417" s="144" t="n">
        <v>1221</v>
      </c>
      <c r="I417" s="144" t="inlineStr">
        <is>
          <t>COMMERCIAL</t>
        </is>
      </c>
    </row>
    <row r="418" ht="18" customHeight="1" s="7">
      <c r="A418" s="144" t="inlineStr">
        <is>
          <t>DANIEL SALTER</t>
        </is>
      </c>
      <c r="B418" s="144" t="inlineStr">
        <is>
          <t>S436177884180 FL</t>
        </is>
      </c>
      <c r="C418" s="144" t="inlineStr">
        <is>
          <t>WHALEY FOOD SERVICE</t>
        </is>
      </c>
      <c r="D418" s="144" t="n">
        <v>3345005966</v>
      </c>
      <c r="E418" s="144" t="inlineStr">
        <is>
          <t>VAN</t>
        </is>
      </c>
      <c r="F418" s="144" t="inlineStr">
        <is>
          <t>38C000P AL</t>
        </is>
      </c>
      <c r="G418" s="144" t="inlineStr">
        <is>
          <t>WHITE GMC</t>
        </is>
      </c>
      <c r="H418" s="144" t="n">
        <v>7501</v>
      </c>
      <c r="I418" s="144" t="inlineStr">
        <is>
          <t xml:space="preserve">CONTRACTOR </t>
        </is>
      </c>
    </row>
    <row r="419" ht="18" customHeight="1" s="7">
      <c r="A419" s="144" t="inlineStr">
        <is>
          <t>CONRAD MCDUFFIE JR</t>
        </is>
      </c>
      <c r="B419" s="144" t="inlineStr">
        <is>
          <t>*040627827 GA</t>
        </is>
      </c>
      <c r="C419" s="144" t="inlineStr">
        <is>
          <t>JUNIORS</t>
        </is>
      </c>
      <c r="D419" s="144" t="n">
        <v>2298836680</v>
      </c>
      <c r="E419" s="144" t="inlineStr">
        <is>
          <t>PU</t>
        </is>
      </c>
      <c r="F419" s="144" t="inlineStr">
        <is>
          <t>EQH101 GA</t>
        </is>
      </c>
      <c r="G419" s="144" t="inlineStr">
        <is>
          <t>WHITE DODGE</t>
        </is>
      </c>
      <c r="H419" s="144" t="inlineStr">
        <is>
          <t>HOBBY SHOP</t>
        </is>
      </c>
      <c r="I419" s="144" t="inlineStr">
        <is>
          <t xml:space="preserve">CONTRACTOR </t>
        </is>
      </c>
    </row>
    <row r="420" ht="18" customHeight="1" s="7">
      <c r="A420" s="144" t="inlineStr">
        <is>
          <t>BEN PASSOULE</t>
        </is>
      </c>
      <c r="B420" s="144" t="inlineStr">
        <is>
          <t>*060839625 GA</t>
        </is>
      </c>
      <c r="C420" s="144" t="inlineStr">
        <is>
          <t>FREIGHT INTER</t>
        </is>
      </c>
      <c r="D420" s="144" t="n">
        <v>7138821057</v>
      </c>
      <c r="E420" s="144" t="inlineStr">
        <is>
          <t>BOX</t>
        </is>
      </c>
      <c r="F420" s="144" t="inlineStr">
        <is>
          <t>C401ES GA</t>
        </is>
      </c>
      <c r="G420" s="144" t="inlineStr">
        <is>
          <t>WHITE VOLVO</t>
        </is>
      </c>
      <c r="H420" s="144" t="n">
        <v>1221</v>
      </c>
      <c r="I420" s="144" t="inlineStr">
        <is>
          <t>COMMERCIAL</t>
        </is>
      </c>
    </row>
    <row r="421" ht="18" customHeight="1" s="7">
      <c r="A421" s="144" t="inlineStr">
        <is>
          <t>JOHN WARREN</t>
        </is>
      </c>
      <c r="B421" s="144" t="inlineStr">
        <is>
          <t>W650429139394 MI</t>
        </is>
      </c>
      <c r="C421" s="144" t="inlineStr">
        <is>
          <t>TOTAL EXPRESS</t>
        </is>
      </c>
      <c r="D421" s="144" t="n">
        <v>8102581597</v>
      </c>
      <c r="E421" s="144" t="inlineStr">
        <is>
          <t>FLAT</t>
        </is>
      </c>
      <c r="F421" s="144" t="inlineStr">
        <is>
          <t>P1066916 IL</t>
        </is>
      </c>
      <c r="G421" s="144" t="inlineStr">
        <is>
          <t>WHITE FREIGHTLINER</t>
        </is>
      </c>
      <c r="H421" s="144" t="n">
        <v>1221</v>
      </c>
      <c r="I421" s="144" t="inlineStr">
        <is>
          <t>COMMERCIAL</t>
        </is>
      </c>
    </row>
    <row r="422" ht="18" customHeight="1" s="7">
      <c r="A422" s="144" t="inlineStr">
        <is>
          <t>ANTONIO MORRIS</t>
        </is>
      </c>
      <c r="B422" s="144" t="inlineStr">
        <is>
          <t>*054286571 GA</t>
        </is>
      </c>
      <c r="C422" s="144" t="inlineStr">
        <is>
          <t>CONCRETE ENTERP</t>
        </is>
      </c>
      <c r="D422" s="144" t="n">
        <v>2298881904</v>
      </c>
      <c r="E422" s="144" t="inlineStr">
        <is>
          <t>CONCRETE</t>
        </is>
      </c>
      <c r="F422" s="144" t="inlineStr">
        <is>
          <t>GAI101 GA</t>
        </is>
      </c>
      <c r="G422" s="144" t="inlineStr">
        <is>
          <t>WHITE MACK</t>
        </is>
      </c>
      <c r="H422" s="144" t="inlineStr">
        <is>
          <t>HOUSING</t>
        </is>
      </c>
      <c r="I422" s="144" t="inlineStr">
        <is>
          <t xml:space="preserve">CONTRACTOR </t>
        </is>
      </c>
    </row>
    <row r="423" ht="18" customHeight="1" s="7">
      <c r="A423" s="144" t="inlineStr">
        <is>
          <t>TORRY PARKS</t>
        </is>
      </c>
      <c r="B423" s="144" t="inlineStr">
        <is>
          <t>*054348574 GA</t>
        </is>
      </c>
      <c r="C423" s="144" t="inlineStr">
        <is>
          <t>US FOODS</t>
        </is>
      </c>
      <c r="D423" s="144" t="n">
        <v>7067417358</v>
      </c>
      <c r="E423" s="144" t="inlineStr">
        <is>
          <t>BOX</t>
        </is>
      </c>
      <c r="F423" s="144" t="inlineStr">
        <is>
          <t>3047668 IN</t>
        </is>
      </c>
      <c r="G423" s="144" t="inlineStr">
        <is>
          <t>WHITE INTER</t>
        </is>
      </c>
      <c r="H423" s="144" t="n">
        <v>7501</v>
      </c>
      <c r="I423" s="144" t="inlineStr">
        <is>
          <t>COMMERCIAL</t>
        </is>
      </c>
    </row>
    <row r="424" ht="18" customHeight="1" s="7">
      <c r="A424" s="144" t="inlineStr">
        <is>
          <t>MARCUS BOWEN</t>
        </is>
      </c>
      <c r="B424" s="144" t="inlineStr">
        <is>
          <t>*055956318 GA</t>
        </is>
      </c>
      <c r="C424" s="144" t="inlineStr">
        <is>
          <t>GEM</t>
        </is>
      </c>
      <c r="D424" s="144" t="n">
        <v>9122421053</v>
      </c>
      <c r="E424" s="144" t="inlineStr">
        <is>
          <t>PU</t>
        </is>
      </c>
      <c r="F424" s="144" t="inlineStr">
        <is>
          <t>SEJ8920 GA</t>
        </is>
      </c>
      <c r="G424" s="144" t="inlineStr">
        <is>
          <t>WHITE DODGE</t>
        </is>
      </c>
      <c r="H424" s="144" t="n">
        <v>5400</v>
      </c>
      <c r="I424" s="144" t="inlineStr">
        <is>
          <t xml:space="preserve">CONTRACTOR </t>
        </is>
      </c>
    </row>
    <row r="425" ht="18" customHeight="1" s="7">
      <c r="A425" s="144" t="inlineStr">
        <is>
          <t>BAHTA GIRMAY</t>
        </is>
      </c>
      <c r="B425" s="144" t="inlineStr">
        <is>
          <t>35600886 TX</t>
        </is>
      </c>
      <c r="C425" s="144" t="inlineStr">
        <is>
          <t xml:space="preserve">NATIONWIDE </t>
        </is>
      </c>
      <c r="D425" s="144" t="n">
        <v>2105354100</v>
      </c>
      <c r="E425" s="144" t="inlineStr">
        <is>
          <t>BOX</t>
        </is>
      </c>
      <c r="F425" s="144" t="inlineStr">
        <is>
          <t>R621081 TX</t>
        </is>
      </c>
      <c r="G425" s="144" t="inlineStr">
        <is>
          <t>WHITE FREIGHTLINER</t>
        </is>
      </c>
      <c r="H425" s="144" t="n">
        <v>1221</v>
      </c>
      <c r="I425" s="144" t="inlineStr">
        <is>
          <t>COMMERCIAL</t>
        </is>
      </c>
    </row>
    <row r="426" ht="18" customHeight="1" s="7">
      <c r="A426" s="144" t="inlineStr">
        <is>
          <t>TEWOLDE MEHRETAB</t>
        </is>
      </c>
      <c r="B426" s="144" t="inlineStr">
        <is>
          <t>D206163001 MO</t>
        </is>
      </c>
      <c r="C426" s="144" t="inlineStr">
        <is>
          <t>DAWIT</t>
        </is>
      </c>
      <c r="D426" s="144" t="n">
        <v>8162611317</v>
      </c>
      <c r="E426" s="144" t="inlineStr">
        <is>
          <t>BOX</t>
        </is>
      </c>
      <c r="F426" s="144" t="inlineStr">
        <is>
          <t>YP10408 CA</t>
        </is>
      </c>
      <c r="G426" s="144" t="inlineStr">
        <is>
          <t>WHITE KW</t>
        </is>
      </c>
      <c r="H426" s="144" t="n">
        <v>1221</v>
      </c>
      <c r="I426" s="144" t="inlineStr">
        <is>
          <t>COMMERCIAL</t>
        </is>
      </c>
    </row>
    <row r="427" ht="18" customHeight="1" s="7">
      <c r="A427" s="144" t="inlineStr">
        <is>
          <t>WILLIAMS LENONARD</t>
        </is>
      </c>
      <c r="B427" s="144" t="inlineStr">
        <is>
          <t>W452522723690 FL</t>
        </is>
      </c>
      <c r="C427" s="144" t="inlineStr">
        <is>
          <t>HMD TRUCKING</t>
        </is>
      </c>
      <c r="D427" s="144" t="n">
        <v>4075768413</v>
      </c>
      <c r="E427" s="144" t="inlineStr">
        <is>
          <t>BOX</t>
        </is>
      </c>
      <c r="F427" s="144" t="inlineStr">
        <is>
          <t>2607481 IN</t>
        </is>
      </c>
      <c r="G427" s="144" t="inlineStr">
        <is>
          <t>WHITE PETERBILT</t>
        </is>
      </c>
      <c r="H427" s="144" t="n">
        <v>1221</v>
      </c>
      <c r="I427" s="144" t="inlineStr">
        <is>
          <t>COMMERCIAL</t>
        </is>
      </c>
    </row>
    <row r="428" ht="18" customHeight="1" s="7">
      <c r="A428" s="144" t="inlineStr">
        <is>
          <t>REYES FELIX</t>
        </is>
      </c>
      <c r="B428" s="144" t="inlineStr">
        <is>
          <t>000041753019 NC</t>
        </is>
      </c>
      <c r="C428" s="144" t="inlineStr">
        <is>
          <t>JIREH CARRIERS</t>
        </is>
      </c>
      <c r="D428" s="144" t="n">
        <v>7209372536</v>
      </c>
      <c r="E428" s="144" t="inlineStr">
        <is>
          <t>FLAT</t>
        </is>
      </c>
      <c r="F428" s="144" t="inlineStr">
        <is>
          <t>VV2808 NC</t>
        </is>
      </c>
      <c r="G428" s="144" t="inlineStr">
        <is>
          <t>BLUE PETERBILT</t>
        </is>
      </c>
      <c r="H428" s="144" t="n">
        <v>1221</v>
      </c>
      <c r="I428" s="144" t="inlineStr">
        <is>
          <t>COMMERCIAL</t>
        </is>
      </c>
    </row>
    <row r="429" ht="18" customHeight="1" s="7">
      <c r="A429" s="144" t="inlineStr">
        <is>
          <t>KOURABI AHMAD</t>
        </is>
      </c>
      <c r="B429" s="144" t="inlineStr">
        <is>
          <t>A7477706 CA</t>
        </is>
      </c>
      <c r="C429" s="144" t="inlineStr">
        <is>
          <t>KOURABI</t>
        </is>
      </c>
      <c r="D429" s="144" t="n">
        <v>7143810504</v>
      </c>
      <c r="E429" s="144" t="inlineStr">
        <is>
          <t>BOX</t>
        </is>
      </c>
      <c r="F429" s="144" t="inlineStr">
        <is>
          <t>YP22117 CA</t>
        </is>
      </c>
      <c r="G429" s="144" t="inlineStr">
        <is>
          <t>WHITE FREIGHTLINER</t>
        </is>
      </c>
      <c r="H429" s="144" t="n">
        <v>1221</v>
      </c>
      <c r="I429" s="144" t="inlineStr">
        <is>
          <t>COMMERCIAL</t>
        </is>
      </c>
    </row>
    <row r="430" ht="18" customHeight="1" s="7">
      <c r="A430" s="144" t="inlineStr">
        <is>
          <t>RAMIREZ ALEXIS</t>
        </is>
      </c>
      <c r="B430" s="144" t="inlineStr">
        <is>
          <t>R562016894480 FL</t>
        </is>
      </c>
      <c r="C430" s="144" t="inlineStr">
        <is>
          <t>LEX</t>
        </is>
      </c>
      <c r="D430" s="144" t="n">
        <v>7252009821</v>
      </c>
      <c r="E430" s="144" t="inlineStr">
        <is>
          <t>BOX</t>
        </is>
      </c>
      <c r="F430" s="144" t="inlineStr">
        <is>
          <t>P1275347 IL</t>
        </is>
      </c>
      <c r="G430" s="144" t="inlineStr">
        <is>
          <t>WHITE PETERBILT</t>
        </is>
      </c>
      <c r="H430" s="144" t="n">
        <v>1221</v>
      </c>
      <c r="I430" s="144" t="inlineStr">
        <is>
          <t>COMMERCIAL</t>
        </is>
      </c>
    </row>
    <row r="431" ht="18" customHeight="1" s="7">
      <c r="A431" s="144" t="inlineStr">
        <is>
          <t>ADRIAN MILLS</t>
        </is>
      </c>
      <c r="B431" s="144" t="inlineStr">
        <is>
          <t>*060477113 GA</t>
        </is>
      </c>
      <c r="C431" s="144" t="inlineStr">
        <is>
          <t>XPO LOGISTICS</t>
        </is>
      </c>
      <c r="D431" s="144" t="n">
        <v>2294858801</v>
      </c>
      <c r="E431" s="144" t="inlineStr">
        <is>
          <t>BOX</t>
        </is>
      </c>
      <c r="F431" s="144" t="inlineStr">
        <is>
          <t>3647527 IN</t>
        </is>
      </c>
      <c r="G431" s="144" t="inlineStr">
        <is>
          <t>WHITE FREIGHTLINER</t>
        </is>
      </c>
      <c r="H431" s="144" t="n">
        <v>1221</v>
      </c>
      <c r="I431" s="144" t="inlineStr">
        <is>
          <t>COMMERCIAL</t>
        </is>
      </c>
    </row>
    <row r="432" ht="18" customHeight="1" s="7">
      <c r="A432" s="144" t="inlineStr">
        <is>
          <t>MUSTAFIC AMIR</t>
        </is>
      </c>
      <c r="B432" s="144" t="inlineStr">
        <is>
          <t>30909273 PA</t>
        </is>
      </c>
      <c r="C432" s="144" t="inlineStr">
        <is>
          <t>EDOS</t>
        </is>
      </c>
      <c r="D432" s="144" t="n">
        <v>7178880250</v>
      </c>
      <c r="E432" s="144" t="inlineStr">
        <is>
          <t>BOX</t>
        </is>
      </c>
      <c r="F432" s="144" t="inlineStr">
        <is>
          <t>AG74042 PA</t>
        </is>
      </c>
      <c r="G432" s="144" t="inlineStr">
        <is>
          <t>WHITE FREIGHTLINER</t>
        </is>
      </c>
      <c r="H432" s="144" t="n">
        <v>1221</v>
      </c>
      <c r="I432" s="144" t="inlineStr">
        <is>
          <t>COMMERCIAL</t>
        </is>
      </c>
    </row>
    <row r="433" ht="18" customHeight="1" s="7">
      <c r="A433" s="144" t="inlineStr">
        <is>
          <t>JEREMY MIKEL</t>
        </is>
      </c>
      <c r="B433" s="144" t="inlineStr">
        <is>
          <t>*054301881 GA</t>
        </is>
      </c>
      <c r="C433" s="144" t="inlineStr">
        <is>
          <t>DHL</t>
        </is>
      </c>
      <c r="D433" s="144" t="n">
        <v>2294993881</v>
      </c>
      <c r="E433" s="144" t="inlineStr">
        <is>
          <t>BOX</t>
        </is>
      </c>
      <c r="F433" s="144" t="inlineStr">
        <is>
          <t>QREZ30 FL</t>
        </is>
      </c>
      <c r="G433" s="144" t="inlineStr">
        <is>
          <t>YELLOW FORD</t>
        </is>
      </c>
      <c r="H433" s="144" t="n">
        <v>1221</v>
      </c>
      <c r="I433" s="144" t="inlineStr">
        <is>
          <t xml:space="preserve">CONTRACTOR </t>
        </is>
      </c>
    </row>
    <row r="434" ht="18" customHeight="1" s="7">
      <c r="A434" s="144" t="inlineStr">
        <is>
          <t>KING HAMPTON JR</t>
        </is>
      </c>
      <c r="B434" s="144" t="inlineStr">
        <is>
          <t>904864689 AR</t>
        </is>
      </c>
      <c r="C434" s="144" t="inlineStr">
        <is>
          <t>A&amp;A HAULING</t>
        </is>
      </c>
      <c r="D434" s="144" t="n">
        <v>5015164377</v>
      </c>
      <c r="E434" s="144" t="inlineStr">
        <is>
          <t>BOX</t>
        </is>
      </c>
      <c r="F434" s="144" t="inlineStr">
        <is>
          <t>P286465 LA</t>
        </is>
      </c>
      <c r="G434" s="144" t="inlineStr">
        <is>
          <t>BLUE PETERBILT</t>
        </is>
      </c>
      <c r="H434" s="144" t="n">
        <v>1221</v>
      </c>
      <c r="I434" s="144" t="inlineStr">
        <is>
          <t>COMMERCIAL</t>
        </is>
      </c>
    </row>
    <row r="435" ht="18" customHeight="1" s="7">
      <c r="A435" s="144" t="inlineStr">
        <is>
          <t>TIM MANN</t>
        </is>
      </c>
      <c r="B435" s="144" t="inlineStr">
        <is>
          <t>*055707602 GA</t>
        </is>
      </c>
      <c r="C435" s="144" t="inlineStr">
        <is>
          <t>ESTES</t>
        </is>
      </c>
      <c r="D435" s="144" t="n">
        <v>2294341100</v>
      </c>
      <c r="E435" s="144" t="inlineStr">
        <is>
          <t>BOX</t>
        </is>
      </c>
      <c r="F435" s="144" t="inlineStr">
        <is>
          <t>3584262 IN</t>
        </is>
      </c>
      <c r="G435" s="144" t="inlineStr">
        <is>
          <t>YELLOW IN</t>
        </is>
      </c>
      <c r="H435" s="144" t="n">
        <v>1221</v>
      </c>
      <c r="I435" s="144" t="inlineStr">
        <is>
          <t>COMMERCIAL</t>
        </is>
      </c>
    </row>
    <row r="436" ht="18" customHeight="1" s="7">
      <c r="A436" s="144" t="inlineStr">
        <is>
          <t>FOWLER GEORGE</t>
        </is>
      </c>
      <c r="B436" s="144" t="inlineStr">
        <is>
          <t>14413588 TX</t>
        </is>
      </c>
      <c r="C436" s="144" t="inlineStr">
        <is>
          <t>4 C TRANS</t>
        </is>
      </c>
      <c r="D436" s="144" t="n">
        <v>8303746352</v>
      </c>
      <c r="E436" s="144" t="inlineStr">
        <is>
          <t>BOX</t>
        </is>
      </c>
      <c r="F436" s="144" t="inlineStr">
        <is>
          <t>R760960 TX</t>
        </is>
      </c>
      <c r="G436" s="144" t="inlineStr">
        <is>
          <t>GREY PETERBILT</t>
        </is>
      </c>
      <c r="H436" s="144" t="n">
        <v>1221</v>
      </c>
      <c r="I436" s="144" t="inlineStr">
        <is>
          <t>COMMERCIAL</t>
        </is>
      </c>
    </row>
    <row r="437" ht="18" customHeight="1" s="7">
      <c r="A437" s="144" t="inlineStr">
        <is>
          <t>RICHARD MARTINEAU</t>
        </is>
      </c>
      <c r="B437" s="144" t="inlineStr">
        <is>
          <t>*051936281</t>
        </is>
      </c>
      <c r="C437" s="144" t="inlineStr">
        <is>
          <t>JOHNSON SNACKS</t>
        </is>
      </c>
      <c r="D437" s="144" t="n">
        <v>2292964213</v>
      </c>
      <c r="E437" s="144" t="inlineStr">
        <is>
          <t>PU</t>
        </is>
      </c>
      <c r="F437" s="144" t="inlineStr">
        <is>
          <t>CZA5985 GA</t>
        </is>
      </c>
      <c r="G437" s="144" t="inlineStr">
        <is>
          <t>WHITE RAM</t>
        </is>
      </c>
      <c r="H437" s="144" t="n">
        <v>7501</v>
      </c>
      <c r="I437" s="144" t="inlineStr">
        <is>
          <t xml:space="preserve">CONTRACTOR </t>
        </is>
      </c>
    </row>
    <row r="438" ht="18" customHeight="1" s="7">
      <c r="A438" s="144" t="inlineStr">
        <is>
          <t>SIDNEY THOMAS</t>
        </is>
      </c>
      <c r="B438" s="144" t="inlineStr">
        <is>
          <t>*053489875 GA</t>
        </is>
      </c>
      <c r="C438" s="144" t="inlineStr">
        <is>
          <t>ULTRA SHRED</t>
        </is>
      </c>
      <c r="D438" s="144" t="n">
        <v>8776211234</v>
      </c>
      <c r="E438" s="144" t="inlineStr">
        <is>
          <t>BOX</t>
        </is>
      </c>
      <c r="F438" s="144" t="inlineStr">
        <is>
          <t>68DNTY FL</t>
        </is>
      </c>
      <c r="G438" s="144" t="inlineStr">
        <is>
          <t>WHITE FL</t>
        </is>
      </c>
      <c r="H438" s="144" t="n">
        <v>7000</v>
      </c>
      <c r="I438" s="144" t="inlineStr">
        <is>
          <t>COMMERCIAL</t>
        </is>
      </c>
    </row>
    <row r="439" ht="18" customHeight="1" s="7">
      <c r="A439" s="144" t="inlineStr">
        <is>
          <t>TERRANCE BELLAMY</t>
        </is>
      </c>
      <c r="B439" s="144" t="inlineStr">
        <is>
          <t>7626113 AL</t>
        </is>
      </c>
      <c r="C439" s="144" t="inlineStr">
        <is>
          <t>SPARTAN NASH</t>
        </is>
      </c>
      <c r="D439" s="144" t="n">
        <v>7063255486</v>
      </c>
      <c r="E439" s="144" t="inlineStr">
        <is>
          <t>BOX</t>
        </is>
      </c>
      <c r="F439" s="144" t="inlineStr">
        <is>
          <t>220357 NE</t>
        </is>
      </c>
      <c r="G439" s="144" t="inlineStr">
        <is>
          <t>WHITE IN</t>
        </is>
      </c>
      <c r="H439" s="144" t="n">
        <v>7501</v>
      </c>
      <c r="I439" s="144" t="inlineStr">
        <is>
          <t>COMMERCIAL</t>
        </is>
      </c>
    </row>
    <row r="440" ht="18" customHeight="1" s="7">
      <c r="A440" s="144" t="inlineStr">
        <is>
          <t>JONES JAYLAN</t>
        </is>
      </c>
      <c r="B440" s="144" t="inlineStr">
        <is>
          <t>*059071669 GA</t>
        </is>
      </c>
      <c r="C440" s="144" t="inlineStr">
        <is>
          <t>TTL</t>
        </is>
      </c>
      <c r="D440" s="144" t="n">
        <v>2293767614</v>
      </c>
      <c r="E440" s="144" t="inlineStr">
        <is>
          <t>PU</t>
        </is>
      </c>
      <c r="F440" s="144" t="inlineStr">
        <is>
          <t>SBI9109 GA</t>
        </is>
      </c>
      <c r="G440" s="144" t="inlineStr">
        <is>
          <t xml:space="preserve">WHITE TOYOTA </t>
        </is>
      </c>
      <c r="H440" s="144" t="n">
        <v>1331</v>
      </c>
      <c r="I440" s="144" t="inlineStr">
        <is>
          <t xml:space="preserve">CONTRACTOR </t>
        </is>
      </c>
    </row>
    <row r="441" ht="18" customHeight="1" s="7">
      <c r="A441" s="144" t="inlineStr">
        <is>
          <t>ULYSSES TURNER</t>
        </is>
      </c>
      <c r="B441" s="144" t="inlineStr">
        <is>
          <t>*050954120 GA</t>
        </is>
      </c>
      <c r="C441" s="144" t="inlineStr">
        <is>
          <t>KLB</t>
        </is>
      </c>
      <c r="D441" s="144" t="n">
        <v>2293080344</v>
      </c>
      <c r="E441" s="144" t="inlineStr">
        <is>
          <t>BOX</t>
        </is>
      </c>
      <c r="F441" s="144" t="inlineStr">
        <is>
          <t>R633928 TX</t>
        </is>
      </c>
      <c r="G441" s="144" t="inlineStr">
        <is>
          <t>BLACK FREIGHT</t>
        </is>
      </c>
      <c r="H441" s="144" t="n">
        <v>7501</v>
      </c>
      <c r="I441" s="144" t="inlineStr">
        <is>
          <t>COMMERCIAL</t>
        </is>
      </c>
    </row>
    <row r="442" ht="18" customHeight="1" s="7">
      <c r="A442" s="144" t="inlineStr">
        <is>
          <t>EDDIE KING</t>
        </is>
      </c>
      <c r="B442" s="144" t="inlineStr">
        <is>
          <t>*054300917 GA</t>
        </is>
      </c>
      <c r="C442" s="144" t="inlineStr">
        <is>
          <t>UNITED</t>
        </is>
      </c>
      <c r="D442" s="144" t="n">
        <v>2292996752</v>
      </c>
      <c r="E442" s="144" t="inlineStr">
        <is>
          <t>VAN</t>
        </is>
      </c>
      <c r="F442" s="144" t="inlineStr">
        <is>
          <t>TFD8990 GA</t>
        </is>
      </c>
      <c r="G442" s="144" t="inlineStr">
        <is>
          <t>WHITE DODGE</t>
        </is>
      </c>
      <c r="H442" s="144" t="n">
        <v>7501</v>
      </c>
      <c r="I442" s="144" t="inlineStr">
        <is>
          <t>COMMERCIAL</t>
        </is>
      </c>
    </row>
    <row r="443" ht="18" customHeight="1" s="7">
      <c r="A443" s="144" t="inlineStr">
        <is>
          <t>WILKERSON DAVID</t>
        </is>
      </c>
      <c r="B443" s="144" t="inlineStr">
        <is>
          <t>W426161591340 FL</t>
        </is>
      </c>
      <c r="C443" s="144" t="inlineStr">
        <is>
          <t>AF ATLANTIC</t>
        </is>
      </c>
      <c r="D443" s="144" t="n">
        <v>9047690384</v>
      </c>
      <c r="E443" s="144" t="inlineStr">
        <is>
          <t>BOX</t>
        </is>
      </c>
      <c r="F443" s="144" t="inlineStr">
        <is>
          <t>XC809C FL</t>
        </is>
      </c>
      <c r="G443" s="144" t="inlineStr">
        <is>
          <t>BLUE PETERBILT</t>
        </is>
      </c>
      <c r="H443" s="144" t="n">
        <v>1221</v>
      </c>
      <c r="I443" s="144" t="inlineStr">
        <is>
          <t>COMMERCIAL</t>
        </is>
      </c>
    </row>
    <row r="444" ht="18" customHeight="1" s="7">
      <c r="A444" s="144" t="inlineStr">
        <is>
          <t>CHRISTOPHER HUGGINS</t>
        </is>
      </c>
      <c r="B444" s="144" t="inlineStr">
        <is>
          <t>*056351642 GA</t>
        </is>
      </c>
      <c r="C444" s="144" t="inlineStr">
        <is>
          <t>OLD DOMINION</t>
        </is>
      </c>
      <c r="D444" s="144" t="n">
        <v>2293264226</v>
      </c>
      <c r="E444" s="144" t="inlineStr">
        <is>
          <t>BOX</t>
        </is>
      </c>
      <c r="F444" s="144" t="inlineStr">
        <is>
          <t>NH7591 NC</t>
        </is>
      </c>
      <c r="G444" s="144" t="inlineStr">
        <is>
          <t>GREEN FL</t>
        </is>
      </c>
      <c r="H444" s="144" t="n">
        <v>1351</v>
      </c>
      <c r="I444" s="144" t="inlineStr">
        <is>
          <t>COMMERCIAL</t>
        </is>
      </c>
    </row>
    <row r="445" ht="18" customHeight="1" s="7">
      <c r="A445" s="144" t="inlineStr">
        <is>
          <t>KENNETH MIKE</t>
        </is>
      </c>
      <c r="B445" s="144" t="inlineStr">
        <is>
          <t>*052441561 GA</t>
        </is>
      </c>
      <c r="C445" s="144" t="inlineStr">
        <is>
          <t xml:space="preserve">FEDEX </t>
        </is>
      </c>
      <c r="D445" s="144" t="n">
        <v>2298946567</v>
      </c>
      <c r="E445" s="144" t="inlineStr">
        <is>
          <t>BOX</t>
        </is>
      </c>
      <c r="F445" s="144" t="inlineStr">
        <is>
          <t>2133468 IN</t>
        </is>
      </c>
      <c r="G445" s="144" t="inlineStr">
        <is>
          <t>WHITE KW</t>
        </is>
      </c>
      <c r="H445" s="144" t="inlineStr">
        <is>
          <t>BW</t>
        </is>
      </c>
      <c r="I445" s="144" t="inlineStr">
        <is>
          <t>COMMERCIAL</t>
        </is>
      </c>
    </row>
    <row r="446" ht="18" customHeight="1" s="7">
      <c r="A446" s="144" t="inlineStr">
        <is>
          <t>JOHN O'BRIEN</t>
        </is>
      </c>
      <c r="B446" s="144" t="inlineStr">
        <is>
          <t>*050393981 GA</t>
        </is>
      </c>
      <c r="C446" s="144" t="inlineStr">
        <is>
          <t>WILLIAMS</t>
        </is>
      </c>
      <c r="D446" s="144" t="n">
        <v>9123832633</v>
      </c>
      <c r="E446" s="144" t="inlineStr">
        <is>
          <t>BOX</t>
        </is>
      </c>
      <c r="F446" s="144" t="inlineStr">
        <is>
          <t>GEQ337 GA</t>
        </is>
      </c>
      <c r="G446" s="144" t="inlineStr">
        <is>
          <t>WHITE FL</t>
        </is>
      </c>
      <c r="H446" s="144" t="n">
        <v>2200</v>
      </c>
      <c r="I446" s="144" t="inlineStr">
        <is>
          <t>COMMERCIAL</t>
        </is>
      </c>
    </row>
    <row r="447" ht="18" customHeight="1" s="7">
      <c r="A447" s="144" t="inlineStr">
        <is>
          <t>GABRIEL WILLIAMSON</t>
        </is>
      </c>
      <c r="B447" s="144" t="inlineStr">
        <is>
          <t>*059007512 GA</t>
        </is>
      </c>
      <c r="C447" s="144" t="inlineStr">
        <is>
          <t>ROTO ROOTER</t>
        </is>
      </c>
      <c r="D447" s="144" t="n">
        <v>2294495470</v>
      </c>
      <c r="E447" s="144" t="inlineStr">
        <is>
          <t>VAN</t>
        </is>
      </c>
      <c r="F447" s="144" t="inlineStr">
        <is>
          <t>TEA8280 GA</t>
        </is>
      </c>
      <c r="G447" s="144" t="inlineStr">
        <is>
          <t>WHITE FORD</t>
        </is>
      </c>
      <c r="H447" s="144" t="n">
        <v>1221</v>
      </c>
      <c r="I447" s="144" t="inlineStr">
        <is>
          <t xml:space="preserve">CONTRACTOR </t>
        </is>
      </c>
    </row>
    <row r="448" ht="18" customHeight="1" s="7">
      <c r="A448" s="144" t="inlineStr">
        <is>
          <t>LEE MUSGROVE</t>
        </is>
      </c>
      <c r="B448" s="144" t="inlineStr">
        <is>
          <t>*051443958 GA</t>
        </is>
      </c>
      <c r="C448" s="144" t="inlineStr">
        <is>
          <t>ABF</t>
        </is>
      </c>
      <c r="D448" s="144" t="n">
        <v>2293003251</v>
      </c>
      <c r="E448" s="144" t="inlineStr">
        <is>
          <t>BOX</t>
        </is>
      </c>
      <c r="F448" s="144" t="inlineStr">
        <is>
          <t>3BB096 OK</t>
        </is>
      </c>
      <c r="G448" s="144" t="inlineStr">
        <is>
          <t>GREEN MACK</t>
        </is>
      </c>
      <c r="H448" s="144" t="n">
        <v>1221</v>
      </c>
      <c r="I448" s="144" t="inlineStr">
        <is>
          <t>COMMERCIAL</t>
        </is>
      </c>
    </row>
    <row r="449" ht="18" customHeight="1" s="7">
      <c r="A449" s="144" t="inlineStr">
        <is>
          <t>CHRISTOPHER FRANCIS</t>
        </is>
      </c>
      <c r="B449" s="144" t="inlineStr">
        <is>
          <t>*059903683 GA</t>
        </is>
      </c>
      <c r="C449" s="144" t="inlineStr">
        <is>
          <t>W K EXPRESS</t>
        </is>
      </c>
      <c r="D449" s="144" t="n">
        <v>4048899645</v>
      </c>
      <c r="E449" s="144" t="inlineStr">
        <is>
          <t>FLAT</t>
        </is>
      </c>
      <c r="F449" s="144" t="inlineStr">
        <is>
          <t>AC78FA FL</t>
        </is>
      </c>
      <c r="G449" s="144" t="inlineStr">
        <is>
          <t>WHITE FL</t>
        </is>
      </c>
      <c r="H449" s="144" t="n">
        <v>1221</v>
      </c>
      <c r="I449" s="144" t="inlineStr">
        <is>
          <t>COMMERCIAL</t>
        </is>
      </c>
    </row>
    <row r="450" ht="18" customHeight="1" s="7">
      <c r="A450" s="144" t="inlineStr">
        <is>
          <t>DONALD WATSON</t>
        </is>
      </c>
      <c r="B450" s="144" t="inlineStr">
        <is>
          <t>*01996587 GA</t>
        </is>
      </c>
      <c r="C450" s="144" t="inlineStr">
        <is>
          <t>PAINT PRO</t>
        </is>
      </c>
      <c r="D450" s="144" t="n">
        <v>2292962712</v>
      </c>
      <c r="E450" s="144" t="inlineStr">
        <is>
          <t>PU</t>
        </is>
      </c>
      <c r="F450" s="144" t="inlineStr">
        <is>
          <t>SHQ5212 GA</t>
        </is>
      </c>
      <c r="G450" s="144" t="inlineStr">
        <is>
          <t>RED FORD</t>
        </is>
      </c>
      <c r="H450" s="144" t="n">
        <v>7500</v>
      </c>
      <c r="I450" s="144" t="inlineStr">
        <is>
          <t xml:space="preserve">CONTRACTOR </t>
        </is>
      </c>
    </row>
    <row r="451" ht="18" customHeight="1" s="7">
      <c r="A451" s="144" t="inlineStr">
        <is>
          <t>TYRONE SMITH</t>
        </is>
      </c>
      <c r="B451" s="144" t="inlineStr">
        <is>
          <t>*061029075 GA</t>
        </is>
      </c>
      <c r="C451" s="144" t="inlineStr">
        <is>
          <t>S&amp;S CONCRETE</t>
        </is>
      </c>
      <c r="D451" s="144" t="n">
        <v>2293224246</v>
      </c>
      <c r="E451" s="144" t="inlineStr">
        <is>
          <t xml:space="preserve">PU </t>
        </is>
      </c>
      <c r="F451" s="144" t="inlineStr">
        <is>
          <t>RRW6990 GA</t>
        </is>
      </c>
      <c r="G451" s="144" t="inlineStr">
        <is>
          <t>WHITE FORD</t>
        </is>
      </c>
      <c r="H451" s="144" t="n">
        <v>5400</v>
      </c>
      <c r="I451" s="144" t="inlineStr">
        <is>
          <t xml:space="preserve">CONTRACTOR </t>
        </is>
      </c>
    </row>
    <row r="452" ht="18" customHeight="1" s="7">
      <c r="A452" s="144" t="inlineStr">
        <is>
          <t>HUNTER MATHIS</t>
        </is>
      </c>
      <c r="B452" s="144" t="inlineStr">
        <is>
          <t>*058902055 GA</t>
        </is>
      </c>
      <c r="C452" s="144" t="inlineStr">
        <is>
          <t>SEPTIC SOLUTIONS</t>
        </is>
      </c>
      <c r="D452" s="144" t="n">
        <v>2298949294</v>
      </c>
      <c r="E452" s="144" t="inlineStr">
        <is>
          <t>PU</t>
        </is>
      </c>
      <c r="F452" s="144" t="inlineStr">
        <is>
          <t>CWB7130 GA</t>
        </is>
      </c>
      <c r="G452" s="144" t="inlineStr">
        <is>
          <t>WHITE FORD</t>
        </is>
      </c>
      <c r="H452" s="144" t="inlineStr">
        <is>
          <t>K-9</t>
        </is>
      </c>
      <c r="I452" s="144" t="inlineStr">
        <is>
          <t xml:space="preserve">CONTRACTOR </t>
        </is>
      </c>
    </row>
    <row r="453" ht="18" customHeight="1" s="7">
      <c r="A453" s="144" t="inlineStr">
        <is>
          <t>CUATT CARL</t>
        </is>
      </c>
      <c r="B453" s="144" t="inlineStr">
        <is>
          <t>*C300-543-58-2950 FL</t>
        </is>
      </c>
      <c r="C453" s="144" t="inlineStr">
        <is>
          <t>LANDSTAR</t>
        </is>
      </c>
      <c r="D453" s="144" t="inlineStr">
        <is>
          <t>386-623-2892</t>
        </is>
      </c>
      <c r="E453" s="144" t="inlineStr">
        <is>
          <t>BOX</t>
        </is>
      </c>
      <c r="F453" s="144" t="inlineStr">
        <is>
          <t xml:space="preserve">2509877 IN </t>
        </is>
      </c>
      <c r="G453" s="144" t="inlineStr">
        <is>
          <t>BLUE FREIGHTLINER</t>
        </is>
      </c>
      <c r="H453" s="144" t="n">
        <v>1221</v>
      </c>
      <c r="I453" s="144" t="inlineStr">
        <is>
          <t>COMMERCIAL</t>
        </is>
      </c>
    </row>
    <row r="454" ht="18" customHeight="1" s="7">
      <c r="A454" s="144" t="inlineStr">
        <is>
          <t>NICOLE JOHNSON</t>
        </is>
      </c>
      <c r="B454" s="144" t="inlineStr">
        <is>
          <t>*052562068 GA</t>
        </is>
      </c>
      <c r="C454" s="144" t="inlineStr">
        <is>
          <t>TAZMANIAN</t>
        </is>
      </c>
      <c r="D454" s="144" t="n">
        <v>4044281693</v>
      </c>
      <c r="E454" s="144" t="inlineStr">
        <is>
          <t>BOX</t>
        </is>
      </c>
      <c r="F454" s="144" t="inlineStr">
        <is>
          <t>C1115088 IN</t>
        </is>
      </c>
      <c r="G454" s="144" t="inlineStr">
        <is>
          <t>WHITE FREIGHTLINER</t>
        </is>
      </c>
      <c r="H454" s="144" t="n">
        <v>1221</v>
      </c>
      <c r="I454" s="144" t="inlineStr">
        <is>
          <t>COMMERCIAL</t>
        </is>
      </c>
    </row>
    <row r="455" ht="18" customHeight="1" s="7">
      <c r="A455" s="144" t="inlineStr">
        <is>
          <t>TAURUS HOWARD</t>
        </is>
      </c>
      <c r="B455" s="144" t="inlineStr">
        <is>
          <t>*055389066 GA</t>
        </is>
      </c>
      <c r="C455" s="144" t="inlineStr">
        <is>
          <t>PRO TRANSPORT</t>
        </is>
      </c>
      <c r="D455" s="144" t="n">
        <v>9123149736</v>
      </c>
      <c r="E455" s="144" t="inlineStr">
        <is>
          <t>BOX</t>
        </is>
      </c>
      <c r="F455" s="144" t="inlineStr">
        <is>
          <t>XE289B FL</t>
        </is>
      </c>
      <c r="G455" s="144" t="inlineStr">
        <is>
          <t>WHITE INTERNATIONAL</t>
        </is>
      </c>
      <c r="H455" s="144" t="n">
        <v>1221</v>
      </c>
      <c r="I455" s="144" t="inlineStr">
        <is>
          <t>COMMERCIAL</t>
        </is>
      </c>
    </row>
    <row r="456" ht="18" customHeight="1" s="7">
      <c r="A456" s="144" t="inlineStr">
        <is>
          <t>ELY JAY</t>
        </is>
      </c>
      <c r="B456" s="144" t="inlineStr">
        <is>
          <t>*000003322435 NC</t>
        </is>
      </c>
      <c r="C456" s="144" t="inlineStr">
        <is>
          <t xml:space="preserve">XLG </t>
        </is>
      </c>
      <c r="D456" s="144" t="n">
        <v>9103220651</v>
      </c>
      <c r="E456" s="144" t="inlineStr">
        <is>
          <t>FLAT</t>
        </is>
      </c>
      <c r="F456" s="144" t="inlineStr">
        <is>
          <t>3100731 IN</t>
        </is>
      </c>
      <c r="G456" s="144" t="inlineStr">
        <is>
          <t>GREY PETERBILT</t>
        </is>
      </c>
      <c r="H456" s="144" t="n">
        <v>1221</v>
      </c>
      <c r="I456" s="144" t="inlineStr">
        <is>
          <t>COMMERCIAL</t>
        </is>
      </c>
    </row>
    <row r="457" ht="18" customHeight="1" s="7">
      <c r="A457" s="144" t="inlineStr">
        <is>
          <t>ALBERT MELVIN</t>
        </is>
      </c>
      <c r="B457" s="144" t="inlineStr">
        <is>
          <t>*031016358 GA</t>
        </is>
      </c>
      <c r="C457" s="144" t="inlineStr">
        <is>
          <t>ALBANY AIR</t>
        </is>
      </c>
      <c r="D457" s="144" t="n">
        <v>2294360341</v>
      </c>
      <c r="E457" s="144" t="inlineStr">
        <is>
          <t>BPU</t>
        </is>
      </c>
      <c r="F457" s="144" t="inlineStr">
        <is>
          <t>CNQ2238 GA</t>
        </is>
      </c>
      <c r="G457" s="144" t="inlineStr">
        <is>
          <t>WHITE FORD</t>
        </is>
      </c>
      <c r="H457" s="144" t="n">
        <v>7450</v>
      </c>
      <c r="I457" s="144" t="inlineStr">
        <is>
          <t xml:space="preserve">CONTRACTOR </t>
        </is>
      </c>
    </row>
    <row r="458" ht="18" customHeight="1" s="7">
      <c r="A458" s="144" t="inlineStr">
        <is>
          <t>GREGORY COOK</t>
        </is>
      </c>
      <c r="B458" s="144" t="inlineStr">
        <is>
          <t>*C200288115477 MI</t>
        </is>
      </c>
      <c r="C458" s="144" t="inlineStr">
        <is>
          <t>LANDSTAR</t>
        </is>
      </c>
      <c r="D458" s="144" t="n">
        <v>2313492242</v>
      </c>
      <c r="E458" s="144" t="inlineStr">
        <is>
          <t>VAN</t>
        </is>
      </c>
      <c r="F458" s="144" t="inlineStr">
        <is>
          <t>DF06233 MI</t>
        </is>
      </c>
      <c r="G458" s="144" t="inlineStr">
        <is>
          <t>WHITE MERCEDES</t>
        </is>
      </c>
      <c r="H458" s="144" t="n">
        <v>1221</v>
      </c>
      <c r="I458" s="144" t="inlineStr">
        <is>
          <t xml:space="preserve">CONTRACTOR </t>
        </is>
      </c>
    </row>
    <row r="459" ht="18" customHeight="1" s="7">
      <c r="A459" s="144" t="inlineStr">
        <is>
          <t>LANZO ROBERTSON</t>
        </is>
      </c>
      <c r="B459" s="144" t="inlineStr">
        <is>
          <t>*055252465 GA</t>
        </is>
      </c>
      <c r="C459" s="144" t="inlineStr">
        <is>
          <t>PRO TRANSPORT</t>
        </is>
      </c>
      <c r="D459" s="144" t="n">
        <v>4782304246</v>
      </c>
      <c r="E459" s="144" t="inlineStr">
        <is>
          <t>BOX</t>
        </is>
      </c>
      <c r="F459" s="144" t="inlineStr">
        <is>
          <t>XE919B FL</t>
        </is>
      </c>
      <c r="G459" s="144" t="inlineStr">
        <is>
          <t>WHITE INTERNATIONAL</t>
        </is>
      </c>
      <c r="H459" s="144" t="n">
        <v>1221</v>
      </c>
      <c r="I459" s="144" t="inlineStr">
        <is>
          <t>COMMERCIAL</t>
        </is>
      </c>
    </row>
    <row r="460" ht="18" customHeight="1" s="7">
      <c r="A460" s="144" t="inlineStr">
        <is>
          <t>REX LAWSON</t>
        </is>
      </c>
      <c r="B460" s="144" t="inlineStr">
        <is>
          <t>*056534271 GA</t>
        </is>
      </c>
      <c r="C460" s="144" t="inlineStr">
        <is>
          <t>ALBANY AIR</t>
        </is>
      </c>
      <c r="D460" s="144" t="n">
        <v>2294360341</v>
      </c>
      <c r="E460" s="144" t="inlineStr">
        <is>
          <t>PU</t>
        </is>
      </c>
      <c r="F460" s="144" t="inlineStr">
        <is>
          <t>DAA7519 GA</t>
        </is>
      </c>
      <c r="G460" s="144" t="inlineStr">
        <is>
          <t>WHITE FORD</t>
        </is>
      </c>
      <c r="H460" s="144" t="n">
        <v>7450</v>
      </c>
      <c r="I460" s="144" t="inlineStr">
        <is>
          <t xml:space="preserve">CONTRACTOR </t>
        </is>
      </c>
    </row>
    <row r="461" ht="18" customHeight="1" s="7">
      <c r="A461" s="144" t="inlineStr">
        <is>
          <t>WHITT MARIE</t>
        </is>
      </c>
      <c r="B461" s="144" t="inlineStr">
        <is>
          <t>*000008918610 NC</t>
        </is>
      </c>
      <c r="C461" s="144" t="inlineStr">
        <is>
          <t>LANDSTAR</t>
        </is>
      </c>
      <c r="D461" s="144" t="n">
        <v>8283106814</v>
      </c>
      <c r="E461" s="144" t="inlineStr">
        <is>
          <t>BOX</t>
        </is>
      </c>
      <c r="F461" s="144" t="inlineStr">
        <is>
          <t>3411069 IN</t>
        </is>
      </c>
      <c r="G461" s="144" t="inlineStr">
        <is>
          <t>WHITE FREIGHTLINER</t>
        </is>
      </c>
      <c r="H461" s="144" t="n">
        <v>1221</v>
      </c>
      <c r="I461" s="144" t="inlineStr">
        <is>
          <t>COMMERCIAL</t>
        </is>
      </c>
    </row>
    <row r="462" ht="18" customHeight="1" s="7">
      <c r="A462" s="144" t="inlineStr">
        <is>
          <t>ALIYEV ZAMIN</t>
        </is>
      </c>
      <c r="B462" s="144" t="inlineStr">
        <is>
          <t>*B62700290 VA</t>
        </is>
      </c>
      <c r="C462" s="144" t="inlineStr">
        <is>
          <t>IMPERIAL EXPRESS</t>
        </is>
      </c>
      <c r="D462" s="144" t="n">
        <v>7573384112</v>
      </c>
      <c r="E462" s="144" t="inlineStr">
        <is>
          <t>FLAT</t>
        </is>
      </c>
      <c r="F462" s="144" t="inlineStr">
        <is>
          <t>33571 VA</t>
        </is>
      </c>
      <c r="G462" s="144" t="inlineStr">
        <is>
          <t>RED FREIGHTLINER</t>
        </is>
      </c>
      <c r="H462" s="144" t="n">
        <v>1221</v>
      </c>
      <c r="I462" s="144" t="inlineStr">
        <is>
          <t>COMMERCIAL</t>
        </is>
      </c>
    </row>
    <row r="463" ht="18" customHeight="1" s="7">
      <c r="A463" s="144" t="inlineStr">
        <is>
          <t>CHRISTOPHER WETZEL</t>
        </is>
      </c>
      <c r="B463" s="144" t="inlineStr">
        <is>
          <t>*10412011 AL</t>
        </is>
      </c>
      <c r="C463" s="144" t="inlineStr">
        <is>
          <t>XLG</t>
        </is>
      </c>
      <c r="D463" s="144" t="n">
        <v>6618395008</v>
      </c>
      <c r="E463" s="144" t="inlineStr">
        <is>
          <t>FLAT</t>
        </is>
      </c>
      <c r="F463" s="144" t="inlineStr">
        <is>
          <t>2876649 IN</t>
        </is>
      </c>
      <c r="G463" s="144" t="inlineStr">
        <is>
          <t>YELLOW PETERBILT</t>
        </is>
      </c>
      <c r="H463" s="144" t="n">
        <v>1221</v>
      </c>
      <c r="I463" s="144" t="inlineStr">
        <is>
          <t>COMMERCIAL</t>
        </is>
      </c>
    </row>
    <row r="464" ht="18" customHeight="1" s="7">
      <c r="A464" s="144" t="inlineStr">
        <is>
          <t>LEROY PRIESTER</t>
        </is>
      </c>
      <c r="B464" s="144" t="inlineStr">
        <is>
          <t>*004407961 SC</t>
        </is>
      </c>
      <c r="C464" s="144" t="inlineStr">
        <is>
          <t>PRO TRANSPORT</t>
        </is>
      </c>
      <c r="D464" s="144" t="n">
        <v>7626228246</v>
      </c>
      <c r="E464" s="144" t="inlineStr">
        <is>
          <t>BOX</t>
        </is>
      </c>
      <c r="F464" s="144" t="inlineStr">
        <is>
          <t>XE916B FL</t>
        </is>
      </c>
      <c r="G464" s="144" t="inlineStr">
        <is>
          <t>BLUE INTERNATIONAL</t>
        </is>
      </c>
      <c r="H464" s="144" t="n">
        <v>1221</v>
      </c>
      <c r="I464" s="144" t="inlineStr">
        <is>
          <t>COMMERCIAL</t>
        </is>
      </c>
    </row>
    <row r="465" ht="18" customHeight="1" s="7">
      <c r="A465" s="144" t="inlineStr">
        <is>
          <t>LOVEPREET SINGH</t>
        </is>
      </c>
      <c r="B465" s="144" t="inlineStr">
        <is>
          <t>*937128958 IN</t>
        </is>
      </c>
      <c r="C465" s="144" t="inlineStr">
        <is>
          <t>WILD WEST LOGISTICS</t>
        </is>
      </c>
      <c r="D465" s="144" t="n">
        <v>7206886436</v>
      </c>
      <c r="E465" s="144" t="inlineStr">
        <is>
          <t>BOX</t>
        </is>
      </c>
      <c r="F465" s="144" t="inlineStr">
        <is>
          <t>YP03806 CA</t>
        </is>
      </c>
      <c r="G465" s="144" t="inlineStr">
        <is>
          <t>WHITE FREIGHTLINER</t>
        </is>
      </c>
      <c r="H465" s="144" t="n">
        <v>1221</v>
      </c>
      <c r="I465" s="144" t="inlineStr">
        <is>
          <t>COMMERCIAL</t>
        </is>
      </c>
    </row>
    <row r="466" ht="18" customHeight="1" s="7">
      <c r="A466" s="144" t="inlineStr">
        <is>
          <t>LEOTIS FREEMAN</t>
        </is>
      </c>
      <c r="B466" s="144" t="inlineStr">
        <is>
          <t>*053271850 GA</t>
        </is>
      </c>
      <c r="C466" s="144" t="inlineStr">
        <is>
          <t>FED EX</t>
        </is>
      </c>
      <c r="D466" s="144" t="n">
        <v>6785961786</v>
      </c>
      <c r="E466" s="144" t="inlineStr">
        <is>
          <t>BOX</t>
        </is>
      </c>
      <c r="F466" s="144" t="inlineStr">
        <is>
          <t>2466597 IN</t>
        </is>
      </c>
      <c r="G466" s="144" t="inlineStr">
        <is>
          <t>WHITE KENWORTH</t>
        </is>
      </c>
      <c r="H466" s="144" t="n">
        <v>1220</v>
      </c>
      <c r="I466" s="144" t="inlineStr">
        <is>
          <t>COMMERCIAL</t>
        </is>
      </c>
    </row>
    <row r="467" ht="18" customHeight="1" s="7">
      <c r="A467" s="144" t="inlineStr">
        <is>
          <t>FELISMA CARME</t>
        </is>
      </c>
      <c r="B467" s="144" t="inlineStr">
        <is>
          <t>*F425104836431 FL</t>
        </is>
      </c>
      <c r="C467" s="144" t="inlineStr">
        <is>
          <t>TOP NOTCH</t>
        </is>
      </c>
      <c r="D467" s="144" t="n">
        <v>5618274648</v>
      </c>
      <c r="E467" s="144" t="inlineStr">
        <is>
          <t>BOX</t>
        </is>
      </c>
      <c r="F467" s="144" t="inlineStr">
        <is>
          <t>PXB8173 OH</t>
        </is>
      </c>
      <c r="G467" s="144" t="inlineStr">
        <is>
          <t>WHITE FREIGHTLINER</t>
        </is>
      </c>
      <c r="H467" s="144" t="n">
        <v>1221</v>
      </c>
      <c r="I467" s="144" t="inlineStr">
        <is>
          <t>COMMERCIAL</t>
        </is>
      </c>
    </row>
    <row r="468" ht="18" customHeight="1" s="7">
      <c r="A468" s="144" t="inlineStr">
        <is>
          <t>JASON JACOBS</t>
        </is>
      </c>
      <c r="B468" s="144" t="inlineStr">
        <is>
          <t>*7531084 AL</t>
        </is>
      </c>
      <c r="C468" s="144" t="inlineStr">
        <is>
          <t>SHERIDAN LOGISTICS</t>
        </is>
      </c>
      <c r="D468" s="144" t="n">
        <v>2057994117</v>
      </c>
      <c r="E468" s="144" t="inlineStr">
        <is>
          <t>FLAT</t>
        </is>
      </c>
      <c r="F468" s="144" t="inlineStr">
        <is>
          <t>3KC117 OK</t>
        </is>
      </c>
      <c r="G468" s="144" t="inlineStr">
        <is>
          <t>BLUE PETERBILT</t>
        </is>
      </c>
      <c r="H468" s="144" t="n">
        <v>1221</v>
      </c>
      <c r="I468" s="144" t="inlineStr">
        <is>
          <t>COMMERCIAL</t>
        </is>
      </c>
    </row>
    <row r="469" ht="18" customHeight="1" s="7">
      <c r="A469" s="144" t="inlineStr">
        <is>
          <t>RON LEE</t>
        </is>
      </c>
      <c r="B469" s="144" t="inlineStr">
        <is>
          <t>*049530551 GA</t>
        </is>
      </c>
      <c r="C469" s="144" t="inlineStr">
        <is>
          <t>PRO TRANSPORT</t>
        </is>
      </c>
      <c r="D469" s="144" t="n">
        <v>9123622211</v>
      </c>
      <c r="E469" s="144" t="inlineStr">
        <is>
          <t>BOX</t>
        </is>
      </c>
      <c r="F469" s="144" t="inlineStr">
        <is>
          <t>XE927B FL</t>
        </is>
      </c>
      <c r="G469" s="144" t="inlineStr">
        <is>
          <t>WHITE INTERNATIONAL</t>
        </is>
      </c>
      <c r="H469" s="144" t="n">
        <v>1221</v>
      </c>
      <c r="I469" s="144" t="inlineStr">
        <is>
          <t>COMMERCIAL</t>
        </is>
      </c>
    </row>
    <row r="470" ht="18" customHeight="1" s="7">
      <c r="A470" s="144" t="inlineStr">
        <is>
          <t>TAMAS NAGY</t>
        </is>
      </c>
      <c r="B470" s="144" t="inlineStr">
        <is>
          <t>*N200800793470 FL</t>
        </is>
      </c>
      <c r="C470" s="144" t="inlineStr">
        <is>
          <t>ATLANTIC FREIGHT</t>
        </is>
      </c>
      <c r="D470" s="144" t="n">
        <v>3866829584</v>
      </c>
      <c r="E470" s="144" t="inlineStr">
        <is>
          <t>FLAT</t>
        </is>
      </c>
      <c r="F470" s="144" t="inlineStr">
        <is>
          <t>XC814C FL</t>
        </is>
      </c>
      <c r="G470" s="144" t="inlineStr">
        <is>
          <t>BLACK KENWORTH</t>
        </is>
      </c>
      <c r="H470" s="144" t="n">
        <v>1221</v>
      </c>
      <c r="I470" s="144" t="inlineStr">
        <is>
          <t>COMMERCIAL</t>
        </is>
      </c>
    </row>
    <row r="471" ht="18" customHeight="1" s="7">
      <c r="A471" s="144" t="inlineStr">
        <is>
          <t>SEFKIJA BEGANOVIC</t>
        </is>
      </c>
      <c r="B471" s="144" t="inlineStr">
        <is>
          <t>*059189746 GA</t>
        </is>
      </c>
      <c r="C471" s="144" t="inlineStr">
        <is>
          <t>SOUTHSIDE TRANSPORT</t>
        </is>
      </c>
      <c r="D471" s="144" t="n">
        <v>7709255231</v>
      </c>
      <c r="E471" s="144" t="inlineStr">
        <is>
          <t>BOX</t>
        </is>
      </c>
      <c r="F471" s="144" t="inlineStr">
        <is>
          <t>C329DW GA</t>
        </is>
      </c>
      <c r="G471" s="144" t="inlineStr">
        <is>
          <t>RED FREIGHTLINER</t>
        </is>
      </c>
      <c r="H471" s="144" t="n">
        <v>1340</v>
      </c>
      <c r="I471" s="144" t="inlineStr">
        <is>
          <t>COMMERCIAL</t>
        </is>
      </c>
    </row>
    <row r="472" ht="18" customHeight="1" s="7">
      <c r="A472" s="144" t="inlineStr">
        <is>
          <t>EDWIN SMITH</t>
        </is>
      </c>
      <c r="B472" s="144" t="inlineStr">
        <is>
          <t>*054291080 GA</t>
        </is>
      </c>
      <c r="C472" s="144" t="inlineStr">
        <is>
          <t>ESTES</t>
        </is>
      </c>
      <c r="D472" s="144" t="n">
        <v>9047291711</v>
      </c>
      <c r="E472" s="144" t="inlineStr">
        <is>
          <t>BOX</t>
        </is>
      </c>
      <c r="F472" s="144" t="inlineStr">
        <is>
          <t>3588205 IN</t>
        </is>
      </c>
      <c r="G472" s="144" t="inlineStr">
        <is>
          <t>YELLOW FREIGHTLINER</t>
        </is>
      </c>
      <c r="H472" s="144" t="n">
        <v>1221</v>
      </c>
      <c r="I472" s="144" t="inlineStr">
        <is>
          <t>COMMERCIAL</t>
        </is>
      </c>
    </row>
    <row r="473" ht="18" customHeight="1" s="7">
      <c r="A473" s="144" t="inlineStr">
        <is>
          <t>BENJAMIN WALKER</t>
        </is>
      </c>
      <c r="B473" s="144" t="inlineStr">
        <is>
          <t>*057878110 GA</t>
        </is>
      </c>
      <c r="C473" s="144" t="inlineStr">
        <is>
          <t>POOL GEEKS</t>
        </is>
      </c>
      <c r="D473" s="144" t="n">
        <v>2294990820</v>
      </c>
      <c r="E473" s="144" t="inlineStr">
        <is>
          <t>PU</t>
        </is>
      </c>
      <c r="F473" s="144" t="inlineStr">
        <is>
          <t>SGM8699 GA</t>
        </is>
      </c>
      <c r="G473" s="144" t="inlineStr">
        <is>
          <t>WHITE FORD</t>
        </is>
      </c>
      <c r="H473" s="144" t="inlineStr">
        <is>
          <t>HOUSING</t>
        </is>
      </c>
      <c r="I473" s="144" t="inlineStr">
        <is>
          <t xml:space="preserve">CONTRACTOR </t>
        </is>
      </c>
    </row>
    <row r="474" ht="18" customHeight="1" s="7">
      <c r="A474" s="144" t="inlineStr">
        <is>
          <t>JESSE DOTSON</t>
        </is>
      </c>
      <c r="B474" s="144" t="inlineStr">
        <is>
          <t>*09426394 TN</t>
        </is>
      </c>
      <c r="C474" s="144" t="inlineStr">
        <is>
          <t>BAGGETT</t>
        </is>
      </c>
      <c r="D474" s="144" t="n">
        <v>6154180367</v>
      </c>
      <c r="E474" s="144" t="inlineStr">
        <is>
          <t>BOX</t>
        </is>
      </c>
      <c r="F474" s="144" t="inlineStr">
        <is>
          <t>3391856 IN</t>
        </is>
      </c>
      <c r="G474" s="144" t="inlineStr">
        <is>
          <t>BLACK VOLVO</t>
        </is>
      </c>
      <c r="H474" s="144" t="n">
        <v>1221</v>
      </c>
      <c r="I474" s="144" t="inlineStr">
        <is>
          <t>COMMERCIAL</t>
        </is>
      </c>
    </row>
    <row r="475" ht="18" customHeight="1" s="7">
      <c r="A475" s="144" t="inlineStr">
        <is>
          <t xml:space="preserve">COLE PARRISH </t>
        </is>
      </c>
      <c r="B475" s="144" t="inlineStr">
        <is>
          <t>*051349836 GA</t>
        </is>
      </c>
      <c r="C475" s="144" t="inlineStr">
        <is>
          <t>A-1 BRANTLEY</t>
        </is>
      </c>
      <c r="D475" s="144" t="n">
        <v>2294398123</v>
      </c>
      <c r="E475" s="144" t="inlineStr">
        <is>
          <t>DUMP</t>
        </is>
      </c>
      <c r="F475" s="144" t="inlineStr">
        <is>
          <t>EIS190 GA</t>
        </is>
      </c>
      <c r="G475" s="144" t="inlineStr">
        <is>
          <t>WHITE VOLVO</t>
        </is>
      </c>
      <c r="H475" s="144" t="n">
        <v>5500</v>
      </c>
      <c r="I475" s="144" t="inlineStr">
        <is>
          <t>COMMERCIAL</t>
        </is>
      </c>
    </row>
    <row r="476" ht="18" customHeight="1" s="7">
      <c r="A476" s="144" t="inlineStr">
        <is>
          <t>JAMES PRESLEY</t>
        </is>
      </c>
      <c r="B476" s="144" t="inlineStr">
        <is>
          <t>*057479813 GA</t>
        </is>
      </c>
      <c r="C476" s="144" t="inlineStr">
        <is>
          <t>LADE</t>
        </is>
      </c>
      <c r="D476" s="144" t="inlineStr">
        <is>
          <t>229 7859550</t>
        </is>
      </c>
      <c r="E476" s="144" t="inlineStr">
        <is>
          <t>PU</t>
        </is>
      </c>
      <c r="F476" s="144" t="inlineStr">
        <is>
          <t>SEJ8117 GA</t>
        </is>
      </c>
      <c r="G476" s="144" t="inlineStr">
        <is>
          <t>WHITE DODGE</t>
        </is>
      </c>
      <c r="H476" s="144" t="inlineStr">
        <is>
          <t>BW</t>
        </is>
      </c>
      <c r="I476" s="144" t="inlineStr">
        <is>
          <t xml:space="preserve">CONTRACTOR </t>
        </is>
      </c>
    </row>
    <row r="477" ht="18" customHeight="1" s="7">
      <c r="A477" s="144" t="inlineStr">
        <is>
          <t>DAVID JONES</t>
        </is>
      </c>
      <c r="B477" s="144" t="inlineStr">
        <is>
          <t>*000005003291 NC</t>
        </is>
      </c>
      <c r="C477" s="144" t="inlineStr">
        <is>
          <t>XLG</t>
        </is>
      </c>
      <c r="D477" s="144" t="n">
        <v>9109165198</v>
      </c>
      <c r="E477" s="144" t="inlineStr">
        <is>
          <t>FLAT</t>
        </is>
      </c>
      <c r="F477" s="144" t="inlineStr">
        <is>
          <t>2606818 IN</t>
        </is>
      </c>
      <c r="G477" s="144" t="inlineStr">
        <is>
          <t>YELLOW PETERBILT</t>
        </is>
      </c>
      <c r="H477" s="144" t="n">
        <v>1221</v>
      </c>
      <c r="I477" s="144" t="inlineStr">
        <is>
          <t>COMMERCIAL</t>
        </is>
      </c>
    </row>
    <row r="478" ht="18" customHeight="1" s="7">
      <c r="A478" s="144" t="inlineStr">
        <is>
          <t>FELIX CARTER</t>
        </is>
      </c>
      <c r="B478" s="144" t="inlineStr">
        <is>
          <t>*051559662 GA</t>
        </is>
      </c>
      <c r="C478" s="144" t="inlineStr">
        <is>
          <t>EHRLICH</t>
        </is>
      </c>
      <c r="D478" s="144" t="n">
        <v>8008176008</v>
      </c>
      <c r="E478" s="144" t="inlineStr">
        <is>
          <t>PU</t>
        </is>
      </c>
      <c r="F478" s="144" t="inlineStr">
        <is>
          <t>PJU H03 FL</t>
        </is>
      </c>
      <c r="G478" s="144" t="inlineStr">
        <is>
          <t xml:space="preserve">WHITE CHEVY </t>
        </is>
      </c>
      <c r="H478" s="144" t="n">
        <v>7501</v>
      </c>
      <c r="I478" s="144" t="inlineStr">
        <is>
          <t xml:space="preserve">CONTRACTOR </t>
        </is>
      </c>
    </row>
    <row r="479" ht="18" customHeight="1" s="7">
      <c r="A479" s="144" t="inlineStr">
        <is>
          <t>NORMAN CLIFFORD</t>
        </is>
      </c>
      <c r="B479" s="144" t="inlineStr">
        <is>
          <t>*842888369 NY</t>
        </is>
      </c>
      <c r="C479" s="144" t="inlineStr">
        <is>
          <t>MIGWAY</t>
        </is>
      </c>
      <c r="D479" s="144" t="n">
        <v>6315063429</v>
      </c>
      <c r="E479" s="144" t="inlineStr">
        <is>
          <t>BOX</t>
        </is>
      </c>
      <c r="F479" s="144" t="inlineStr">
        <is>
          <t>NP6112 NC</t>
        </is>
      </c>
      <c r="G479" s="144" t="inlineStr">
        <is>
          <t>WHITE FREIGHTLINER</t>
        </is>
      </c>
      <c r="H479" s="144" t="n">
        <v>1221</v>
      </c>
      <c r="I479" s="144" t="inlineStr">
        <is>
          <t>COMMERCIAL</t>
        </is>
      </c>
    </row>
    <row r="480" ht="18" customHeight="1" s="7">
      <c r="A480" s="144" t="inlineStr">
        <is>
          <t>JIMME BELL</t>
        </is>
      </c>
      <c r="B480" s="144" t="inlineStr">
        <is>
          <t>*054629571 GA</t>
        </is>
      </c>
      <c r="C480" s="144" t="inlineStr">
        <is>
          <t>CONCRETE ENTERP</t>
        </is>
      </c>
      <c r="D480" s="144" t="n">
        <v>2298881904</v>
      </c>
      <c r="E480" s="144" t="inlineStr">
        <is>
          <t>DUMP</t>
        </is>
      </c>
      <c r="F480" s="144" t="inlineStr">
        <is>
          <t>YBZ794 GA</t>
        </is>
      </c>
      <c r="G480" s="144" t="inlineStr">
        <is>
          <t>GREEN MACK</t>
        </is>
      </c>
      <c r="H480" s="144" t="inlineStr">
        <is>
          <t>BW</t>
        </is>
      </c>
      <c r="I480" s="144" t="inlineStr">
        <is>
          <t>COMMERCIAL</t>
        </is>
      </c>
    </row>
    <row r="481" ht="18" customHeight="1" s="7">
      <c r="A481" s="144" t="inlineStr">
        <is>
          <t>LEONARD OESTREICH</t>
        </is>
      </c>
      <c r="B481" s="144" t="inlineStr">
        <is>
          <t>*O236524680210 FL</t>
        </is>
      </c>
      <c r="C481" s="144" t="inlineStr">
        <is>
          <t>YK EXPRESS</t>
        </is>
      </c>
      <c r="D481" s="144" t="n">
        <v>3527572735</v>
      </c>
      <c r="E481" s="144" t="inlineStr">
        <is>
          <t>FLAT</t>
        </is>
      </c>
      <c r="F481" s="144" t="inlineStr">
        <is>
          <t>AC72FA FL</t>
        </is>
      </c>
      <c r="G481" s="144" t="inlineStr">
        <is>
          <t>RED FREIGHTLINER</t>
        </is>
      </c>
      <c r="H481" s="144" t="n">
        <v>1221</v>
      </c>
      <c r="I481" s="144" t="inlineStr">
        <is>
          <t>COMMERCIAL</t>
        </is>
      </c>
    </row>
    <row r="482" ht="18" customHeight="1" s="7">
      <c r="A482" s="144" t="inlineStr">
        <is>
          <t xml:space="preserve">ALSHEIKH HAMED </t>
        </is>
      </c>
      <c r="B482" s="144" t="inlineStr">
        <is>
          <t>42493754 TX</t>
        </is>
      </c>
      <c r="C482" s="144" t="inlineStr">
        <is>
          <t>IME</t>
        </is>
      </c>
      <c r="D482" s="144" t="n">
        <v>9453083754</v>
      </c>
      <c r="E482" s="144" t="inlineStr">
        <is>
          <t>BOX</t>
        </is>
      </c>
      <c r="F482" s="144" t="inlineStr">
        <is>
          <t>R748541 TX</t>
        </is>
      </c>
      <c r="G482" s="144" t="inlineStr">
        <is>
          <t>RED FL</t>
        </is>
      </c>
      <c r="H482" s="144" t="n">
        <v>1221</v>
      </c>
      <c r="I482" s="144" t="inlineStr">
        <is>
          <t>COMMERCIAL</t>
        </is>
      </c>
    </row>
    <row r="483" ht="18" customHeight="1" s="7">
      <c r="A483" s="144" t="inlineStr">
        <is>
          <t>CALVIN LIGHTFOOT</t>
        </is>
      </c>
      <c r="B483" s="144" t="inlineStr">
        <is>
          <t>*058118122 GA</t>
        </is>
      </c>
      <c r="C483" s="144" t="inlineStr">
        <is>
          <t>GLASS SERVICE</t>
        </is>
      </c>
      <c r="D483" s="144" t="n">
        <v>2294327454</v>
      </c>
      <c r="E483" s="144" t="inlineStr">
        <is>
          <t>PU</t>
        </is>
      </c>
      <c r="F483" s="144" t="inlineStr">
        <is>
          <t>RLD8236 GA</t>
        </is>
      </c>
      <c r="G483" s="144" t="inlineStr">
        <is>
          <t>WHITE CHEVY</t>
        </is>
      </c>
      <c r="H483" s="144" t="n">
        <v>5400</v>
      </c>
      <c r="I483" s="144" t="inlineStr">
        <is>
          <t xml:space="preserve">CONTRACTOR </t>
        </is>
      </c>
    </row>
    <row r="484" ht="18" customHeight="1" s="7">
      <c r="A484" s="144" t="inlineStr">
        <is>
          <t>WILLIAM PILCHER</t>
        </is>
      </c>
      <c r="B484" s="144" t="inlineStr">
        <is>
          <t>*058468045 GA</t>
        </is>
      </c>
      <c r="C484" s="144" t="inlineStr">
        <is>
          <t>PERRY BROS</t>
        </is>
      </c>
      <c r="D484" s="144" t="n">
        <v>2299240306</v>
      </c>
      <c r="E484" s="144" t="inlineStr">
        <is>
          <t>TANK</t>
        </is>
      </c>
      <c r="F484" s="144" t="inlineStr">
        <is>
          <t>PK699D GA</t>
        </is>
      </c>
      <c r="G484" s="144" t="inlineStr">
        <is>
          <t>TAN KW</t>
        </is>
      </c>
      <c r="H484" s="144" t="inlineStr">
        <is>
          <t>BW</t>
        </is>
      </c>
      <c r="I484" s="144" t="inlineStr">
        <is>
          <t>COMMERCIAL</t>
        </is>
      </c>
    </row>
    <row r="485" ht="18" customHeight="1" s="7">
      <c r="A485" s="144" t="inlineStr">
        <is>
          <t>KERRY BRUMBLEY</t>
        </is>
      </c>
      <c r="B485" s="144" t="inlineStr">
        <is>
          <t>*052094055 GA</t>
        </is>
      </c>
      <c r="C485" s="144" t="inlineStr">
        <is>
          <t>GA SPRINKLER</t>
        </is>
      </c>
      <c r="D485" s="144" t="n">
        <v>2292479939</v>
      </c>
      <c r="E485" s="144" t="inlineStr">
        <is>
          <t>PU</t>
        </is>
      </c>
      <c r="F485" s="144" t="inlineStr">
        <is>
          <t>RLY2714 GA</t>
        </is>
      </c>
      <c r="G485" s="144" t="inlineStr">
        <is>
          <t>WHITE TOYOTA</t>
        </is>
      </c>
      <c r="H485" s="144" t="n">
        <v>7450</v>
      </c>
      <c r="I485" s="144" t="inlineStr">
        <is>
          <t xml:space="preserve">CONTRACTOR </t>
        </is>
      </c>
    </row>
    <row r="486" ht="18" customHeight="1" s="7">
      <c r="A486" s="144" t="inlineStr">
        <is>
          <t>MICHAEL JOHNSON</t>
        </is>
      </c>
      <c r="B486" s="144" t="inlineStr">
        <is>
          <t>*050668936 GA</t>
        </is>
      </c>
      <c r="C486" s="144" t="inlineStr">
        <is>
          <t>NBW</t>
        </is>
      </c>
      <c r="D486" s="144" t="n">
        <v>6785087186</v>
      </c>
      <c r="E486" s="144" t="inlineStr">
        <is>
          <t>BOX</t>
        </is>
      </c>
      <c r="F486" s="144" t="inlineStr">
        <is>
          <t>2964791 IN</t>
        </is>
      </c>
      <c r="G486" s="144" t="inlineStr">
        <is>
          <t>WHT INT</t>
        </is>
      </c>
      <c r="H486" s="144" t="inlineStr">
        <is>
          <t>FIRE STATION</t>
        </is>
      </c>
      <c r="I486" s="144" t="inlineStr">
        <is>
          <t xml:space="preserve">CONTRACTOR </t>
        </is>
      </c>
    </row>
    <row r="487" ht="18" customHeight="1" s="7">
      <c r="A487" s="144" t="inlineStr">
        <is>
          <t>DAVARIS HARRISON</t>
        </is>
      </c>
      <c r="B487" s="144" t="inlineStr">
        <is>
          <t>049943014 GA</t>
        </is>
      </c>
      <c r="C487" s="144" t="inlineStr">
        <is>
          <t>GOGA</t>
        </is>
      </c>
      <c r="D487" s="144" t="n">
        <v>3233510013</v>
      </c>
      <c r="E487" s="144" t="inlineStr">
        <is>
          <t>BOX</t>
        </is>
      </c>
      <c r="F487" s="144" t="inlineStr">
        <is>
          <t>P1244278 IL</t>
        </is>
      </c>
      <c r="G487" s="144" t="inlineStr">
        <is>
          <t>WHT VOLVO</t>
        </is>
      </c>
      <c r="H487" s="144" t="n">
        <v>1221</v>
      </c>
      <c r="I487" s="144" t="inlineStr">
        <is>
          <t>COMMERCIAL</t>
        </is>
      </c>
    </row>
    <row r="488" ht="18" customHeight="1" s="7">
      <c r="A488" s="144" t="inlineStr">
        <is>
          <t>ROBERT LANE</t>
        </is>
      </c>
      <c r="B488" s="144" t="inlineStr">
        <is>
          <t>47237190 TX</t>
        </is>
      </c>
      <c r="C488" s="144" t="inlineStr">
        <is>
          <t>EDOS</t>
        </is>
      </c>
      <c r="D488" s="144" t="n">
        <v>3524085464</v>
      </c>
      <c r="E488" s="144" t="inlineStr">
        <is>
          <t>BOX</t>
        </is>
      </c>
      <c r="F488" s="144" t="inlineStr">
        <is>
          <t>AG74409 PA</t>
        </is>
      </c>
      <c r="G488" s="144" t="inlineStr">
        <is>
          <t>WHITE PETERBILT</t>
        </is>
      </c>
      <c r="H488" s="144" t="n">
        <v>1221</v>
      </c>
      <c r="I488" s="144" t="inlineStr">
        <is>
          <t>COMMERCIAL</t>
        </is>
      </c>
    </row>
    <row r="489" ht="18" customHeight="1" s="7">
      <c r="A489" s="144" t="inlineStr">
        <is>
          <t>CHARLES HENDERSON</t>
        </is>
      </c>
      <c r="B489" s="144" t="inlineStr">
        <is>
          <t>*050644101 GA</t>
        </is>
      </c>
      <c r="C489" s="144" t="inlineStr">
        <is>
          <t>W.T MILLER</t>
        </is>
      </c>
      <c r="D489" s="144" t="n">
        <v>7063202171</v>
      </c>
      <c r="E489" s="144" t="inlineStr">
        <is>
          <t>PU</t>
        </is>
      </c>
      <c r="F489" s="144" t="inlineStr">
        <is>
          <t>GFM846 GA</t>
        </is>
      </c>
      <c r="G489" s="144" t="inlineStr">
        <is>
          <t>WHITE CHEVY</t>
        </is>
      </c>
      <c r="H489" s="144" t="n">
        <v>10200</v>
      </c>
      <c r="I489" s="144" t="inlineStr">
        <is>
          <t xml:space="preserve">CONTRACTOR </t>
        </is>
      </c>
    </row>
    <row r="490" ht="18" customHeight="1" s="7">
      <c r="A490" s="144" t="inlineStr">
        <is>
          <t>AUREL ARDELEAN</t>
        </is>
      </c>
      <c r="B490" s="144" t="inlineStr">
        <is>
          <t>A634074018767 MI</t>
        </is>
      </c>
      <c r="C490" s="144" t="inlineStr">
        <is>
          <t>PRO FORWARD</t>
        </is>
      </c>
      <c r="D490" s="144" t="n">
        <v>7342182425</v>
      </c>
      <c r="E490" s="144" t="inlineStr">
        <is>
          <t>BOX</t>
        </is>
      </c>
      <c r="F490" s="144" t="inlineStr">
        <is>
          <t>RC26868 MI</t>
        </is>
      </c>
      <c r="G490" s="144" t="inlineStr">
        <is>
          <t>WHITE FREIGHTLINER</t>
        </is>
      </c>
      <c r="H490" s="144" t="n">
        <v>1221</v>
      </c>
      <c r="I490" s="144" t="inlineStr">
        <is>
          <t>COMMERCIAL</t>
        </is>
      </c>
    </row>
    <row r="491" ht="18" customHeight="1" s="7">
      <c r="A491" s="144" t="inlineStr">
        <is>
          <t>JEREMY BROOKS</t>
        </is>
      </c>
      <c r="B491" s="186" t="inlineStr">
        <is>
          <t>*057743384 GA</t>
        </is>
      </c>
      <c r="C491" s="184" t="inlineStr">
        <is>
          <t>AUTOMATIC SPRINKLER</t>
        </is>
      </c>
      <c r="D491" s="185" t="n">
        <v>2294397373</v>
      </c>
      <c r="E491" s="144" t="inlineStr">
        <is>
          <t>PU</t>
        </is>
      </c>
      <c r="F491" s="144" t="inlineStr">
        <is>
          <t>TEL0214 GA</t>
        </is>
      </c>
      <c r="G491" s="144" t="inlineStr">
        <is>
          <t xml:space="preserve">WHITE CHEVY </t>
        </is>
      </c>
      <c r="H491" s="144" t="n">
        <v>2272</v>
      </c>
      <c r="I491" s="144" t="inlineStr">
        <is>
          <t xml:space="preserve">CONTRACTOR </t>
        </is>
      </c>
    </row>
    <row r="492" ht="18" customHeight="1" s="7">
      <c r="A492" s="144" t="inlineStr">
        <is>
          <t>DWAYNE CHARLES</t>
        </is>
      </c>
      <c r="B492" s="144" t="inlineStr">
        <is>
          <t>*070283480 GA</t>
        </is>
      </c>
      <c r="C492" s="144" t="inlineStr">
        <is>
          <t>HOME DEPOT</t>
        </is>
      </c>
      <c r="D492" s="144" t="n">
        <v>2295756590</v>
      </c>
      <c r="E492" s="144" t="inlineStr">
        <is>
          <t>FLAT</t>
        </is>
      </c>
      <c r="F492" s="144" t="inlineStr">
        <is>
          <t>3724533 IN</t>
        </is>
      </c>
      <c r="G492" s="144" t="inlineStr">
        <is>
          <t>WHITE FREIGHTLINER</t>
        </is>
      </c>
      <c r="H492" s="144" t="n">
        <v>1330</v>
      </c>
      <c r="I492" s="144" t="inlineStr">
        <is>
          <t>COMMERCIAL</t>
        </is>
      </c>
    </row>
    <row r="493" ht="18" customHeight="1" s="7">
      <c r="A493" s="144" t="inlineStr">
        <is>
          <t>LAHU HYZRI</t>
        </is>
      </c>
      <c r="B493" s="144" t="inlineStr">
        <is>
          <t>L09933782 KY</t>
        </is>
      </c>
      <c r="C493" s="144" t="inlineStr">
        <is>
          <t>EAST B&amp;H</t>
        </is>
      </c>
      <c r="D493" s="144" t="n">
        <v>5022951304</v>
      </c>
      <c r="E493" s="144" t="inlineStr">
        <is>
          <t>BOX</t>
        </is>
      </c>
      <c r="F493" s="144" t="inlineStr">
        <is>
          <t>A91335 KY</t>
        </is>
      </c>
      <c r="G493" s="144" t="inlineStr">
        <is>
          <t>ORANGE VOLVO</t>
        </is>
      </c>
      <c r="H493" s="144" t="n">
        <v>1221</v>
      </c>
      <c r="I493" s="144" t="inlineStr">
        <is>
          <t>COMMERCIAL</t>
        </is>
      </c>
    </row>
    <row r="494" ht="18" customHeight="1" s="7">
      <c r="A494" s="144" t="inlineStr">
        <is>
          <t>JAMES FITZPATRICK</t>
        </is>
      </c>
      <c r="B494" s="144" t="inlineStr">
        <is>
          <t>*055810532 GA</t>
        </is>
      </c>
      <c r="C494" s="144" t="inlineStr">
        <is>
          <t>SPARTAN NASH</t>
        </is>
      </c>
      <c r="D494" s="144" t="n">
        <v>7065058249</v>
      </c>
      <c r="E494" s="144" t="inlineStr">
        <is>
          <t>BOX</t>
        </is>
      </c>
      <c r="F494" s="144" t="inlineStr">
        <is>
          <t>220608 NB</t>
        </is>
      </c>
      <c r="G494" s="144" t="inlineStr">
        <is>
          <t>WHITE INTERNATIONAL</t>
        </is>
      </c>
      <c r="H494" s="144" t="n">
        <v>7501</v>
      </c>
      <c r="I494" s="144" t="inlineStr">
        <is>
          <t>COMMERCIAL</t>
        </is>
      </c>
    </row>
    <row r="495" ht="18" customHeight="1" s="7">
      <c r="A495" s="144" t="inlineStr">
        <is>
          <t>CALVIN WINGFIELD</t>
        </is>
      </c>
      <c r="B495" s="144" t="inlineStr">
        <is>
          <t>*050303066 GA</t>
        </is>
      </c>
      <c r="C495" s="144" t="inlineStr">
        <is>
          <t>CONCRETE ENTERP</t>
        </is>
      </c>
      <c r="D495" s="144" t="n">
        <v>2293524300</v>
      </c>
      <c r="E495" s="144" t="inlineStr">
        <is>
          <t>DUMP</t>
        </is>
      </c>
      <c r="F495" s="144" t="inlineStr">
        <is>
          <t>C1113647 GA TEMP</t>
        </is>
      </c>
      <c r="G495" s="144" t="inlineStr">
        <is>
          <t>WHITE FREIGHTLINER</t>
        </is>
      </c>
      <c r="H495" s="144" t="n">
        <v>2200</v>
      </c>
      <c r="I495" s="144" t="inlineStr">
        <is>
          <t>COMMERCIAL</t>
        </is>
      </c>
    </row>
    <row r="496" ht="18" customHeight="1" s="7">
      <c r="A496" s="144" t="inlineStr">
        <is>
          <t>ALEZANDRO MOORE</t>
        </is>
      </c>
      <c r="B496" s="144" t="inlineStr">
        <is>
          <t>*032918946 GA</t>
        </is>
      </c>
      <c r="C496" s="144" t="inlineStr">
        <is>
          <t>KLB SOUTH</t>
        </is>
      </c>
      <c r="D496" s="144" t="n">
        <v>2296729696</v>
      </c>
      <c r="E496" s="144" t="inlineStr">
        <is>
          <t>BOX</t>
        </is>
      </c>
      <c r="F496" s="144" t="inlineStr">
        <is>
          <t>R704341 TX</t>
        </is>
      </c>
      <c r="G496" s="144" t="inlineStr">
        <is>
          <t>BLUE FREIGHTLINER</t>
        </is>
      </c>
      <c r="H496" s="144" t="n">
        <v>7501</v>
      </c>
      <c r="I496" s="144" t="inlineStr">
        <is>
          <t>COMMERCIAL</t>
        </is>
      </c>
    </row>
    <row r="497" ht="18" customHeight="1" s="7">
      <c r="A497" s="144" t="inlineStr">
        <is>
          <t>BRYAN LARKLIN</t>
        </is>
      </c>
      <c r="B497" s="144" t="inlineStr">
        <is>
          <t>*071324343 GA</t>
        </is>
      </c>
      <c r="C497" s="144" t="inlineStr">
        <is>
          <t>INTELLIGENTLY VISUALIZING</t>
        </is>
      </c>
      <c r="D497" s="144" t="n">
        <v>5167374963</v>
      </c>
      <c r="E497" s="144" t="inlineStr">
        <is>
          <t>PU</t>
        </is>
      </c>
      <c r="F497" s="144" t="inlineStr">
        <is>
          <t>SGN8374 GA</t>
        </is>
      </c>
      <c r="G497" s="144" t="inlineStr">
        <is>
          <t xml:space="preserve">WHITE CHEVY </t>
        </is>
      </c>
      <c r="H497" s="144" t="n">
        <v>7501</v>
      </c>
      <c r="I497" s="144" t="inlineStr">
        <is>
          <t xml:space="preserve">CONTRACTOR </t>
        </is>
      </c>
    </row>
    <row r="498" ht="18" customHeight="1" s="7">
      <c r="A498" s="144" t="inlineStr">
        <is>
          <t>EARNEST WILLIAMS</t>
        </is>
      </c>
      <c r="B498" s="144" t="inlineStr">
        <is>
          <t>*054833665 GA</t>
        </is>
      </c>
      <c r="C498" s="144" t="inlineStr">
        <is>
          <t>ACT</t>
        </is>
      </c>
      <c r="D498" s="144" t="n">
        <v>2294351385</v>
      </c>
      <c r="E498" s="144" t="inlineStr">
        <is>
          <t>BOX</t>
        </is>
      </c>
      <c r="F498" s="144" t="inlineStr">
        <is>
          <t>R515695 TX</t>
        </is>
      </c>
      <c r="G498" s="144" t="inlineStr">
        <is>
          <t>BLUE FL</t>
        </is>
      </c>
      <c r="H498" s="144" t="n">
        <v>1221</v>
      </c>
      <c r="I498" s="144" t="inlineStr">
        <is>
          <t>COMMERCIAL</t>
        </is>
      </c>
    </row>
    <row r="499" ht="18" customHeight="1" s="7">
      <c r="A499" s="144" t="inlineStr">
        <is>
          <t>MELVIN ROBERTS</t>
        </is>
      </c>
      <c r="B499" s="144" t="inlineStr">
        <is>
          <t>*054820894 GA</t>
        </is>
      </c>
      <c r="C499" s="144" t="inlineStr">
        <is>
          <t>SRS</t>
        </is>
      </c>
      <c r="D499" s="144" t="n">
        <v>2293388080</v>
      </c>
      <c r="E499" s="144" t="inlineStr">
        <is>
          <t>FLAT</t>
        </is>
      </c>
      <c r="F499" s="144" t="inlineStr">
        <is>
          <t>P608CM GA</t>
        </is>
      </c>
      <c r="G499" s="144" t="inlineStr">
        <is>
          <t>WHITE INTERNATIONAL</t>
        </is>
      </c>
      <c r="H499" s="144" t="n">
        <v>7450</v>
      </c>
      <c r="I499" s="144" t="inlineStr">
        <is>
          <t>COMMERCIAL</t>
        </is>
      </c>
    </row>
    <row r="500" ht="18" customHeight="1" s="7">
      <c r="A500" s="144" t="inlineStr">
        <is>
          <t>TAVARES MAYS</t>
        </is>
      </c>
      <c r="B500" s="144" t="inlineStr">
        <is>
          <t>*051480250 GA</t>
        </is>
      </c>
      <c r="C500" s="144" t="inlineStr">
        <is>
          <t>PRO TRANSPORT</t>
        </is>
      </c>
      <c r="D500" s="144" t="n">
        <v>4782989664</v>
      </c>
      <c r="E500" s="144" t="inlineStr">
        <is>
          <t>BOX</t>
        </is>
      </c>
      <c r="F500" s="144" t="inlineStr">
        <is>
          <t>XE884B FL</t>
        </is>
      </c>
      <c r="G500" s="144" t="inlineStr">
        <is>
          <t>ORANGE FREIGHTLINER</t>
        </is>
      </c>
      <c r="H500" s="144" t="n">
        <v>1360</v>
      </c>
      <c r="I500" s="144" t="inlineStr">
        <is>
          <t>COMMERCIAL</t>
        </is>
      </c>
    </row>
    <row r="501" ht="18" customHeight="1" s="7">
      <c r="A501" s="144" t="inlineStr">
        <is>
          <t>DAVID CONROY</t>
        </is>
      </c>
      <c r="B501" s="144" t="inlineStr">
        <is>
          <t>*C329491150000 FL</t>
        </is>
      </c>
      <c r="C501" s="144" t="inlineStr">
        <is>
          <t>XLG TRANSPORT</t>
        </is>
      </c>
      <c r="D501" s="144" t="n">
        <v>9543832713</v>
      </c>
      <c r="E501" s="144" t="inlineStr">
        <is>
          <t>FLAT</t>
        </is>
      </c>
      <c r="F501" s="144" t="inlineStr">
        <is>
          <t>2875746 IN</t>
        </is>
      </c>
      <c r="G501" s="144" t="inlineStr">
        <is>
          <t>YELLOW KENWORTH</t>
        </is>
      </c>
      <c r="H501" s="144" t="n">
        <v>1221</v>
      </c>
      <c r="I501" s="144" t="inlineStr">
        <is>
          <t>COMMERCIAL</t>
        </is>
      </c>
    </row>
    <row r="502" ht="18" customHeight="1" s="7">
      <c r="A502" s="144" t="inlineStr">
        <is>
          <t>HELDIN GORDON</t>
        </is>
      </c>
      <c r="B502" s="144" t="inlineStr">
        <is>
          <t>*06028812 GA</t>
        </is>
      </c>
      <c r="C502" s="144" t="inlineStr">
        <is>
          <t>PRO TRANSPORT</t>
        </is>
      </c>
      <c r="D502" s="144" t="n">
        <v>7062887208</v>
      </c>
      <c r="E502" s="144" t="inlineStr">
        <is>
          <t>BOX</t>
        </is>
      </c>
      <c r="F502" s="144" t="inlineStr">
        <is>
          <t>XE3 27C FL</t>
        </is>
      </c>
      <c r="G502" s="144" t="inlineStr">
        <is>
          <t>BLUE INTERNATIONAL</t>
        </is>
      </c>
      <c r="H502" s="144" t="n">
        <v>1360</v>
      </c>
      <c r="I502" s="144" t="inlineStr">
        <is>
          <t>COMMERCIAL</t>
        </is>
      </c>
    </row>
    <row r="503" ht="18" customHeight="1" s="7">
      <c r="A503" s="144" t="inlineStr">
        <is>
          <t>JASMIN KARMIC</t>
        </is>
      </c>
      <c r="B503" s="144" t="inlineStr">
        <is>
          <t>*K01599246 KY</t>
        </is>
      </c>
      <c r="C503" s="144" t="inlineStr">
        <is>
          <t>ATLAS</t>
        </is>
      </c>
      <c r="D503" s="144" t="n">
        <v>2707912556</v>
      </c>
      <c r="E503" s="144" t="inlineStr">
        <is>
          <t>BOX</t>
        </is>
      </c>
      <c r="F503" s="144" t="inlineStr">
        <is>
          <t>A87017 KY</t>
        </is>
      </c>
      <c r="G503" s="144" t="inlineStr">
        <is>
          <t>WHITE VOLVO</t>
        </is>
      </c>
      <c r="H503" s="144" t="n">
        <v>1221</v>
      </c>
      <c r="I503" s="144" t="inlineStr">
        <is>
          <t>COMMERCIAL</t>
        </is>
      </c>
    </row>
    <row r="504" ht="18" customHeight="1" s="7">
      <c r="A504" s="144" t="inlineStr">
        <is>
          <t xml:space="preserve">SUSAN TRIGLOFF </t>
        </is>
      </c>
      <c r="B504" s="144" t="inlineStr">
        <is>
          <t>*P546101405815 MI</t>
        </is>
      </c>
      <c r="C504" s="144" t="inlineStr">
        <is>
          <t>XLG</t>
        </is>
      </c>
      <c r="D504" s="144" t="n">
        <v>5093892869</v>
      </c>
      <c r="E504" s="144" t="inlineStr">
        <is>
          <t>FLAT</t>
        </is>
      </c>
      <c r="F504" s="144" t="inlineStr">
        <is>
          <t>2588493 IN</t>
        </is>
      </c>
      <c r="G504" s="144" t="inlineStr">
        <is>
          <t>BLACK PETERBILT</t>
        </is>
      </c>
      <c r="H504" s="144" t="n">
        <v>1221</v>
      </c>
      <c r="I504" s="144" t="inlineStr">
        <is>
          <t>COMMERCIAL</t>
        </is>
      </c>
    </row>
    <row r="505" ht="18" customHeight="1" s="7">
      <c r="A505" s="144" t="inlineStr">
        <is>
          <t>JAMES COURTNEY</t>
        </is>
      </c>
      <c r="B505" s="144" t="inlineStr">
        <is>
          <t>*8939819849 IN</t>
        </is>
      </c>
      <c r="C505" s="144" t="inlineStr">
        <is>
          <t>XLG</t>
        </is>
      </c>
      <c r="D505" s="144" t="n">
        <v>8126204809</v>
      </c>
      <c r="E505" s="144" t="inlineStr">
        <is>
          <t>FLAT</t>
        </is>
      </c>
      <c r="F505" s="144" t="inlineStr">
        <is>
          <t>3436574 IN</t>
        </is>
      </c>
      <c r="G505" s="144" t="inlineStr">
        <is>
          <t>GREY PETERBILT</t>
        </is>
      </c>
      <c r="H505" s="144" t="n">
        <v>1221</v>
      </c>
      <c r="I505" s="144" t="inlineStr">
        <is>
          <t>COMMERCIAL</t>
        </is>
      </c>
    </row>
    <row r="506" ht="18" customHeight="1" s="7">
      <c r="A506" s="144" t="inlineStr">
        <is>
          <t>RON CLARK</t>
        </is>
      </c>
      <c r="B506" s="144" t="inlineStr">
        <is>
          <t>*058192143 GA</t>
        </is>
      </c>
      <c r="C506" s="144" t="inlineStr">
        <is>
          <t>BAS</t>
        </is>
      </c>
      <c r="D506" s="144" t="n">
        <v>18885283688</v>
      </c>
      <c r="E506" s="144" t="inlineStr">
        <is>
          <t>VAN</t>
        </is>
      </c>
      <c r="F506" s="144" t="inlineStr">
        <is>
          <t>QSFC34 FL</t>
        </is>
      </c>
      <c r="G506" s="144" t="inlineStr">
        <is>
          <t>WHITE NISSAN</t>
        </is>
      </c>
      <c r="H506" s="144" t="n">
        <v>7501</v>
      </c>
      <c r="I506" s="144" t="inlineStr">
        <is>
          <t>COMMERCIAL</t>
        </is>
      </c>
    </row>
    <row r="507" ht="18" customHeight="1" s="7">
      <c r="A507" s="144" t="inlineStr">
        <is>
          <t>HUSSAINI ALI</t>
        </is>
      </c>
      <c r="B507" s="144" t="inlineStr">
        <is>
          <t>*170745399 CO</t>
        </is>
      </c>
      <c r="C507" s="144" t="inlineStr">
        <is>
          <t>GLOBE</t>
        </is>
      </c>
      <c r="D507" s="144" t="n">
        <v>7205466959</v>
      </c>
      <c r="E507" s="144" t="inlineStr">
        <is>
          <t>BOX</t>
        </is>
      </c>
      <c r="F507" s="144" t="inlineStr">
        <is>
          <t>P1247403 IN</t>
        </is>
      </c>
      <c r="G507" s="144" t="inlineStr">
        <is>
          <t>RED FL</t>
        </is>
      </c>
      <c r="H507" s="144" t="n">
        <v>1221</v>
      </c>
      <c r="I507" s="144" t="inlineStr">
        <is>
          <t>COMMERCIAL</t>
        </is>
      </c>
    </row>
    <row r="508" ht="18" customHeight="1" s="7">
      <c r="A508" s="144" t="inlineStr">
        <is>
          <t xml:space="preserve">HICKS DESSERAY </t>
        </is>
      </c>
      <c r="B508" s="144" t="inlineStr">
        <is>
          <t>T618259507 VA</t>
        </is>
      </c>
      <c r="C508" s="144" t="inlineStr">
        <is>
          <t>TRILOGY</t>
        </is>
      </c>
      <c r="D508" s="144" t="n">
        <v>8045548382</v>
      </c>
      <c r="E508" s="144" t="inlineStr">
        <is>
          <t>BOX</t>
        </is>
      </c>
      <c r="F508" s="144" t="inlineStr">
        <is>
          <t>3642608 IN</t>
        </is>
      </c>
      <c r="G508" s="144" t="inlineStr">
        <is>
          <t>RED VOLVO</t>
        </is>
      </c>
      <c r="H508" s="144" t="n">
        <v>1221</v>
      </c>
      <c r="I508" s="144" t="inlineStr">
        <is>
          <t>COMMERCIAL</t>
        </is>
      </c>
    </row>
    <row r="509" ht="18" customHeight="1" s="7">
      <c r="A509" s="144" t="inlineStr">
        <is>
          <t>JUSTIN CARTER</t>
        </is>
      </c>
      <c r="B509" s="144" t="inlineStr">
        <is>
          <t>*049148632 GA</t>
        </is>
      </c>
      <c r="C509" s="144" t="inlineStr">
        <is>
          <t>ABF</t>
        </is>
      </c>
      <c r="D509" s="144" t="n">
        <v>2293268792</v>
      </c>
      <c r="E509" s="144" t="inlineStr">
        <is>
          <t>BOX</t>
        </is>
      </c>
      <c r="F509" s="144" t="inlineStr">
        <is>
          <t>3GF193 OK</t>
        </is>
      </c>
      <c r="G509" s="144" t="inlineStr">
        <is>
          <t xml:space="preserve">GREEN MACK </t>
        </is>
      </c>
      <c r="H509" s="144" t="n">
        <v>1331</v>
      </c>
      <c r="I509" s="144" t="inlineStr">
        <is>
          <t>COMMERCIAL</t>
        </is>
      </c>
    </row>
    <row r="510" ht="18" customHeight="1" s="7">
      <c r="A510" s="144" t="inlineStr">
        <is>
          <t>AUMILLER BROWN</t>
        </is>
      </c>
      <c r="B510" s="144" t="inlineStr">
        <is>
          <t>17228727 PA</t>
        </is>
      </c>
      <c r="C510" s="144" t="inlineStr">
        <is>
          <t>LANDSTAR</t>
        </is>
      </c>
      <c r="D510" s="144" t="n">
        <v>7173630432</v>
      </c>
      <c r="E510" s="144" t="inlineStr">
        <is>
          <t>FLAT</t>
        </is>
      </c>
      <c r="F510" s="144" t="inlineStr">
        <is>
          <t>2509214 IN</t>
        </is>
      </c>
      <c r="G510" s="144" t="inlineStr">
        <is>
          <t>BLACK KW</t>
        </is>
      </c>
      <c r="H510" s="144" t="n">
        <v>1221</v>
      </c>
      <c r="I510" s="144" t="inlineStr">
        <is>
          <t>COMMERCIAL</t>
        </is>
      </c>
    </row>
    <row r="511" ht="18" customHeight="1" s="7">
      <c r="A511" s="144" t="inlineStr">
        <is>
          <t>AHEMTAJ ARBEN</t>
        </is>
      </c>
      <c r="B511" s="144" t="inlineStr">
        <is>
          <t>A13469020 KY</t>
        </is>
      </c>
      <c r="C511" s="144" t="inlineStr">
        <is>
          <t>EAST B&amp;H</t>
        </is>
      </c>
      <c r="D511" s="144" t="n">
        <v>5022772726</v>
      </c>
      <c r="E511" s="144" t="inlineStr">
        <is>
          <t>BOX</t>
        </is>
      </c>
      <c r="F511" s="144" t="inlineStr">
        <is>
          <t>A77675 KY</t>
        </is>
      </c>
      <c r="G511" s="144" t="inlineStr">
        <is>
          <t>WHITE VOLVO</t>
        </is>
      </c>
      <c r="H511" s="144" t="n">
        <v>1221</v>
      </c>
      <c r="I511" s="144" t="inlineStr">
        <is>
          <t>COMMERCIAL</t>
        </is>
      </c>
    </row>
    <row r="512" ht="18" customHeight="1" s="7">
      <c r="A512" s="144" t="inlineStr">
        <is>
          <t>DARRELL HOLLOWELL</t>
        </is>
      </c>
      <c r="B512" s="144" t="inlineStr">
        <is>
          <t>*051453477 GA</t>
        </is>
      </c>
      <c r="C512" s="144" t="inlineStr">
        <is>
          <t>ESTES</t>
        </is>
      </c>
      <c r="D512" s="144" t="n">
        <v>2292881841</v>
      </c>
      <c r="E512" s="144" t="inlineStr">
        <is>
          <t>BOX</t>
        </is>
      </c>
      <c r="F512" s="144" t="inlineStr">
        <is>
          <t>3587023 IN</t>
        </is>
      </c>
      <c r="G512" s="144" t="inlineStr">
        <is>
          <t>YELLOW FL</t>
        </is>
      </c>
      <c r="H512" s="144" t="n">
        <v>1221</v>
      </c>
      <c r="I512" s="144" t="inlineStr">
        <is>
          <t>COMMERCIAL</t>
        </is>
      </c>
    </row>
    <row r="513" ht="18" customHeight="1" s="7">
      <c r="A513" s="144" t="inlineStr">
        <is>
          <t>GERBREHIWOT AFEWORK</t>
        </is>
      </c>
      <c r="B513" s="144" t="inlineStr">
        <is>
          <t>29208411 TX</t>
        </is>
      </c>
      <c r="C513" s="144" t="inlineStr">
        <is>
          <t xml:space="preserve">PSALM </t>
        </is>
      </c>
      <c r="D513" s="144" t="n">
        <v>2147184527</v>
      </c>
      <c r="E513" s="144" t="inlineStr">
        <is>
          <t>BOX</t>
        </is>
      </c>
      <c r="F513" s="144" t="inlineStr">
        <is>
          <t>R625902 TX</t>
        </is>
      </c>
      <c r="G513" s="144" t="inlineStr">
        <is>
          <t>BLACK KW</t>
        </is>
      </c>
      <c r="H513" s="144" t="n">
        <v>1221</v>
      </c>
      <c r="I513" s="144" t="inlineStr">
        <is>
          <t>COMMERCIAL</t>
        </is>
      </c>
    </row>
    <row r="514" ht="18" customHeight="1" s="7">
      <c r="A514" s="144" t="inlineStr">
        <is>
          <t>MACNEILL JAMES</t>
        </is>
      </c>
      <c r="B514" s="144" t="inlineStr">
        <is>
          <t>M95529818 KY</t>
        </is>
      </c>
      <c r="C514" s="144" t="inlineStr">
        <is>
          <t>LANDSTAR</t>
        </is>
      </c>
      <c r="D514" s="144" t="n">
        <v>2704933931</v>
      </c>
      <c r="E514" s="144" t="inlineStr">
        <is>
          <t>BOX</t>
        </is>
      </c>
      <c r="F514" s="144" t="inlineStr">
        <is>
          <t>3495053 IN</t>
        </is>
      </c>
      <c r="G514" s="144" t="inlineStr">
        <is>
          <t>WHITE KW</t>
        </is>
      </c>
      <c r="H514" s="144" t="n">
        <v>1221</v>
      </c>
      <c r="I514" s="144" t="inlineStr">
        <is>
          <t>COMMERCIAL</t>
        </is>
      </c>
    </row>
    <row r="515" ht="18" customHeight="1" s="7">
      <c r="A515" s="144" t="inlineStr">
        <is>
          <t>ALJAF AHMED</t>
        </is>
      </c>
      <c r="B515" s="144" t="inlineStr">
        <is>
          <t>UJ374172 OH</t>
        </is>
      </c>
      <c r="C515" s="144" t="inlineStr">
        <is>
          <t>HASIC</t>
        </is>
      </c>
      <c r="D515" s="144" t="n">
        <v>2163182773</v>
      </c>
      <c r="E515" s="144" t="inlineStr">
        <is>
          <t>BOX</t>
        </is>
      </c>
      <c r="F515" s="144" t="inlineStr">
        <is>
          <t>9WT8964 OH</t>
        </is>
      </c>
      <c r="G515" s="144" t="inlineStr">
        <is>
          <t>WHITE VOLVO</t>
        </is>
      </c>
      <c r="H515" s="144" t="n">
        <v>1221</v>
      </c>
      <c r="I515" s="144" t="inlineStr">
        <is>
          <t>COMMERCIAL</t>
        </is>
      </c>
    </row>
    <row r="516" ht="18" customHeight="1" s="7">
      <c r="A516" s="144" t="inlineStr">
        <is>
          <t>THARIKI EDWARD</t>
        </is>
      </c>
      <c r="B516" s="144" t="inlineStr">
        <is>
          <t>X050045007 MO</t>
        </is>
      </c>
      <c r="C516" s="144" t="inlineStr">
        <is>
          <t>LANDSTAR</t>
        </is>
      </c>
      <c r="D516" s="144" t="n">
        <v>5152010910</v>
      </c>
      <c r="E516" s="144" t="inlineStr">
        <is>
          <t>FLAT</t>
        </is>
      </c>
      <c r="F516" s="144" t="inlineStr">
        <is>
          <t>3112743 IN</t>
        </is>
      </c>
      <c r="G516" s="144" t="inlineStr">
        <is>
          <t>RED PETERBILT</t>
        </is>
      </c>
      <c r="H516" s="144" t="n">
        <v>1221</v>
      </c>
      <c r="I516" s="144" t="inlineStr">
        <is>
          <t>COMMERCIAL</t>
        </is>
      </c>
    </row>
    <row r="517" ht="18" customHeight="1" s="7">
      <c r="A517" s="144" t="inlineStr">
        <is>
          <t>YANCY OATES</t>
        </is>
      </c>
      <c r="B517" s="144" t="inlineStr">
        <is>
          <t>6889523 AL</t>
        </is>
      </c>
      <c r="C517" s="144" t="inlineStr">
        <is>
          <t>XLG</t>
        </is>
      </c>
      <c r="D517" s="144" t="n">
        <v>2565415685</v>
      </c>
      <c r="E517" s="144" t="inlineStr">
        <is>
          <t>FLAT</t>
        </is>
      </c>
      <c r="F517" s="144" t="inlineStr">
        <is>
          <t>3092914 IN</t>
        </is>
      </c>
      <c r="G517" s="144" t="inlineStr">
        <is>
          <t>YELLOW PETERBILT</t>
        </is>
      </c>
      <c r="H517" s="144" t="n">
        <v>1221</v>
      </c>
      <c r="I517" s="144" t="inlineStr">
        <is>
          <t>COMMERCIAL</t>
        </is>
      </c>
    </row>
    <row r="518" ht="18" customHeight="1" s="7">
      <c r="A518" s="144" t="inlineStr">
        <is>
          <t>LUGO OREL</t>
        </is>
      </c>
      <c r="B518" s="144" t="inlineStr">
        <is>
          <t>41112148 TX</t>
        </is>
      </c>
      <c r="C518" s="144" t="inlineStr">
        <is>
          <t>RUVEL EXPRESS</t>
        </is>
      </c>
      <c r="D518" s="144" t="n">
        <v>7863070254</v>
      </c>
      <c r="E518" s="144" t="inlineStr">
        <is>
          <t>BOX</t>
        </is>
      </c>
      <c r="F518" s="144" t="inlineStr">
        <is>
          <t>R583256 TX</t>
        </is>
      </c>
      <c r="G518" s="144" t="inlineStr">
        <is>
          <t>GRAY FREIGHT</t>
        </is>
      </c>
      <c r="H518" s="144" t="n">
        <v>1221</v>
      </c>
      <c r="I518" s="144" t="inlineStr">
        <is>
          <t>COMMERCIAL</t>
        </is>
      </c>
    </row>
    <row r="519" ht="18" customHeight="1" s="7">
      <c r="A519" s="144" t="inlineStr">
        <is>
          <t>MAGAR SANTABIR</t>
        </is>
      </c>
      <c r="B519" s="144" t="inlineStr">
        <is>
          <t>33148568 PA</t>
        </is>
      </c>
      <c r="C519" s="144" t="inlineStr">
        <is>
          <t>TIME ON TRANS</t>
        </is>
      </c>
      <c r="D519" s="144" t="n">
        <v>7174396310</v>
      </c>
      <c r="E519" s="144" t="inlineStr">
        <is>
          <t>BOX</t>
        </is>
      </c>
      <c r="F519" s="144" t="inlineStr">
        <is>
          <t>AG90299 PA</t>
        </is>
      </c>
      <c r="G519" s="144" t="inlineStr">
        <is>
          <t>WHITE FREIGHTLINER</t>
        </is>
      </c>
      <c r="H519" s="144" t="n">
        <v>1221</v>
      </c>
      <c r="I519" s="144" t="inlineStr">
        <is>
          <t>COMMERCIAL</t>
        </is>
      </c>
    </row>
    <row r="520" ht="18" customHeight="1" s="7">
      <c r="A520" s="144" t="inlineStr">
        <is>
          <t>LAIRD DARRELL</t>
        </is>
      </c>
      <c r="B520" s="144" t="inlineStr">
        <is>
          <t>L630171572270 FL</t>
        </is>
      </c>
      <c r="C520" s="144" t="inlineStr">
        <is>
          <t>BIGHAM</t>
        </is>
      </c>
      <c r="D520" s="144" t="n">
        <v>3522628000</v>
      </c>
      <c r="E520" s="144" t="inlineStr">
        <is>
          <t>PU</t>
        </is>
      </c>
      <c r="F520" s="144" t="inlineStr">
        <is>
          <t>RGQD26 FL</t>
        </is>
      </c>
      <c r="G520" s="144" t="inlineStr">
        <is>
          <t>WHITE FORD</t>
        </is>
      </c>
      <c r="H520" s="144" t="inlineStr">
        <is>
          <t>HOUSING</t>
        </is>
      </c>
      <c r="I520" s="144" t="inlineStr">
        <is>
          <t xml:space="preserve">CONTRACTOR </t>
        </is>
      </c>
    </row>
    <row r="521" ht="18" customHeight="1" s="7">
      <c r="A521" s="144" t="inlineStr">
        <is>
          <t>GILLMORE JAMES</t>
        </is>
      </c>
      <c r="B521" s="144" t="inlineStr">
        <is>
          <t>17626579 PA</t>
        </is>
      </c>
      <c r="C521" s="144" t="inlineStr">
        <is>
          <t>WRIGHT EXPRESS</t>
        </is>
      </c>
      <c r="D521" s="144" t="n">
        <v>7175790655</v>
      </c>
      <c r="E521" s="144" t="inlineStr">
        <is>
          <t>BOX</t>
        </is>
      </c>
      <c r="F521" s="144" t="inlineStr">
        <is>
          <t>AH22941 PA</t>
        </is>
      </c>
      <c r="G521" s="144" t="inlineStr">
        <is>
          <t>BLUE KENWORTH</t>
        </is>
      </c>
      <c r="H521" s="144" t="n">
        <v>1221</v>
      </c>
      <c r="I521" s="144" t="inlineStr">
        <is>
          <t>COMMERCIAL</t>
        </is>
      </c>
    </row>
    <row r="522" ht="18" customHeight="1" s="7">
      <c r="A522" s="144" t="inlineStr">
        <is>
          <t>ANTHONY CLARK</t>
        </is>
      </c>
      <c r="B522" s="144" t="inlineStr">
        <is>
          <t>444695784 NY</t>
        </is>
      </c>
      <c r="C522" s="144" t="inlineStr">
        <is>
          <t>XLG TRANSPORT</t>
        </is>
      </c>
      <c r="D522" s="144" t="n">
        <v>3154153066</v>
      </c>
      <c r="E522" s="144" t="inlineStr">
        <is>
          <t>FLAT</t>
        </is>
      </c>
      <c r="F522" s="144" t="inlineStr">
        <is>
          <t>2610910 IN</t>
        </is>
      </c>
      <c r="G522" s="144" t="inlineStr">
        <is>
          <t>ORANGE KENWORTH</t>
        </is>
      </c>
      <c r="H522" s="144" t="n">
        <v>1221</v>
      </c>
      <c r="I522" s="144" t="inlineStr">
        <is>
          <t>COMMERCIAL</t>
        </is>
      </c>
    </row>
    <row r="523" ht="18" customHeight="1" s="7">
      <c r="A523" s="144" t="inlineStr">
        <is>
          <t>DAWIT HAGOS</t>
        </is>
      </c>
      <c r="B523" s="144" t="inlineStr">
        <is>
          <t>*061281300 GA</t>
        </is>
      </c>
      <c r="C523" s="144" t="inlineStr">
        <is>
          <t xml:space="preserve">EZ </t>
        </is>
      </c>
      <c r="D523" s="144" t="n">
        <v>6787600031</v>
      </c>
      <c r="E523" s="144" t="inlineStr">
        <is>
          <t>BOX</t>
        </is>
      </c>
      <c r="F523" s="144" t="inlineStr">
        <is>
          <t>NS2524 NC</t>
        </is>
      </c>
      <c r="G523" s="144" t="inlineStr">
        <is>
          <t>RED PETERBILT</t>
        </is>
      </c>
      <c r="H523" s="144" t="n">
        <v>1221</v>
      </c>
      <c r="I523" s="144" t="inlineStr">
        <is>
          <t>COMMERCIAL</t>
        </is>
      </c>
    </row>
    <row r="524" ht="18" customHeight="1" s="7">
      <c r="A524" s="144" t="inlineStr">
        <is>
          <t>ROGER INGRAM</t>
        </is>
      </c>
      <c r="B524" s="144" t="inlineStr">
        <is>
          <t>*051665961 GA</t>
        </is>
      </c>
      <c r="C524" s="144" t="inlineStr">
        <is>
          <t>SOUTHWAY</t>
        </is>
      </c>
      <c r="D524" s="144" t="n">
        <v>2298861651</v>
      </c>
      <c r="E524" s="144" t="inlineStr">
        <is>
          <t>PU</t>
        </is>
      </c>
      <c r="F524" s="144" t="inlineStr">
        <is>
          <t>CWN7313 GA</t>
        </is>
      </c>
      <c r="G524" s="144" t="inlineStr">
        <is>
          <t>BLACK CHEVY</t>
        </is>
      </c>
      <c r="H524" s="144" t="n">
        <v>7450</v>
      </c>
      <c r="I524" s="144" t="inlineStr">
        <is>
          <t>COMMERCIAL</t>
        </is>
      </c>
    </row>
    <row r="525" ht="18" customHeight="1" s="7">
      <c r="A525" s="144" t="inlineStr">
        <is>
          <t>TOVAR ANTIONIO</t>
        </is>
      </c>
      <c r="B525" s="144" t="inlineStr">
        <is>
          <t>T160000922490</t>
        </is>
      </c>
      <c r="C525" s="144" t="inlineStr">
        <is>
          <t>UNITED</t>
        </is>
      </c>
      <c r="D525" s="144" t="n">
        <v>6309738536</v>
      </c>
      <c r="E525" s="144" t="inlineStr">
        <is>
          <t>BOX</t>
        </is>
      </c>
      <c r="F525" s="144" t="inlineStr">
        <is>
          <t>XA204L FL</t>
        </is>
      </c>
      <c r="G525" s="144" t="inlineStr">
        <is>
          <t>WHITE FL</t>
        </is>
      </c>
      <c r="H525" s="144" t="n">
        <v>1221</v>
      </c>
      <c r="I525" s="144" t="inlineStr">
        <is>
          <t>COMMERCIAL</t>
        </is>
      </c>
    </row>
    <row r="526" ht="18" customHeight="1" s="7">
      <c r="A526" s="144" t="inlineStr">
        <is>
          <t>MARCIAL AUGUSTO</t>
        </is>
      </c>
      <c r="B526" s="144" t="inlineStr">
        <is>
          <t>*071710759 GA</t>
        </is>
      </c>
      <c r="C526" s="144" t="inlineStr">
        <is>
          <t>DOSSANTOS</t>
        </is>
      </c>
      <c r="D526" s="144" t="n">
        <v>4236192342</v>
      </c>
      <c r="E526" s="144" t="inlineStr">
        <is>
          <t>BOX</t>
        </is>
      </c>
      <c r="F526" s="144" t="inlineStr">
        <is>
          <t>V0202HY TN</t>
        </is>
      </c>
      <c r="G526" s="144" t="inlineStr">
        <is>
          <t>GREY FL</t>
        </is>
      </c>
      <c r="H526" s="144" t="n">
        <v>1221</v>
      </c>
      <c r="I526" s="144" t="inlineStr">
        <is>
          <t>COMMERCIAL</t>
        </is>
      </c>
    </row>
    <row r="527" ht="18" customHeight="1" s="7">
      <c r="A527" s="144" t="inlineStr">
        <is>
          <t>SOLOMON SOLOMON</t>
        </is>
      </c>
      <c r="B527" s="144" t="inlineStr">
        <is>
          <t>*054469138 GA</t>
        </is>
      </c>
      <c r="C527" s="144" t="inlineStr">
        <is>
          <t>ANNUR TRANS</t>
        </is>
      </c>
      <c r="D527" s="144" t="n">
        <v>4042792139</v>
      </c>
      <c r="E527" s="144" t="inlineStr">
        <is>
          <t>BOX</t>
        </is>
      </c>
      <c r="F527" s="144" t="inlineStr">
        <is>
          <t>C335EN GA</t>
        </is>
      </c>
      <c r="G527" s="144" t="inlineStr">
        <is>
          <t>RED FL</t>
        </is>
      </c>
      <c r="H527" s="144" t="n">
        <v>1221</v>
      </c>
      <c r="I527" s="144" t="inlineStr">
        <is>
          <t>COMMERCIAL</t>
        </is>
      </c>
    </row>
    <row r="528" ht="18" customHeight="1" s="7">
      <c r="A528" s="144" t="inlineStr">
        <is>
          <t>ISMAIL SADIK</t>
        </is>
      </c>
      <c r="B528" s="144" t="inlineStr">
        <is>
          <t>K021140229203 MN</t>
        </is>
      </c>
      <c r="C528" s="144" t="inlineStr">
        <is>
          <t>MT TRANS</t>
        </is>
      </c>
      <c r="D528" s="144" t="n">
        <v>2189403109</v>
      </c>
      <c r="E528" s="144" t="inlineStr">
        <is>
          <t>BOX</t>
        </is>
      </c>
      <c r="F528" s="144" t="inlineStr">
        <is>
          <t>PAW5720 MN</t>
        </is>
      </c>
      <c r="G528" s="144" t="inlineStr">
        <is>
          <t>WHITE FREIGHTLINER</t>
        </is>
      </c>
      <c r="H528" s="144" t="n">
        <v>1221</v>
      </c>
      <c r="I528" s="144" t="inlineStr">
        <is>
          <t>COMMERCIAL</t>
        </is>
      </c>
    </row>
    <row r="529" ht="18" customHeight="1" s="7">
      <c r="A529" s="144" t="inlineStr">
        <is>
          <t>DARRELL LYNN</t>
        </is>
      </c>
      <c r="B529" s="144" t="inlineStr">
        <is>
          <t>13870958 TX</t>
        </is>
      </c>
      <c r="C529" s="144" t="inlineStr">
        <is>
          <t>ASA CARRIERS</t>
        </is>
      </c>
      <c r="D529" s="144" t="n">
        <v>8326839632</v>
      </c>
      <c r="E529" s="144" t="inlineStr">
        <is>
          <t>BOX</t>
        </is>
      </c>
      <c r="F529" s="144" t="inlineStr">
        <is>
          <t>R712708 TX</t>
        </is>
      </c>
      <c r="G529" s="144" t="inlineStr">
        <is>
          <t>BLUE FREIGHTLINER</t>
        </is>
      </c>
      <c r="H529" s="144" t="n">
        <v>1221</v>
      </c>
      <c r="I529" s="144" t="inlineStr">
        <is>
          <t>COMMERCIAL</t>
        </is>
      </c>
    </row>
    <row r="530" ht="18" customHeight="1" s="7">
      <c r="A530" s="144" t="inlineStr">
        <is>
          <t>MEIKLE BANKS</t>
        </is>
      </c>
      <c r="B530" s="144" t="inlineStr">
        <is>
          <t>*047295901 GA</t>
        </is>
      </c>
      <c r="C530" s="144" t="inlineStr">
        <is>
          <t>PRO STAR</t>
        </is>
      </c>
      <c r="D530" s="144" t="n">
        <v>4703588360</v>
      </c>
      <c r="E530" s="144" t="inlineStr">
        <is>
          <t>BOX</t>
        </is>
      </c>
      <c r="F530" s="144" t="inlineStr">
        <is>
          <t>XE932B FL</t>
        </is>
      </c>
      <c r="G530" s="144" t="inlineStr">
        <is>
          <t>BLUE INTERNATIONAL</t>
        </is>
      </c>
      <c r="H530" s="144" t="n">
        <v>1360</v>
      </c>
      <c r="I530" s="144" t="inlineStr">
        <is>
          <t>COMMERCIAL</t>
        </is>
      </c>
    </row>
    <row r="531" ht="18" customHeight="1" s="7">
      <c r="A531" s="144" t="inlineStr">
        <is>
          <t>GHANAM JAMAL</t>
        </is>
      </c>
      <c r="B531" s="144" t="inlineStr">
        <is>
          <t>G55042072219 IL</t>
        </is>
      </c>
      <c r="C531" s="144" t="inlineStr">
        <is>
          <t>CARGO</t>
        </is>
      </c>
      <c r="D531" s="144" t="n">
        <v>7739975709</v>
      </c>
      <c r="E531" s="144" t="inlineStr">
        <is>
          <t>BOX</t>
        </is>
      </c>
      <c r="F531" s="144" t="inlineStr">
        <is>
          <t>P1277702 IL</t>
        </is>
      </c>
      <c r="G531" s="144" t="inlineStr">
        <is>
          <t>RED VOLVO</t>
        </is>
      </c>
      <c r="H531" s="144" t="n">
        <v>1221</v>
      </c>
      <c r="I531" s="144" t="inlineStr">
        <is>
          <t>COMMERCIAL</t>
        </is>
      </c>
    </row>
    <row r="532" ht="18" customHeight="1" s="7">
      <c r="A532" s="144" t="inlineStr">
        <is>
          <t>STEPHEN POWDER</t>
        </is>
      </c>
      <c r="B532" s="144" t="inlineStr">
        <is>
          <t>1195654 DE</t>
        </is>
      </c>
      <c r="C532" s="144" t="inlineStr">
        <is>
          <t>LANDSTAR</t>
        </is>
      </c>
      <c r="D532" s="144" t="n">
        <v>3025985185</v>
      </c>
      <c r="E532" s="144" t="inlineStr">
        <is>
          <t>BOX</t>
        </is>
      </c>
      <c r="F532" s="144" t="inlineStr">
        <is>
          <t>3615160 IN</t>
        </is>
      </c>
      <c r="G532" s="144" t="inlineStr">
        <is>
          <t>WHITE KENWORTH</t>
        </is>
      </c>
      <c r="H532" s="144" t="n">
        <v>1221</v>
      </c>
      <c r="I532" s="144" t="inlineStr">
        <is>
          <t>COMMERCIAL</t>
        </is>
      </c>
    </row>
    <row r="533" ht="18" customHeight="1" s="7">
      <c r="A533" s="144" t="inlineStr">
        <is>
          <t>IVAN HALL</t>
        </is>
      </c>
      <c r="B533" s="144" t="inlineStr">
        <is>
          <t>*052900876 GA</t>
        </is>
      </c>
      <c r="C533" s="144" t="inlineStr">
        <is>
          <t>POPCO</t>
        </is>
      </c>
      <c r="D533" s="144" t="n">
        <v>2293527712</v>
      </c>
      <c r="E533" s="144" t="inlineStr">
        <is>
          <t>PU</t>
        </is>
      </c>
      <c r="F533" s="144" t="inlineStr">
        <is>
          <t>TGD9932 GA</t>
        </is>
      </c>
      <c r="G533" s="144" t="inlineStr">
        <is>
          <t>WHITE FORD</t>
        </is>
      </c>
      <c r="H533" s="144" t="n">
        <v>2200</v>
      </c>
      <c r="I533" s="144" t="inlineStr">
        <is>
          <t xml:space="preserve">CONTRACTOR </t>
        </is>
      </c>
    </row>
    <row r="534" ht="18" customHeight="1" s="7">
      <c r="A534" s="144" t="inlineStr">
        <is>
          <t>IMRAN SIYAD</t>
        </is>
      </c>
      <c r="B534" s="144" t="inlineStr">
        <is>
          <t>UQ403265 OH</t>
        </is>
      </c>
      <c r="C534" s="144" t="inlineStr">
        <is>
          <t>5 STAR</t>
        </is>
      </c>
      <c r="D534" s="144" t="n">
        <v>6146802329</v>
      </c>
      <c r="E534" s="144" t="inlineStr">
        <is>
          <t>BOX</t>
        </is>
      </c>
      <c r="F534" s="144" t="inlineStr">
        <is>
          <t>PWQ0215 OH</t>
        </is>
      </c>
      <c r="G534" s="144" t="inlineStr">
        <is>
          <t>WHITE FREIGHTLINER</t>
        </is>
      </c>
      <c r="H534" s="144" t="n">
        <v>1221</v>
      </c>
      <c r="I534" s="144" t="inlineStr">
        <is>
          <t>COMMERCIAL</t>
        </is>
      </c>
    </row>
    <row r="535" ht="18" customHeight="1" s="7">
      <c r="A535" s="144" t="inlineStr">
        <is>
          <t>ROBERT BOZEMAN</t>
        </is>
      </c>
      <c r="B535" s="144" t="inlineStr">
        <is>
          <t>*053031503 GA</t>
        </is>
      </c>
      <c r="C535" s="144" t="inlineStr">
        <is>
          <t>POPCO</t>
        </is>
      </c>
      <c r="D535" s="144" t="n">
        <v>2292722235</v>
      </c>
      <c r="E535" s="144" t="inlineStr">
        <is>
          <t>PU</t>
        </is>
      </c>
      <c r="F535" s="144" t="inlineStr">
        <is>
          <t>XZF336 GA</t>
        </is>
      </c>
      <c r="G535" s="144" t="inlineStr">
        <is>
          <t>WHITE DODGE</t>
        </is>
      </c>
      <c r="H535" s="144" t="n">
        <v>2200</v>
      </c>
      <c r="I535" s="144" t="inlineStr">
        <is>
          <t xml:space="preserve">CONTRACTOR </t>
        </is>
      </c>
    </row>
    <row r="536" ht="18" customHeight="1" s="7">
      <c r="A536" s="144" t="inlineStr">
        <is>
          <t>AVDIC DZEVAD</t>
        </is>
      </c>
      <c r="B536" s="144" t="inlineStr">
        <is>
          <t>A96823327 KY</t>
        </is>
      </c>
      <c r="C536" s="144" t="inlineStr">
        <is>
          <t>AAA TRANSPORT</t>
        </is>
      </c>
      <c r="D536" s="144" t="n">
        <v>2703206902</v>
      </c>
      <c r="E536" s="144" t="inlineStr">
        <is>
          <t>BOX</t>
        </is>
      </c>
      <c r="F536" s="144" t="inlineStr">
        <is>
          <t>A64538 KY</t>
        </is>
      </c>
      <c r="G536" s="144" t="inlineStr">
        <is>
          <t>RED VOLVO</t>
        </is>
      </c>
      <c r="H536" s="144" t="n">
        <v>1221</v>
      </c>
      <c r="I536" s="144" t="inlineStr">
        <is>
          <t>COMMERCIAL</t>
        </is>
      </c>
    </row>
    <row r="537" ht="18" customHeight="1" s="7">
      <c r="A537" s="144" t="inlineStr">
        <is>
          <t>HERBERT RUSHTON</t>
        </is>
      </c>
      <c r="B537" s="144" t="inlineStr">
        <is>
          <t>*049116437 GA</t>
        </is>
      </c>
      <c r="C537" s="144" t="inlineStr">
        <is>
          <t>SUNBELT RENTALS</t>
        </is>
      </c>
      <c r="D537" s="144" t="n">
        <v>2296034688</v>
      </c>
      <c r="E537" s="144" t="inlineStr">
        <is>
          <t>PU</t>
        </is>
      </c>
      <c r="F537" s="144" t="inlineStr">
        <is>
          <t>EXH236 GA</t>
        </is>
      </c>
      <c r="G537" s="144" t="inlineStr">
        <is>
          <t>WHITE FORD</t>
        </is>
      </c>
      <c r="H537" s="144" t="inlineStr">
        <is>
          <t>P947</t>
        </is>
      </c>
      <c r="I537" s="144" t="inlineStr">
        <is>
          <t xml:space="preserve">CONTRACTOR </t>
        </is>
      </c>
    </row>
    <row r="538" ht="18" customHeight="1" s="7">
      <c r="A538" s="144" t="inlineStr">
        <is>
          <t xml:space="preserve">ABDILLE ABDI </t>
        </is>
      </c>
      <c r="B538" s="144" t="inlineStr">
        <is>
          <t>VG859315 OH</t>
        </is>
      </c>
      <c r="C538" s="144" t="inlineStr">
        <is>
          <t>HELIUM TRANSPORT</t>
        </is>
      </c>
      <c r="D538" s="144" t="n">
        <v>6148003106</v>
      </c>
      <c r="E538" s="144" t="inlineStr">
        <is>
          <t>BOX</t>
        </is>
      </c>
      <c r="F538" s="144" t="inlineStr">
        <is>
          <t>PWY8476 OH</t>
        </is>
      </c>
      <c r="G538" s="144" t="inlineStr">
        <is>
          <t>WHITE FREIGHTLINER</t>
        </is>
      </c>
      <c r="H538" s="144" t="n">
        <v>1221</v>
      </c>
      <c r="I538" s="144" t="inlineStr">
        <is>
          <t>COMMERCIAL</t>
        </is>
      </c>
    </row>
    <row r="539" ht="18" customHeight="1" s="7">
      <c r="A539" s="144" t="inlineStr">
        <is>
          <t>ARRINGTON WILLIAM</t>
        </is>
      </c>
      <c r="B539" s="144" t="inlineStr">
        <is>
          <t>094474450 TX</t>
        </is>
      </c>
      <c r="C539" s="144" t="inlineStr">
        <is>
          <t>ROCKWILD LOGISTICS</t>
        </is>
      </c>
      <c r="D539" s="144" t="n">
        <v>8322920172</v>
      </c>
      <c r="E539" s="144" t="inlineStr">
        <is>
          <t>PU</t>
        </is>
      </c>
      <c r="F539" s="144" t="inlineStr">
        <is>
          <t>1H21048 TN</t>
        </is>
      </c>
      <c r="G539" s="144" t="inlineStr">
        <is>
          <t>WHITE CHEVY</t>
        </is>
      </c>
      <c r="H539" s="144" t="n">
        <v>1351</v>
      </c>
      <c r="I539" s="144" t="inlineStr">
        <is>
          <t xml:space="preserve">CONTRACTOR </t>
        </is>
      </c>
    </row>
    <row r="540" ht="18" customHeight="1" s="7">
      <c r="A540" s="144" t="inlineStr">
        <is>
          <t>ROGER RUDD</t>
        </is>
      </c>
      <c r="B540" s="144" t="inlineStr">
        <is>
          <t>*053954849 GA</t>
        </is>
      </c>
      <c r="C540" s="144" t="inlineStr">
        <is>
          <t>BATES</t>
        </is>
      </c>
      <c r="D540" s="144" t="n">
        <v>2294365338</v>
      </c>
      <c r="E540" s="144" t="inlineStr">
        <is>
          <t>DUMP</t>
        </is>
      </c>
      <c r="F540" s="144" t="inlineStr">
        <is>
          <t>ECP442 GA</t>
        </is>
      </c>
      <c r="G540" s="144" t="inlineStr">
        <is>
          <t>WHITE FORD</t>
        </is>
      </c>
      <c r="H540" s="144" t="n">
        <v>1221</v>
      </c>
      <c r="I540" s="144" t="inlineStr">
        <is>
          <t xml:space="preserve">CONTRACTOR </t>
        </is>
      </c>
    </row>
    <row r="541" ht="18" customHeight="1" s="7">
      <c r="A541" s="144" t="inlineStr">
        <is>
          <t>JOSEPH ROBERTSON</t>
        </is>
      </c>
      <c r="B541" s="144" t="inlineStr">
        <is>
          <t>*049998138 GA</t>
        </is>
      </c>
      <c r="C541" s="144" t="inlineStr">
        <is>
          <t>RHC</t>
        </is>
      </c>
      <c r="D541" s="144" t="n">
        <v>2297770720</v>
      </c>
      <c r="E541" s="144" t="inlineStr">
        <is>
          <t>PU</t>
        </is>
      </c>
      <c r="F541" s="144" t="inlineStr">
        <is>
          <t>RZB9802 GA</t>
        </is>
      </c>
      <c r="G541" s="144" t="inlineStr">
        <is>
          <t>WHITE FORD</t>
        </is>
      </c>
      <c r="H541" s="144" t="inlineStr">
        <is>
          <t>HOUSING</t>
        </is>
      </c>
      <c r="I541" s="144" t="inlineStr">
        <is>
          <t xml:space="preserve">CONTRACTOR </t>
        </is>
      </c>
    </row>
    <row r="542" ht="18" customHeight="1" s="7">
      <c r="A542" s="144" t="inlineStr">
        <is>
          <t>KYLE SCHOEN</t>
        </is>
      </c>
      <c r="B542" s="144" t="inlineStr">
        <is>
          <t>*059415005 GA</t>
        </is>
      </c>
      <c r="C542" s="144" t="inlineStr">
        <is>
          <t>OVERHEAD DOOR</t>
        </is>
      </c>
      <c r="D542" s="144" t="n">
        <v>2294961414</v>
      </c>
      <c r="E542" s="144" t="inlineStr">
        <is>
          <t>PU</t>
        </is>
      </c>
      <c r="F542" s="144" t="inlineStr">
        <is>
          <t>SDU8070 GA</t>
        </is>
      </c>
      <c r="G542" s="144" t="inlineStr">
        <is>
          <t>WHITE DODGE</t>
        </is>
      </c>
      <c r="H542" s="144" t="n">
        <v>5500</v>
      </c>
      <c r="I542" s="144" t="inlineStr">
        <is>
          <t xml:space="preserve">CONTRACTOR </t>
        </is>
      </c>
    </row>
    <row r="543" ht="18" customHeight="1" s="7">
      <c r="A543" s="144" t="inlineStr">
        <is>
          <t>MARCUS MILLER</t>
        </is>
      </c>
      <c r="B543" s="144" t="inlineStr">
        <is>
          <t>*060028495 GA</t>
        </is>
      </c>
      <c r="C543" s="144" t="inlineStr">
        <is>
          <t>SEPTIC SOLUTIONS</t>
        </is>
      </c>
      <c r="D543" s="144" t="n">
        <v>2294855514</v>
      </c>
      <c r="E543" s="144" t="inlineStr">
        <is>
          <t>PU</t>
        </is>
      </c>
      <c r="F543" s="144" t="inlineStr">
        <is>
          <t>TCV7128 GA</t>
        </is>
      </c>
      <c r="G543" s="144" t="inlineStr">
        <is>
          <t>WHITE FORD</t>
        </is>
      </c>
      <c r="H543" s="144" t="n">
        <v>5400</v>
      </c>
      <c r="I543" s="144" t="inlineStr">
        <is>
          <t xml:space="preserve">CONTRACTOR </t>
        </is>
      </c>
    </row>
    <row r="544" ht="18" customHeight="1" s="7">
      <c r="A544" s="144" t="inlineStr">
        <is>
          <t>JOHN SHARP</t>
        </is>
      </c>
      <c r="B544" s="144" t="inlineStr">
        <is>
          <t>*056151645 GA</t>
        </is>
      </c>
      <c r="C544" s="144" t="inlineStr">
        <is>
          <t>WT MILLER</t>
        </is>
      </c>
      <c r="D544" s="144" t="n">
        <v>7063202171</v>
      </c>
      <c r="E544" s="144" t="inlineStr">
        <is>
          <t>PU</t>
        </is>
      </c>
      <c r="F544" s="144" t="inlineStr">
        <is>
          <t>SFN1808 GA</t>
        </is>
      </c>
      <c r="G544" s="144" t="inlineStr">
        <is>
          <t>WHITE CHEVY</t>
        </is>
      </c>
      <c r="H544" s="144" t="n">
        <v>1121</v>
      </c>
      <c r="I544" s="144" t="inlineStr">
        <is>
          <t xml:space="preserve">CONTRACTOR </t>
        </is>
      </c>
    </row>
    <row r="545" ht="18" customHeight="1" s="7">
      <c r="A545" s="144" t="inlineStr">
        <is>
          <t>PERRY GEORGES JR</t>
        </is>
      </c>
      <c r="B545" s="144" t="inlineStr">
        <is>
          <t>*059467393 GA</t>
        </is>
      </c>
      <c r="C545" s="144" t="inlineStr">
        <is>
          <t>COOLSYSTEMS</t>
        </is>
      </c>
      <c r="D545" s="144" t="n">
        <v>8885283688</v>
      </c>
      <c r="E545" s="144" t="inlineStr">
        <is>
          <t>VAN</t>
        </is>
      </c>
      <c r="F545" s="144" t="inlineStr">
        <is>
          <t>95ALAM FL</t>
        </is>
      </c>
      <c r="G545" s="144" t="inlineStr">
        <is>
          <t>WHITE CHEVY</t>
        </is>
      </c>
      <c r="H545" s="144" t="n">
        <v>7501</v>
      </c>
      <c r="I545" s="144" t="inlineStr">
        <is>
          <t xml:space="preserve">CONTRACTOR </t>
        </is>
      </c>
    </row>
    <row r="546" ht="18" customHeight="1" s="7">
      <c r="A546" s="144" t="inlineStr">
        <is>
          <t>ANTHONY STEPHENS</t>
        </is>
      </c>
      <c r="B546" s="144" t="inlineStr">
        <is>
          <t>*051472315 GA</t>
        </is>
      </c>
      <c r="C546" s="144" t="inlineStr">
        <is>
          <t>AIVA</t>
        </is>
      </c>
      <c r="D546" s="144" t="n">
        <v>5015154066</v>
      </c>
      <c r="E546" s="144" t="inlineStr">
        <is>
          <t>BOX</t>
        </is>
      </c>
      <c r="F546" s="144" t="inlineStr">
        <is>
          <t>P1145486 IL</t>
        </is>
      </c>
      <c r="G546" s="144" t="inlineStr">
        <is>
          <t>WHITE FREIGHTLINER</t>
        </is>
      </c>
      <c r="H546" s="144" t="n">
        <v>1221</v>
      </c>
      <c r="I546" s="144" t="inlineStr">
        <is>
          <t>COMMERCIAL</t>
        </is>
      </c>
    </row>
    <row r="547" ht="18" customHeight="1" s="7">
      <c r="A547" s="144" t="inlineStr">
        <is>
          <t>WELCH NORMAN</t>
        </is>
      </c>
      <c r="B547" s="144" t="inlineStr">
        <is>
          <t>*000044421424 NC</t>
        </is>
      </c>
      <c r="C547" s="144" t="inlineStr">
        <is>
          <t>TRIPLE J</t>
        </is>
      </c>
      <c r="D547" s="144" t="n">
        <v>8149346106</v>
      </c>
      <c r="E547" s="144" t="inlineStr">
        <is>
          <t>BOX</t>
        </is>
      </c>
      <c r="F547" s="144" t="inlineStr">
        <is>
          <t>MN1917NC</t>
        </is>
      </c>
      <c r="G547" s="144" t="inlineStr">
        <is>
          <t>WHITE FREIGHTLINER</t>
        </is>
      </c>
      <c r="H547" s="144" t="n">
        <v>1221</v>
      </c>
      <c r="I547" s="144" t="inlineStr">
        <is>
          <t>COMMERCIAL</t>
        </is>
      </c>
    </row>
    <row r="548" ht="18" customHeight="1" s="7">
      <c r="A548" s="144" t="inlineStr">
        <is>
          <t>ANTONIO WALKER</t>
        </is>
      </c>
      <c r="B548" s="144" t="inlineStr">
        <is>
          <t>*059247370 GA</t>
        </is>
      </c>
      <c r="C548" s="144" t="inlineStr">
        <is>
          <t>F&amp;E TRUCKING</t>
        </is>
      </c>
      <c r="D548" s="144" t="n">
        <v>4046705001</v>
      </c>
      <c r="E548" s="144" t="inlineStr">
        <is>
          <t>BOX</t>
        </is>
      </c>
      <c r="F548" s="144" t="inlineStr">
        <is>
          <t>3061044 IN</t>
        </is>
      </c>
      <c r="G548" s="144" t="inlineStr">
        <is>
          <t>YELLOW INTER</t>
        </is>
      </c>
      <c r="H548" s="144" t="n">
        <v>1221</v>
      </c>
      <c r="I548" s="144" t="inlineStr">
        <is>
          <t>COMMERCIAL</t>
        </is>
      </c>
    </row>
    <row r="549" ht="18" customHeight="1" s="7">
      <c r="A549" s="144" t="inlineStr">
        <is>
          <t>DEREK UMPHURS</t>
        </is>
      </c>
      <c r="B549" s="144" t="inlineStr">
        <is>
          <t>*057040808 GA</t>
        </is>
      </c>
      <c r="C549" s="144" t="inlineStr">
        <is>
          <t>UNTIED RENTALS</t>
        </is>
      </c>
      <c r="D549" s="144" t="n">
        <v>2298886248</v>
      </c>
      <c r="E549" s="144" t="inlineStr">
        <is>
          <t>FLAT</t>
        </is>
      </c>
      <c r="F549" s="144" t="inlineStr">
        <is>
          <t>3063987 IN</t>
        </is>
      </c>
      <c r="G549" s="144" t="inlineStr">
        <is>
          <t>WHITE INTER</t>
        </is>
      </c>
      <c r="H549" s="144" t="n">
        <v>2200</v>
      </c>
      <c r="I549" s="144" t="inlineStr">
        <is>
          <t>COMMERCIAL</t>
        </is>
      </c>
    </row>
    <row r="550" ht="18" customHeight="1" s="7">
      <c r="A550" s="144" t="inlineStr">
        <is>
          <t>DINNALL FRAY</t>
        </is>
      </c>
      <c r="B550" s="144" t="inlineStr">
        <is>
          <t>*000023410708 NC</t>
        </is>
      </c>
      <c r="C550" s="144" t="inlineStr">
        <is>
          <t>GEM</t>
        </is>
      </c>
      <c r="D550" s="144" t="n">
        <v>9106123274</v>
      </c>
      <c r="E550" s="144" t="inlineStr">
        <is>
          <t>VAN</t>
        </is>
      </c>
      <c r="F550" s="144" t="inlineStr">
        <is>
          <t>CPR2912 GA</t>
        </is>
      </c>
      <c r="G550" s="144" t="inlineStr">
        <is>
          <t>WHITE MEB</t>
        </is>
      </c>
      <c r="H550" s="144" t="n">
        <v>1121</v>
      </c>
      <c r="I550" s="144" t="inlineStr">
        <is>
          <t xml:space="preserve">CONTRACTOR </t>
        </is>
      </c>
    </row>
    <row r="551" ht="18" customHeight="1" s="7">
      <c r="A551" s="144" t="inlineStr">
        <is>
          <t>RODNEY KENNYBREW</t>
        </is>
      </c>
      <c r="B551" s="144" t="inlineStr">
        <is>
          <t>00030691845 NC</t>
        </is>
      </c>
      <c r="C551" s="144" t="inlineStr">
        <is>
          <t>PGT</t>
        </is>
      </c>
      <c r="D551" s="144" t="n">
        <v>9806437408</v>
      </c>
      <c r="E551" s="144" t="inlineStr">
        <is>
          <t>FLAT</t>
        </is>
      </c>
      <c r="F551" s="144" t="inlineStr">
        <is>
          <t xml:space="preserve">PWK9902 OH </t>
        </is>
      </c>
      <c r="G551" s="144" t="inlineStr">
        <is>
          <t>WHITE INTERNATIONAL</t>
        </is>
      </c>
      <c r="H551" s="144" t="n">
        <v>1221</v>
      </c>
      <c r="I551" s="144" t="inlineStr">
        <is>
          <t>COMMERCIAL</t>
        </is>
      </c>
    </row>
    <row r="552" ht="18" customHeight="1" s="7">
      <c r="A552" s="144" t="inlineStr">
        <is>
          <t>CORONA VALENTINE Z III</t>
        </is>
      </c>
      <c r="B552" s="144" t="inlineStr">
        <is>
          <t>*C650879810410 FL</t>
        </is>
      </c>
      <c r="C552" s="144" t="inlineStr">
        <is>
          <t>LUSSO</t>
        </is>
      </c>
      <c r="D552" s="144" t="n">
        <v>2392723885</v>
      </c>
      <c r="E552" s="144" t="inlineStr">
        <is>
          <t>BOX</t>
        </is>
      </c>
      <c r="F552" s="144" t="inlineStr">
        <is>
          <t>P1105835 IL</t>
        </is>
      </c>
      <c r="G552" s="144" t="inlineStr">
        <is>
          <t>WHT VOLVO</t>
        </is>
      </c>
      <c r="H552" s="144" t="n">
        <v>1340</v>
      </c>
      <c r="I552" s="144" t="inlineStr">
        <is>
          <t>COMMERCIAL</t>
        </is>
      </c>
    </row>
    <row r="553" ht="18" customHeight="1" s="7">
      <c r="A553" s="144" t="inlineStr">
        <is>
          <t>YOHANNES AWET</t>
        </is>
      </c>
      <c r="B553" s="144" t="inlineStr">
        <is>
          <t>*UV67987 OH</t>
        </is>
      </c>
      <c r="C553" s="144" t="inlineStr">
        <is>
          <t>ST MICHAELS TRANS</t>
        </is>
      </c>
      <c r="D553" s="144" t="n">
        <v>5132006194</v>
      </c>
      <c r="E553" s="144" t="inlineStr">
        <is>
          <t>BOX</t>
        </is>
      </c>
      <c r="F553" s="144" t="inlineStr">
        <is>
          <t>PWQ2407 OH</t>
        </is>
      </c>
      <c r="G553" s="144" t="inlineStr">
        <is>
          <t>BLU FREIGHTLINER</t>
        </is>
      </c>
      <c r="H553" s="144" t="n">
        <v>1221</v>
      </c>
      <c r="I553" s="144" t="inlineStr">
        <is>
          <t>COMMERCIAL</t>
        </is>
      </c>
    </row>
    <row r="554" ht="18" customHeight="1" s="7">
      <c r="A554" s="144" t="inlineStr">
        <is>
          <t>JOSHUA LASSETTER</t>
        </is>
      </c>
      <c r="B554" s="144" t="inlineStr">
        <is>
          <t>*56311501</t>
        </is>
      </c>
      <c r="C554" s="144" t="inlineStr">
        <is>
          <t>ALBANY MILWORK</t>
        </is>
      </c>
      <c r="D554" s="144" t="n">
        <v>2296698997</v>
      </c>
      <c r="E554" s="144" t="inlineStr">
        <is>
          <t>PU</t>
        </is>
      </c>
      <c r="F554" s="144" t="inlineStr">
        <is>
          <t>SAE3757 GA</t>
        </is>
      </c>
      <c r="G554" s="144" t="inlineStr">
        <is>
          <t>TAN CHEVY</t>
        </is>
      </c>
      <c r="H554" s="144" t="n">
        <v>3500</v>
      </c>
      <c r="I554" s="144" t="inlineStr">
        <is>
          <t xml:space="preserve">CONTRACTOR </t>
        </is>
      </c>
    </row>
    <row r="555" ht="18" customHeight="1" s="7">
      <c r="A555" s="144" t="inlineStr">
        <is>
          <t>WILLIAM SALTER</t>
        </is>
      </c>
      <c r="B555" s="144" t="inlineStr">
        <is>
          <t>*052658741 GA</t>
        </is>
      </c>
      <c r="C555" s="144" t="inlineStr">
        <is>
          <t>MODERN GAS</t>
        </is>
      </c>
      <c r="D555" s="144" t="n">
        <v>2294356116</v>
      </c>
      <c r="E555" s="144" t="inlineStr">
        <is>
          <t>PROPANE</t>
        </is>
      </c>
      <c r="F555" s="144" t="inlineStr">
        <is>
          <t>PG9806 GA</t>
        </is>
      </c>
      <c r="G555" s="144" t="inlineStr">
        <is>
          <t>WHITE FREIGHTLINER</t>
        </is>
      </c>
      <c r="H555" s="144" t="inlineStr">
        <is>
          <t>2500 BROOM BLVD</t>
        </is>
      </c>
      <c r="I555" s="144" t="inlineStr">
        <is>
          <t>COMMERCIAL</t>
        </is>
      </c>
    </row>
    <row r="556" ht="18" customHeight="1" s="7">
      <c r="A556" s="144" t="inlineStr">
        <is>
          <t>CLINTON MCDANIEL</t>
        </is>
      </c>
      <c r="B556" s="144" t="inlineStr">
        <is>
          <t>*049864193 GA</t>
        </is>
      </c>
      <c r="C556" s="144" t="inlineStr">
        <is>
          <t>SHREDIT</t>
        </is>
      </c>
      <c r="D556" s="144" t="n">
        <v>2293105723</v>
      </c>
      <c r="E556" s="144" t="inlineStr">
        <is>
          <t>BOX</t>
        </is>
      </c>
      <c r="F556" s="144" t="inlineStr">
        <is>
          <t>Y131397 OR</t>
        </is>
      </c>
      <c r="G556" s="144" t="inlineStr">
        <is>
          <t>WHITE FREIGHTLINER</t>
        </is>
      </c>
      <c r="H556" s="144" t="n">
        <v>3600</v>
      </c>
      <c r="I556" s="144" t="inlineStr">
        <is>
          <t>COMMERCIAL</t>
        </is>
      </c>
    </row>
    <row r="557" ht="18" customHeight="1" s="7">
      <c r="A557" s="144" t="inlineStr">
        <is>
          <t xml:space="preserve">CHARLES YOUNG </t>
        </is>
      </c>
      <c r="B557" s="144" t="inlineStr">
        <is>
          <t>*054294568 GA</t>
        </is>
      </c>
      <c r="C557" s="144" t="inlineStr">
        <is>
          <t>ALBANY AIR</t>
        </is>
      </c>
      <c r="D557" s="144" t="n">
        <v>2294360341</v>
      </c>
      <c r="E557" s="144" t="inlineStr">
        <is>
          <t>PU</t>
        </is>
      </c>
      <c r="F557" s="144" t="inlineStr">
        <is>
          <t>DAA7520 GA</t>
        </is>
      </c>
      <c r="G557" s="144" t="inlineStr">
        <is>
          <t>WHITE FORD</t>
        </is>
      </c>
      <c r="H557" s="144" t="n">
        <v>1210</v>
      </c>
      <c r="I557" s="144" t="inlineStr">
        <is>
          <t xml:space="preserve">CONTRACTOR </t>
        </is>
      </c>
    </row>
    <row r="558" ht="18" customHeight="1" s="7">
      <c r="A558" s="144" t="inlineStr">
        <is>
          <t>BENJAMIN CAMPBELL</t>
        </is>
      </c>
      <c r="B558" s="144" t="inlineStr">
        <is>
          <t>*059893606 GA</t>
        </is>
      </c>
      <c r="C558" s="144" t="inlineStr">
        <is>
          <t>GRIFFIN</t>
        </is>
      </c>
      <c r="D558" s="144" t="n">
        <v>2293086271</v>
      </c>
      <c r="E558" s="144" t="inlineStr">
        <is>
          <t>FLAT</t>
        </is>
      </c>
      <c r="F558" s="144" t="inlineStr">
        <is>
          <t>EVY551 GA</t>
        </is>
      </c>
      <c r="G558" s="144" t="inlineStr">
        <is>
          <t>WHITE PETERBILT</t>
        </is>
      </c>
      <c r="H558" s="144" t="n">
        <v>7450</v>
      </c>
      <c r="I558" s="144" t="inlineStr">
        <is>
          <t>COMMERCIAL</t>
        </is>
      </c>
    </row>
    <row r="559" ht="18" customHeight="1" s="7">
      <c r="A559" s="144" t="inlineStr">
        <is>
          <t>JQUALLIN DAVIS</t>
        </is>
      </c>
      <c r="B559" s="144" t="inlineStr">
        <is>
          <t>*059983226 GA</t>
        </is>
      </c>
      <c r="C559" s="144" t="inlineStr">
        <is>
          <t>ABMERE</t>
        </is>
      </c>
      <c r="D559" s="144" t="n">
        <v>2293082129</v>
      </c>
      <c r="E559" s="144" t="inlineStr">
        <is>
          <t>BOX</t>
        </is>
      </c>
      <c r="F559" s="144" t="inlineStr">
        <is>
          <t>C7386B GA</t>
        </is>
      </c>
      <c r="G559" s="144" t="inlineStr">
        <is>
          <t>GREY FREIGHTLINER</t>
        </is>
      </c>
      <c r="H559" s="144" t="n">
        <v>1221</v>
      </c>
      <c r="I559" s="144" t="inlineStr">
        <is>
          <t>COMMERCIAL</t>
        </is>
      </c>
    </row>
    <row r="560" ht="18" customHeight="1" s="7">
      <c r="A560" s="144" t="inlineStr">
        <is>
          <t>REYES PARADA</t>
        </is>
      </c>
      <c r="B560" s="144" t="inlineStr">
        <is>
          <t>*051575465 GA</t>
        </is>
      </c>
      <c r="C560" s="144" t="inlineStr">
        <is>
          <t>BRAM TRUCKING</t>
        </is>
      </c>
      <c r="D560" s="144" t="n">
        <v>7703749620</v>
      </c>
      <c r="E560" s="144" t="inlineStr">
        <is>
          <t>FLAT</t>
        </is>
      </c>
      <c r="F560" s="144" t="inlineStr">
        <is>
          <t>C084CA GA</t>
        </is>
      </c>
      <c r="G560" s="144" t="inlineStr">
        <is>
          <t>RED FREIGHTLINER</t>
        </is>
      </c>
      <c r="H560" s="144" t="n">
        <v>1221</v>
      </c>
      <c r="I560" s="144" t="inlineStr">
        <is>
          <t>COMMERCIAL</t>
        </is>
      </c>
    </row>
    <row r="561" ht="18" customHeight="1" s="7">
      <c r="A561" s="144" t="inlineStr">
        <is>
          <t xml:space="preserve">DREON DOWNS </t>
        </is>
      </c>
      <c r="B561" s="144" t="inlineStr">
        <is>
          <t>*059119020 GA</t>
        </is>
      </c>
      <c r="C561" s="144" t="inlineStr">
        <is>
          <t>GRIFFIN</t>
        </is>
      </c>
      <c r="D561" s="144" t="n">
        <v>2293642624</v>
      </c>
      <c r="E561" s="144" t="inlineStr">
        <is>
          <t>FLAT</t>
        </is>
      </c>
      <c r="F561" s="144" t="inlineStr">
        <is>
          <t>EVY547 GA</t>
        </is>
      </c>
      <c r="G561" s="144" t="inlineStr">
        <is>
          <t>WHITE PETERBILT</t>
        </is>
      </c>
      <c r="H561" s="144" t="n">
        <v>7450</v>
      </c>
      <c r="I561" s="144" t="inlineStr">
        <is>
          <t>COMMERCIAL</t>
        </is>
      </c>
    </row>
    <row r="562" ht="18" customHeight="1" s="7">
      <c r="A562" s="144" t="inlineStr">
        <is>
          <t>OLIVER BLAKE</t>
        </is>
      </c>
      <c r="B562" s="144" t="inlineStr">
        <is>
          <t>B420657713892 FL</t>
        </is>
      </c>
      <c r="C562" s="144" t="inlineStr">
        <is>
          <t>OSB TRUCKING</t>
        </is>
      </c>
      <c r="D562" s="144" t="n">
        <v>5615841563</v>
      </c>
      <c r="E562" s="144" t="inlineStr">
        <is>
          <t>BOX</t>
        </is>
      </c>
      <c r="F562" s="144" t="inlineStr">
        <is>
          <t>XE4 58J FL</t>
        </is>
      </c>
      <c r="G562" s="144" t="inlineStr">
        <is>
          <t>WHITE INTERNATIONAL</t>
        </is>
      </c>
      <c r="H562" s="144" t="n">
        <v>1012</v>
      </c>
      <c r="I562" s="144" t="inlineStr">
        <is>
          <t>COMMERCIAL</t>
        </is>
      </c>
    </row>
    <row r="563" ht="18" customHeight="1" s="7">
      <c r="A563" s="144" t="inlineStr">
        <is>
          <t>THOMAS ROBINSON</t>
        </is>
      </c>
      <c r="B563" s="144" t="inlineStr">
        <is>
          <t>*049340403 GA</t>
        </is>
      </c>
      <c r="C563" s="144" t="inlineStr">
        <is>
          <t>SOUITHEASTERN PAPER</t>
        </is>
      </c>
      <c r="D563" s="144" t="n">
        <v>2294464100</v>
      </c>
      <c r="E563" s="144" t="inlineStr">
        <is>
          <t>BOX</t>
        </is>
      </c>
      <c r="F563" s="144" t="inlineStr">
        <is>
          <t>3182469 IN</t>
        </is>
      </c>
      <c r="G563" s="144" t="inlineStr">
        <is>
          <t>WHITE FREIGHTLINER</t>
        </is>
      </c>
      <c r="H563" s="144" t="inlineStr">
        <is>
          <t>COMMISSARY</t>
        </is>
      </c>
      <c r="I563" s="144" t="inlineStr">
        <is>
          <t>COMMERCIAL</t>
        </is>
      </c>
    </row>
    <row r="564" ht="18" customHeight="1" s="7">
      <c r="A564" s="144" t="inlineStr">
        <is>
          <t>LAWRENCE FLOYD</t>
        </is>
      </c>
      <c r="B564" s="144" t="inlineStr">
        <is>
          <t>000029682940 NC</t>
        </is>
      </c>
      <c r="C564" s="144" t="inlineStr">
        <is>
          <t>RYDER</t>
        </is>
      </c>
      <c r="D564" s="144" t="n">
        <v>3464734960</v>
      </c>
      <c r="E564" s="144" t="inlineStr">
        <is>
          <t>BOX</t>
        </is>
      </c>
      <c r="F564" s="144" t="inlineStr">
        <is>
          <t xml:space="preserve">AE54115 CT </t>
        </is>
      </c>
      <c r="G564" s="144" t="inlineStr">
        <is>
          <t>WHITE INTERNATIONAL</t>
        </is>
      </c>
      <c r="H564" s="144" t="n">
        <v>1221</v>
      </c>
      <c r="I564" s="144" t="inlineStr">
        <is>
          <t>COMMERCIAL</t>
        </is>
      </c>
    </row>
    <row r="565" ht="18" customHeight="1" s="7">
      <c r="A565" s="144" t="inlineStr">
        <is>
          <t>JACK HILTON</t>
        </is>
      </c>
      <c r="B565" s="144" t="inlineStr">
        <is>
          <t>*055066522 GA</t>
        </is>
      </c>
      <c r="C565" s="144" t="inlineStr">
        <is>
          <t>A WEST</t>
        </is>
      </c>
      <c r="D565" s="144" t="n">
        <v>2298888347</v>
      </c>
      <c r="E565" s="144" t="inlineStr">
        <is>
          <t>PU</t>
        </is>
      </c>
      <c r="F565" s="144" t="inlineStr">
        <is>
          <t>CHZ6412 GA</t>
        </is>
      </c>
      <c r="G565" s="144" t="inlineStr">
        <is>
          <t>WHITE CHEVY</t>
        </is>
      </c>
      <c r="H565" s="144" t="inlineStr">
        <is>
          <t>BASEWIDE</t>
        </is>
      </c>
      <c r="I565" s="144" t="inlineStr">
        <is>
          <t xml:space="preserve">CONTRACTOR </t>
        </is>
      </c>
    </row>
    <row r="566" ht="18" customHeight="1" s="7">
      <c r="A566" s="144" t="inlineStr">
        <is>
          <t>ARKADIUSZ KROCZYK</t>
        </is>
      </c>
      <c r="B566" s="144" t="inlineStr">
        <is>
          <t>K90000614710 MI</t>
        </is>
      </c>
      <c r="C566" s="144" t="inlineStr">
        <is>
          <t>ARCTIC TRANSPORT</t>
        </is>
      </c>
      <c r="D566" s="144" t="n">
        <v>6308638453</v>
      </c>
      <c r="E566" s="144" t="inlineStr">
        <is>
          <t>BOX</t>
        </is>
      </c>
      <c r="F566" s="144" t="inlineStr">
        <is>
          <t>RC26578 MI</t>
        </is>
      </c>
      <c r="G566" s="144" t="inlineStr">
        <is>
          <t>RED VOLVO</t>
        </is>
      </c>
      <c r="H566" s="144" t="n">
        <v>1221</v>
      </c>
      <c r="I566" s="144" t="inlineStr">
        <is>
          <t>COMMERCIAL</t>
        </is>
      </c>
    </row>
    <row r="567" ht="18" customHeight="1" s="7">
      <c r="A567" s="144" t="inlineStr">
        <is>
          <t>DEAN GOSDEN</t>
        </is>
      </c>
      <c r="B567" s="144" t="inlineStr">
        <is>
          <t>*071457176 GA</t>
        </is>
      </c>
      <c r="C567" s="144" t="inlineStr">
        <is>
          <t>ELE</t>
        </is>
      </c>
      <c r="D567" s="144" t="n">
        <v>4709144044</v>
      </c>
      <c r="E567" s="144" t="inlineStr">
        <is>
          <t>BOX</t>
        </is>
      </c>
      <c r="F567" s="144" t="inlineStr">
        <is>
          <t>ZAG965 GA</t>
        </is>
      </c>
      <c r="G567" s="144" t="inlineStr">
        <is>
          <t>ISUZU</t>
        </is>
      </c>
      <c r="H567" s="144" t="n">
        <v>1221</v>
      </c>
      <c r="I567" s="144" t="inlineStr">
        <is>
          <t>COMMERCIAL</t>
        </is>
      </c>
    </row>
    <row r="568" ht="18" customHeight="1" s="7">
      <c r="A568" s="144" t="inlineStr">
        <is>
          <t>ANTONIO MILLER</t>
        </is>
      </c>
      <c r="B568" s="144" t="inlineStr">
        <is>
          <t>8210410 AL</t>
        </is>
      </c>
      <c r="C568" s="144" t="inlineStr">
        <is>
          <t>ROBBIE D WOOD</t>
        </is>
      </c>
      <c r="D568" s="144" t="n">
        <v>2054998217</v>
      </c>
      <c r="E568" s="144" t="inlineStr">
        <is>
          <t>FLAT</t>
        </is>
      </c>
      <c r="F568" s="144" t="inlineStr">
        <is>
          <t>119934 AL</t>
        </is>
      </c>
      <c r="G568" s="144" t="inlineStr">
        <is>
          <t>RED KENWORTH</t>
        </is>
      </c>
      <c r="H568" s="144" t="inlineStr">
        <is>
          <t>POWERWORKS</t>
        </is>
      </c>
      <c r="I568" s="144" t="inlineStr">
        <is>
          <t>COMMERCIAL</t>
        </is>
      </c>
    </row>
    <row r="569" ht="18" customHeight="1" s="7">
      <c r="A569" s="144" t="inlineStr">
        <is>
          <t>JASON YOUNG</t>
        </is>
      </c>
      <c r="B569" s="144" t="inlineStr">
        <is>
          <t>000024642058 NC</t>
        </is>
      </c>
      <c r="C569" s="144" t="inlineStr">
        <is>
          <t>PGT TRUCKING</t>
        </is>
      </c>
      <c r="D569" s="144" t="n">
        <v>7049058298</v>
      </c>
      <c r="E569" s="144" t="inlineStr">
        <is>
          <t>FLAT</t>
        </is>
      </c>
      <c r="F569" s="144" t="inlineStr">
        <is>
          <t>PWE3785 OH</t>
        </is>
      </c>
      <c r="G569" s="144" t="inlineStr">
        <is>
          <t>WHITE INTERNATIONAL</t>
        </is>
      </c>
      <c r="H569" s="144" t="n">
        <v>1221</v>
      </c>
      <c r="I569" s="144" t="inlineStr">
        <is>
          <t>COMMERCIAL</t>
        </is>
      </c>
    </row>
    <row r="570" ht="18" customHeight="1" s="7">
      <c r="A570" s="144" t="inlineStr">
        <is>
          <t>KELLY MARADIAGA</t>
        </is>
      </c>
      <c r="B570" s="144" t="inlineStr">
        <is>
          <t>110019238 TN</t>
        </is>
      </c>
      <c r="C570" s="144" t="inlineStr">
        <is>
          <t>GUARDIAN EXPRESS</t>
        </is>
      </c>
      <c r="D570" s="144" t="n">
        <v>6155890423</v>
      </c>
      <c r="E570" s="144" t="inlineStr">
        <is>
          <t>BOX</t>
        </is>
      </c>
      <c r="F570" s="144" t="inlineStr">
        <is>
          <t>3990HY TN</t>
        </is>
      </c>
      <c r="G570" s="144" t="inlineStr">
        <is>
          <t>BLACK KENWORTH</t>
        </is>
      </c>
      <c r="H570" s="144" t="n">
        <v>1221</v>
      </c>
      <c r="I570" s="144" t="inlineStr">
        <is>
          <t>COMMERCIAL</t>
        </is>
      </c>
    </row>
    <row r="571" ht="18" customHeight="1" s="7">
      <c r="A571" s="144" t="inlineStr">
        <is>
          <t>NEWAY GEBREMARIAM</t>
        </is>
      </c>
      <c r="B571" s="144" t="inlineStr">
        <is>
          <t>172325888 CO</t>
        </is>
      </c>
      <c r="C571" s="144" t="inlineStr">
        <is>
          <t>ROBERTSON TRUCKING</t>
        </is>
      </c>
      <c r="D571" s="144" t="n">
        <v>2064028655</v>
      </c>
      <c r="E571" s="144" t="inlineStr">
        <is>
          <t>BOX</t>
        </is>
      </c>
      <c r="F571" s="144" t="inlineStr">
        <is>
          <t>P1209487 IL</t>
        </is>
      </c>
      <c r="G571" s="144" t="inlineStr">
        <is>
          <t>ORANGE FREIGHTLINER</t>
        </is>
      </c>
      <c r="H571" s="144" t="n">
        <v>1221</v>
      </c>
      <c r="I571" s="144" t="inlineStr">
        <is>
          <t>COMMERCIAL</t>
        </is>
      </c>
    </row>
    <row r="572" ht="18" customHeight="1" s="7">
      <c r="A572" s="144" t="inlineStr">
        <is>
          <t>ERIK HERNANDEZ</t>
        </is>
      </c>
      <c r="B572" s="144" t="inlineStr">
        <is>
          <t>*060422799 GA</t>
        </is>
      </c>
      <c r="C572" s="144" t="inlineStr">
        <is>
          <t>DE BEER GRANITE</t>
        </is>
      </c>
      <c r="D572" s="144" t="inlineStr">
        <is>
          <t>770 487 5687</t>
        </is>
      </c>
      <c r="E572" s="144" t="inlineStr">
        <is>
          <t>PU</t>
        </is>
      </c>
      <c r="F572" s="144" t="inlineStr">
        <is>
          <t>QAL5854 GA</t>
        </is>
      </c>
      <c r="G572" s="144" t="inlineStr">
        <is>
          <t>SILVER FORD</t>
        </is>
      </c>
      <c r="H572" s="144" t="inlineStr">
        <is>
          <t>HOUSING</t>
        </is>
      </c>
      <c r="I572" s="144" t="inlineStr">
        <is>
          <t xml:space="preserve">CONTRACTOR </t>
        </is>
      </c>
    </row>
    <row r="573" ht="18" customHeight="1" s="7">
      <c r="A573" s="144" t="inlineStr">
        <is>
          <t>CASEY BAGGET</t>
        </is>
      </c>
      <c r="B573" s="144" t="inlineStr">
        <is>
          <t>*055038812 GA</t>
        </is>
      </c>
      <c r="C573" s="144" t="inlineStr">
        <is>
          <t>EAGLE</t>
        </is>
      </c>
      <c r="D573" s="144" t="n">
        <v>2298691524</v>
      </c>
      <c r="E573" s="144" t="inlineStr">
        <is>
          <t>TANK</t>
        </is>
      </c>
      <c r="F573" s="144" t="inlineStr">
        <is>
          <t>VT9538 NC</t>
        </is>
      </c>
      <c r="G573" s="144" t="inlineStr">
        <is>
          <t>WHITE FREIGHTLINER</t>
        </is>
      </c>
      <c r="H573" s="144" t="n">
        <v>7501</v>
      </c>
      <c r="I573" s="144" t="inlineStr">
        <is>
          <t>COMMERCIAL</t>
        </is>
      </c>
    </row>
    <row r="574" ht="18" customHeight="1" s="7">
      <c r="A574" s="144" t="inlineStr">
        <is>
          <t>UVALDO PIZANO</t>
        </is>
      </c>
      <c r="B574" s="144" t="inlineStr">
        <is>
          <t>27011234 TX</t>
        </is>
      </c>
      <c r="C574" s="144" t="inlineStr">
        <is>
          <t>TIGER</t>
        </is>
      </c>
      <c r="D574" s="144" t="n">
        <v>2817888371</v>
      </c>
      <c r="E574" s="144" t="inlineStr">
        <is>
          <t>BOX</t>
        </is>
      </c>
      <c r="F574" s="144" t="inlineStr">
        <is>
          <t>P1246226 IL</t>
        </is>
      </c>
      <c r="G574" s="144" t="inlineStr">
        <is>
          <t>WHITE FREIGHTLINER</t>
        </is>
      </c>
      <c r="H574" s="144" t="n">
        <v>1221</v>
      </c>
      <c r="I574" s="144" t="inlineStr">
        <is>
          <t>COMMERCIAL</t>
        </is>
      </c>
    </row>
    <row r="575" ht="18" customHeight="1" s="7">
      <c r="A575" s="144" t="inlineStr">
        <is>
          <t>DAMON FIDNLEY</t>
        </is>
      </c>
      <c r="B575" s="144" t="inlineStr">
        <is>
          <t>*042238071 GA</t>
        </is>
      </c>
      <c r="C575" s="144" t="inlineStr">
        <is>
          <t>ESTES</t>
        </is>
      </c>
      <c r="D575" s="144" t="n">
        <v>2298943088</v>
      </c>
      <c r="E575" s="144" t="inlineStr">
        <is>
          <t>BOX</t>
        </is>
      </c>
      <c r="F575" s="144" t="inlineStr">
        <is>
          <t>3584365 IN</t>
        </is>
      </c>
      <c r="G575" s="144" t="inlineStr">
        <is>
          <t>WHITE FREIGHTLINER</t>
        </is>
      </c>
      <c r="H575" s="144" t="n">
        <v>1221</v>
      </c>
      <c r="I575" s="144" t="inlineStr">
        <is>
          <t>COMMERCIAL</t>
        </is>
      </c>
    </row>
    <row r="576" ht="18" customHeight="1" s="7">
      <c r="A576" s="144" t="inlineStr">
        <is>
          <t>ABLEL MAHRAY</t>
        </is>
      </c>
      <c r="B576" s="144" t="inlineStr">
        <is>
          <t>MD10273346790 MD</t>
        </is>
      </c>
      <c r="C576" s="144" t="inlineStr">
        <is>
          <t>ROBERSTON</t>
        </is>
      </c>
      <c r="D576" s="144" t="n">
        <v>7032174984</v>
      </c>
      <c r="E576" s="144" t="inlineStr">
        <is>
          <t>BOX</t>
        </is>
      </c>
      <c r="F576" s="144" t="inlineStr">
        <is>
          <t>P1262880 IL</t>
        </is>
      </c>
      <c r="G576" s="144" t="inlineStr">
        <is>
          <t>GREEN FREIGHTLINER</t>
        </is>
      </c>
      <c r="H576" s="144" t="n">
        <v>1221</v>
      </c>
      <c r="I576" s="144" t="inlineStr">
        <is>
          <t>COMMERCIAL</t>
        </is>
      </c>
    </row>
    <row r="577" ht="18" customHeight="1" s="7">
      <c r="A577" s="144" t="inlineStr">
        <is>
          <t>WILLIAM MCLENDON</t>
        </is>
      </c>
      <c r="B577" s="144" t="inlineStr">
        <is>
          <t>*056490771 GA</t>
        </is>
      </c>
      <c r="C577" s="144" t="inlineStr">
        <is>
          <t>HAWKINS</t>
        </is>
      </c>
      <c r="D577" s="144" t="n">
        <v>2294000365</v>
      </c>
      <c r="E577" s="144" t="inlineStr">
        <is>
          <t>BOX</t>
        </is>
      </c>
      <c r="F577" s="144" t="inlineStr">
        <is>
          <t>1890PZA MN</t>
        </is>
      </c>
      <c r="G577" s="144" t="inlineStr">
        <is>
          <t>WHITE KW</t>
        </is>
      </c>
      <c r="H577" s="144" t="n">
        <v>1260</v>
      </c>
      <c r="I577" s="144" t="inlineStr">
        <is>
          <t>COMMERCIAL</t>
        </is>
      </c>
    </row>
    <row r="578" ht="18" customHeight="1" s="7">
      <c r="A578" s="144" t="inlineStr">
        <is>
          <t>ALBERT BROWN</t>
        </is>
      </c>
      <c r="B578" s="144" t="inlineStr">
        <is>
          <t>*056635291 GA</t>
        </is>
      </c>
      <c r="C578" s="144" t="inlineStr">
        <is>
          <t>MIGHTY MOVERS</t>
        </is>
      </c>
      <c r="D578" s="144" t="n">
        <v>2292722097</v>
      </c>
      <c r="E578" s="144" t="inlineStr">
        <is>
          <t>BOX</t>
        </is>
      </c>
      <c r="F578" s="144" t="inlineStr">
        <is>
          <t>EXH284 GA</t>
        </is>
      </c>
      <c r="G578" s="144" t="inlineStr">
        <is>
          <t>YELLOW IN</t>
        </is>
      </c>
      <c r="H578" s="144" t="n">
        <v>3600</v>
      </c>
      <c r="I578" s="144" t="inlineStr">
        <is>
          <t>COMMERCIAL</t>
        </is>
      </c>
    </row>
    <row r="579" ht="18" customHeight="1" s="7">
      <c r="A579" s="144" t="inlineStr">
        <is>
          <t>TOMMY CARROLL</t>
        </is>
      </c>
      <c r="B579" s="144" t="inlineStr">
        <is>
          <t>*049764679 GA</t>
        </is>
      </c>
      <c r="C579" s="144" t="inlineStr">
        <is>
          <t>ACT</t>
        </is>
      </c>
      <c r="D579" s="144" t="n">
        <v>2293950538</v>
      </c>
      <c r="E579" s="144" t="inlineStr">
        <is>
          <t>BOX</t>
        </is>
      </c>
      <c r="F579" s="144" t="inlineStr">
        <is>
          <t>R572657 TX</t>
        </is>
      </c>
      <c r="G579" s="144" t="inlineStr">
        <is>
          <t>BLUE FK</t>
        </is>
      </c>
      <c r="H579" s="144" t="n">
        <v>1330</v>
      </c>
      <c r="I579" s="144" t="inlineStr">
        <is>
          <t>COMMERCIAL</t>
        </is>
      </c>
    </row>
    <row r="580" ht="18" customHeight="1" s="7">
      <c r="A580" s="144" t="inlineStr">
        <is>
          <t>HOUSTON CANNON JR</t>
        </is>
      </c>
      <c r="B580" s="144" t="inlineStr">
        <is>
          <t>*055455390 GA</t>
        </is>
      </c>
      <c r="C580" s="144" t="inlineStr">
        <is>
          <t>SAFE AIR</t>
        </is>
      </c>
      <c r="D580" s="144" t="n">
        <v>2298835100</v>
      </c>
      <c r="E580" s="144" t="inlineStr">
        <is>
          <t>VAN</t>
        </is>
      </c>
      <c r="F580" s="144" t="inlineStr">
        <is>
          <t>CWX1482 GA</t>
        </is>
      </c>
      <c r="G580" s="144" t="inlineStr">
        <is>
          <t>WHITE FORD</t>
        </is>
      </c>
      <c r="H580" s="144" t="inlineStr">
        <is>
          <t>ARMORY</t>
        </is>
      </c>
      <c r="I580" s="144" t="inlineStr">
        <is>
          <t xml:space="preserve">CONTRACTOR </t>
        </is>
      </c>
    </row>
    <row r="581" ht="18" customHeight="1" s="7">
      <c r="A581" s="57" t="inlineStr">
        <is>
          <t>ROBERT TINSLEY</t>
        </is>
      </c>
      <c r="B581" s="144" t="inlineStr">
        <is>
          <t>*060604689 GA</t>
        </is>
      </c>
      <c r="C581" s="144" t="inlineStr">
        <is>
          <t>FASTENEAL</t>
        </is>
      </c>
      <c r="D581" s="144" t="n">
        <v>2297988741</v>
      </c>
      <c r="E581" s="144" t="inlineStr">
        <is>
          <t>VAN</t>
        </is>
      </c>
      <c r="F581" s="144" t="inlineStr">
        <is>
          <t>DAP1370 GA</t>
        </is>
      </c>
      <c r="G581" s="144" t="inlineStr">
        <is>
          <t>WHITE DODGE</t>
        </is>
      </c>
      <c r="H581" s="144" t="n">
        <v>5651</v>
      </c>
      <c r="I581" s="144" t="inlineStr">
        <is>
          <t xml:space="preserve">CONTRACTOR </t>
        </is>
      </c>
    </row>
    <row r="582" ht="18" customHeight="1" s="7">
      <c r="A582" s="144" t="inlineStr">
        <is>
          <t xml:space="preserve">FLORES LUIS </t>
        </is>
      </c>
      <c r="B582" s="144" t="inlineStr">
        <is>
          <t>*070991803 GA</t>
        </is>
      </c>
      <c r="C582" s="144" t="inlineStr">
        <is>
          <t>CENTRIMAX</t>
        </is>
      </c>
      <c r="D582" s="144" t="n">
        <v>9043281470</v>
      </c>
      <c r="E582" s="144" t="inlineStr">
        <is>
          <t>BOX</t>
        </is>
      </c>
      <c r="F582" s="144" t="inlineStr">
        <is>
          <t>SFD6903 GA</t>
        </is>
      </c>
      <c r="G582" s="144" t="inlineStr">
        <is>
          <t>BLUE FORD</t>
        </is>
      </c>
      <c r="H582" s="144" t="n">
        <v>1220</v>
      </c>
      <c r="I582" s="144" t="inlineStr">
        <is>
          <t xml:space="preserve">CONTRACTOR </t>
        </is>
      </c>
    </row>
    <row r="583" ht="18" customHeight="1" s="7">
      <c r="A583" s="144" t="inlineStr">
        <is>
          <t>CALVIN LOVE JR</t>
        </is>
      </c>
      <c r="B583" s="144" t="inlineStr">
        <is>
          <t xml:space="preserve">*052859852 GA </t>
        </is>
      </c>
      <c r="C583" s="144" t="inlineStr">
        <is>
          <t>BMC TRANS</t>
        </is>
      </c>
      <c r="D583" s="144" t="n">
        <v>4793609649</v>
      </c>
      <c r="E583" s="144" t="inlineStr">
        <is>
          <t>BOX</t>
        </is>
      </c>
      <c r="F583" s="144" t="inlineStr">
        <is>
          <t>P044CL GA</t>
        </is>
      </c>
      <c r="G583" s="144" t="inlineStr">
        <is>
          <t>WHITE FL</t>
        </is>
      </c>
      <c r="H583" s="144" t="n">
        <v>1221</v>
      </c>
      <c r="I583" s="144" t="inlineStr">
        <is>
          <t>COMMERCIAL</t>
        </is>
      </c>
    </row>
    <row r="584" ht="18" customHeight="1" s="7">
      <c r="A584" s="144" t="inlineStr">
        <is>
          <t>SABIC SAMIR</t>
        </is>
      </c>
      <c r="B584" s="144" t="inlineStr">
        <is>
          <t>700XX2604 IO</t>
        </is>
      </c>
      <c r="C584" s="144" t="inlineStr">
        <is>
          <t xml:space="preserve">OVERLAND </t>
        </is>
      </c>
      <c r="D584" s="144" t="n">
        <v>3192307317</v>
      </c>
      <c r="E584" s="144" t="inlineStr">
        <is>
          <t>BOX</t>
        </is>
      </c>
      <c r="F584" s="144" t="inlineStr">
        <is>
          <t>FV4393 IO</t>
        </is>
      </c>
      <c r="G584" s="144" t="inlineStr">
        <is>
          <t>WHITE VOLVO</t>
        </is>
      </c>
      <c r="H584" s="144" t="n">
        <v>1221</v>
      </c>
      <c r="I584" s="144" t="inlineStr">
        <is>
          <t>COMMERCIAL</t>
        </is>
      </c>
    </row>
    <row r="585" ht="18" customHeight="1" s="7">
      <c r="A585" s="144" t="inlineStr">
        <is>
          <t>CHRISTOPHER ESPY</t>
        </is>
      </c>
      <c r="B585" s="144" t="inlineStr">
        <is>
          <t>*053839617 GA</t>
        </is>
      </c>
      <c r="C585" s="144" t="inlineStr">
        <is>
          <t>RHC</t>
        </is>
      </c>
      <c r="D585" s="144" t="n">
        <v>2297770720</v>
      </c>
      <c r="E585" s="144" t="inlineStr">
        <is>
          <t>PU</t>
        </is>
      </c>
      <c r="F585" s="144" t="inlineStr">
        <is>
          <t>RTQ2127 GA</t>
        </is>
      </c>
      <c r="G585" s="144" t="inlineStr">
        <is>
          <t>WHITE FORD</t>
        </is>
      </c>
      <c r="H585" s="144" t="inlineStr">
        <is>
          <t>HOUSING</t>
        </is>
      </c>
      <c r="I585" s="144" t="inlineStr">
        <is>
          <t xml:space="preserve">CONTRACTOR </t>
        </is>
      </c>
    </row>
    <row r="586" ht="18" customHeight="1" s="7">
      <c r="A586" s="144" t="inlineStr">
        <is>
          <t>LORENZO IDALIO</t>
        </is>
      </c>
      <c r="B586" s="144" t="inlineStr">
        <is>
          <t>L652209654300 FL</t>
        </is>
      </c>
      <c r="C586" s="144" t="inlineStr">
        <is>
          <t>CABELLO TRUCKING</t>
        </is>
      </c>
      <c r="D586" s="144" t="n">
        <v>3054149123</v>
      </c>
      <c r="E586" s="144" t="inlineStr">
        <is>
          <t>BOX</t>
        </is>
      </c>
      <c r="F586" s="144" t="inlineStr">
        <is>
          <t>X0940G FL</t>
        </is>
      </c>
      <c r="G586" s="144" t="inlineStr">
        <is>
          <t>WHITE FREIGHTLINER</t>
        </is>
      </c>
      <c r="H586" s="144" t="n">
        <v>1221</v>
      </c>
      <c r="I586" s="144" t="inlineStr">
        <is>
          <t>COMMERCIAL</t>
        </is>
      </c>
    </row>
    <row r="587" ht="18" customHeight="1" s="7">
      <c r="A587" s="144" t="inlineStr">
        <is>
          <t>MATTHEW DOZIER</t>
        </is>
      </c>
      <c r="B587" s="144" t="inlineStr">
        <is>
          <t>*054133597 GA</t>
        </is>
      </c>
      <c r="C587" s="144" t="inlineStr">
        <is>
          <t>CRYSTAL RIVERS</t>
        </is>
      </c>
      <c r="D587" s="144" t="n">
        <v>2298735674</v>
      </c>
      <c r="E587" s="144" t="inlineStr">
        <is>
          <t>PU</t>
        </is>
      </c>
      <c r="F587" s="144" t="inlineStr">
        <is>
          <t>YUU421 GA</t>
        </is>
      </c>
      <c r="G587" s="144" t="inlineStr">
        <is>
          <t>SILVER GMC</t>
        </is>
      </c>
      <c r="H587" s="144" t="inlineStr">
        <is>
          <t>BASEWIDE</t>
        </is>
      </c>
      <c r="I587" s="144" t="inlineStr">
        <is>
          <t xml:space="preserve">CONTRACTOR </t>
        </is>
      </c>
    </row>
    <row r="588" ht="18" customHeight="1" s="7">
      <c r="A588" s="144" t="inlineStr">
        <is>
          <t>AUSTIN LIPSCOMB</t>
        </is>
      </c>
      <c r="B588" s="144" t="inlineStr">
        <is>
          <t>*050915912 GA</t>
        </is>
      </c>
      <c r="C588" s="144" t="inlineStr">
        <is>
          <t>CAPITAL CUTTERS</t>
        </is>
      </c>
      <c r="D588" s="144" t="n">
        <v>7707576580</v>
      </c>
      <c r="E588" s="144" t="inlineStr">
        <is>
          <t>PU</t>
        </is>
      </c>
      <c r="F588" s="144" t="inlineStr">
        <is>
          <t>CVK6406 GA</t>
        </is>
      </c>
      <c r="G588" s="144" t="inlineStr">
        <is>
          <t>WHITE FORD</t>
        </is>
      </c>
      <c r="H588" s="144" t="inlineStr">
        <is>
          <t>BASEWIDE</t>
        </is>
      </c>
      <c r="I588" s="144" t="inlineStr">
        <is>
          <t xml:space="preserve">CONTRACTOR </t>
        </is>
      </c>
    </row>
    <row r="589" ht="18" customHeight="1" s="7">
      <c r="A589" s="144" t="inlineStr">
        <is>
          <t>PEREZ JUAN</t>
        </is>
      </c>
      <c r="B589" s="144" t="inlineStr">
        <is>
          <t>P418 121600000 FL</t>
        </is>
      </c>
      <c r="C589" s="144" t="inlineStr">
        <is>
          <t>ASTRA</t>
        </is>
      </c>
      <c r="D589" s="144" t="n">
        <v>86393480995</v>
      </c>
      <c r="E589" s="144" t="inlineStr">
        <is>
          <t>BOX</t>
        </is>
      </c>
      <c r="F589" s="144" t="inlineStr">
        <is>
          <t>P1281825 IL</t>
        </is>
      </c>
      <c r="G589" s="144" t="inlineStr">
        <is>
          <t>RED VOLVO</t>
        </is>
      </c>
      <c r="H589" s="144" t="n">
        <v>1221</v>
      </c>
      <c r="I589" s="144" t="inlineStr">
        <is>
          <t>COMMERCIAL</t>
        </is>
      </c>
    </row>
    <row r="590" ht="18" customHeight="1" s="7">
      <c r="A590" s="144" t="inlineStr">
        <is>
          <t>DONALD LANIER</t>
        </is>
      </c>
      <c r="B590" s="144" t="inlineStr">
        <is>
          <t>*056675548 GA</t>
        </is>
      </c>
      <c r="C590" s="144" t="inlineStr">
        <is>
          <t>O REILY</t>
        </is>
      </c>
      <c r="D590" s="144" t="n">
        <v>2296014935</v>
      </c>
      <c r="E590" s="144" t="inlineStr">
        <is>
          <t>PU</t>
        </is>
      </c>
      <c r="F590" s="144" t="inlineStr">
        <is>
          <t>SAN9400 GA</t>
        </is>
      </c>
      <c r="G590" s="144" t="inlineStr">
        <is>
          <t>WHITE CHEVY</t>
        </is>
      </c>
      <c r="H590" s="144" t="inlineStr">
        <is>
          <t>HOBBY SHOP</t>
        </is>
      </c>
      <c r="I590" s="144" t="inlineStr">
        <is>
          <t xml:space="preserve">CONTRACTOR </t>
        </is>
      </c>
    </row>
    <row r="591" ht="18" customHeight="1" s="7">
      <c r="A591" s="144" t="inlineStr">
        <is>
          <t>PARRISH RONALD</t>
        </is>
      </c>
      <c r="B591" s="144" t="inlineStr">
        <is>
          <t>X206252002 MO</t>
        </is>
      </c>
      <c r="C591" s="144" t="inlineStr">
        <is>
          <t>ROAD LINK EXPRESS</t>
        </is>
      </c>
      <c r="D591" s="144" t="n">
        <v>9044868277</v>
      </c>
      <c r="E591" s="144" t="inlineStr">
        <is>
          <t>BOX</t>
        </is>
      </c>
      <c r="F591" s="144" t="inlineStr">
        <is>
          <t>X6849S WI</t>
        </is>
      </c>
      <c r="G591" s="144" t="inlineStr">
        <is>
          <t>BLUE FREIGHTLINER</t>
        </is>
      </c>
      <c r="H591" s="144" t="n">
        <v>1221</v>
      </c>
      <c r="I591" s="144" t="inlineStr">
        <is>
          <t>COMMERCIAL</t>
        </is>
      </c>
    </row>
    <row r="592" ht="18" customHeight="1" s="7">
      <c r="A592" s="144" t="inlineStr">
        <is>
          <t>MAX TELFORT</t>
        </is>
      </c>
      <c r="B592" s="144" t="inlineStr">
        <is>
          <t>149749481 CT</t>
        </is>
      </c>
      <c r="C592" s="144" t="inlineStr">
        <is>
          <t>ROBERTSON TRUCKING</t>
        </is>
      </c>
      <c r="D592" s="144" t="n">
        <v>4753420254</v>
      </c>
      <c r="E592" s="144" t="inlineStr">
        <is>
          <t>BOX</t>
        </is>
      </c>
      <c r="F592" s="144" t="inlineStr">
        <is>
          <t>P1194960 IL</t>
        </is>
      </c>
      <c r="G592" s="144" t="inlineStr">
        <is>
          <t>BROWN FREIGHTLINER</t>
        </is>
      </c>
      <c r="H592" s="144" t="n">
        <v>1221</v>
      </c>
      <c r="I592" s="144" t="inlineStr">
        <is>
          <t>COMMERCIAL</t>
        </is>
      </c>
    </row>
    <row r="593" ht="18" customHeight="1" s="7">
      <c r="A593" s="144" t="inlineStr">
        <is>
          <t>LEON BROWN</t>
        </is>
      </c>
      <c r="B593" s="144" t="inlineStr">
        <is>
          <t>*049745939 GA</t>
        </is>
      </c>
      <c r="C593" s="144" t="inlineStr">
        <is>
          <t>ESTE</t>
        </is>
      </c>
      <c r="D593" s="144" t="n">
        <v>2297266867</v>
      </c>
      <c r="E593" s="144" t="inlineStr">
        <is>
          <t>BOX</t>
        </is>
      </c>
      <c r="F593" s="144" t="inlineStr">
        <is>
          <t>3585559 IN</t>
        </is>
      </c>
      <c r="G593" s="144" t="inlineStr">
        <is>
          <t>YELLOW FREIGHTLINER</t>
        </is>
      </c>
      <c r="H593" s="144" t="n">
        <v>1221</v>
      </c>
      <c r="I593" s="144" t="inlineStr">
        <is>
          <t>COMMERCIAL</t>
        </is>
      </c>
    </row>
    <row r="594" ht="18" customHeight="1" s="7">
      <c r="A594" s="144" t="inlineStr">
        <is>
          <t>KEITH FARMER</t>
        </is>
      </c>
      <c r="B594" s="144" t="inlineStr">
        <is>
          <t>A9014426 CA</t>
        </is>
      </c>
      <c r="C594" s="144" t="inlineStr">
        <is>
          <t>KND</t>
        </is>
      </c>
      <c r="D594" s="144" t="n">
        <v>9097282845</v>
      </c>
      <c r="E594" s="144" t="inlineStr">
        <is>
          <t>BOX</t>
        </is>
      </c>
      <c r="F594" s="144" t="inlineStr">
        <is>
          <t>YP47803 CA</t>
        </is>
      </c>
      <c r="G594" s="144" t="inlineStr">
        <is>
          <t>WHITE KENWORTH</t>
        </is>
      </c>
      <c r="H594" s="144" t="n">
        <v>1221</v>
      </c>
      <c r="I594" s="144" t="inlineStr">
        <is>
          <t>COMMERCIAL</t>
        </is>
      </c>
    </row>
    <row r="595" ht="18" customHeight="1" s="7">
      <c r="A595" s="144" t="inlineStr">
        <is>
          <t>PETAR KOPARANOV</t>
        </is>
      </c>
      <c r="B595" s="144" t="inlineStr">
        <is>
          <t>K16566776014 IL</t>
        </is>
      </c>
      <c r="C595" s="144" t="inlineStr">
        <is>
          <t>LION BG</t>
        </is>
      </c>
      <c r="D595" s="144" t="n">
        <v>3313300037</v>
      </c>
      <c r="E595" s="144" t="inlineStr">
        <is>
          <t>BOX</t>
        </is>
      </c>
      <c r="F595" s="144" t="inlineStr">
        <is>
          <t>P990317 IL</t>
        </is>
      </c>
      <c r="G595" s="144" t="inlineStr">
        <is>
          <t xml:space="preserve">RED VOLVO </t>
        </is>
      </c>
      <c r="H595" s="144" t="n">
        <v>1221</v>
      </c>
      <c r="I595" s="144" t="inlineStr">
        <is>
          <t>COMMERCIAL</t>
        </is>
      </c>
    </row>
    <row r="596" ht="18" customHeight="1" s="7">
      <c r="A596" s="144" t="inlineStr">
        <is>
          <t>AUSTIN MALONE</t>
        </is>
      </c>
      <c r="B596" s="144" t="inlineStr">
        <is>
          <t>*058735754 GA</t>
        </is>
      </c>
      <c r="C596" s="144" t="inlineStr">
        <is>
          <t>S&amp;S CONCRETE</t>
        </is>
      </c>
      <c r="D596" s="144" t="n">
        <v>2294388566</v>
      </c>
      <c r="E596" s="144" t="inlineStr">
        <is>
          <t>PU</t>
        </is>
      </c>
      <c r="F596" s="144" t="inlineStr">
        <is>
          <t>RRW6990 GA</t>
        </is>
      </c>
      <c r="G596" s="144" t="inlineStr">
        <is>
          <t>WHITE DODGE</t>
        </is>
      </c>
      <c r="H596" s="144" t="n">
        <v>1339</v>
      </c>
      <c r="I596" s="144" t="inlineStr">
        <is>
          <t>COMMERCIAL</t>
        </is>
      </c>
    </row>
    <row r="597" ht="18" customHeight="1" s="7">
      <c r="A597" s="144" t="inlineStr">
        <is>
          <t xml:space="preserve">TRELVON GUYTON </t>
        </is>
      </c>
      <c r="B597" s="144" t="inlineStr">
        <is>
          <t>*055616012 GA</t>
        </is>
      </c>
      <c r="C597" s="144" t="inlineStr">
        <is>
          <t>CSI</t>
        </is>
      </c>
      <c r="D597" s="144" t="n">
        <v>2294461401</v>
      </c>
      <c r="E597" s="144" t="inlineStr">
        <is>
          <t>DUMP</t>
        </is>
      </c>
      <c r="F597" s="144" t="inlineStr">
        <is>
          <t>P452C1 GA</t>
        </is>
      </c>
      <c r="G597" s="144" t="inlineStr">
        <is>
          <t>WHITE FREIGHTLINER</t>
        </is>
      </c>
      <c r="H597" s="144" t="n">
        <v>1230</v>
      </c>
      <c r="I597" s="144" t="inlineStr">
        <is>
          <t>COMMERCIAL</t>
        </is>
      </c>
    </row>
    <row r="598" ht="18" customHeight="1" s="7">
      <c r="A598" s="144" t="inlineStr">
        <is>
          <t>MINDAYE ABRAHAM</t>
        </is>
      </c>
      <c r="B598" s="144" t="inlineStr">
        <is>
          <t>T081721456 OK</t>
        </is>
      </c>
      <c r="C598" s="144" t="inlineStr">
        <is>
          <t>BIG STAR</t>
        </is>
      </c>
      <c r="D598" s="144" t="n">
        <v>4057800729</v>
      </c>
      <c r="E598" s="144" t="inlineStr">
        <is>
          <t>BOX</t>
        </is>
      </c>
      <c r="F598" s="144" t="inlineStr">
        <is>
          <t>3ES581 OK</t>
        </is>
      </c>
      <c r="G598" s="144" t="inlineStr">
        <is>
          <t>BLUE FL</t>
        </is>
      </c>
      <c r="H598" s="144" t="n">
        <v>1221</v>
      </c>
      <c r="I598" s="144" t="inlineStr">
        <is>
          <t>COMMERCIAL</t>
        </is>
      </c>
    </row>
    <row r="599" ht="18" customHeight="1" s="7">
      <c r="A599" s="144" t="inlineStr">
        <is>
          <t>JOHN BARTLETT</t>
        </is>
      </c>
      <c r="B599" s="144" t="inlineStr">
        <is>
          <t>*070891032 GA</t>
        </is>
      </c>
      <c r="C599" s="144" t="inlineStr">
        <is>
          <t>FORWARD AIR</t>
        </is>
      </c>
      <c r="D599" s="144" t="n">
        <v>9202795472</v>
      </c>
      <c r="E599" s="144" t="inlineStr">
        <is>
          <t>BOX</t>
        </is>
      </c>
      <c r="F599" s="144" t="inlineStr">
        <is>
          <t>GAB400 GA</t>
        </is>
      </c>
      <c r="G599" s="144" t="inlineStr">
        <is>
          <t>WHITE FL</t>
        </is>
      </c>
      <c r="H599" s="144" t="n">
        <v>1221</v>
      </c>
      <c r="I599" s="144" t="inlineStr">
        <is>
          <t>COMMERCIAL</t>
        </is>
      </c>
    </row>
    <row r="600" ht="18" customHeight="1" s="7">
      <c r="A600" s="144" t="inlineStr">
        <is>
          <t>JOSHUA MABREY</t>
        </is>
      </c>
      <c r="B600" s="144" t="inlineStr">
        <is>
          <t>*054109233 GA</t>
        </is>
      </c>
      <c r="C600" s="144" t="inlineStr">
        <is>
          <t>CONCRETE ENTERP</t>
        </is>
      </c>
      <c r="D600" s="144" t="n">
        <v>2298881904</v>
      </c>
      <c r="E600" s="144" t="inlineStr">
        <is>
          <t>PU</t>
        </is>
      </c>
      <c r="F600" s="144" t="inlineStr">
        <is>
          <t>TCT8125 GA</t>
        </is>
      </c>
      <c r="G600" s="144" t="inlineStr">
        <is>
          <t>WHITE CHEVY</t>
        </is>
      </c>
      <c r="H600" s="144" t="n">
        <v>1351</v>
      </c>
      <c r="I600" s="144" t="inlineStr">
        <is>
          <t>COMMERCIAL</t>
        </is>
      </c>
    </row>
    <row r="601" ht="18" customHeight="1" s="7">
      <c r="A601" s="144" t="inlineStr">
        <is>
          <t>HOFFMAN CAROL</t>
        </is>
      </c>
      <c r="B601" s="144" t="inlineStr">
        <is>
          <t>S249125196195 MN</t>
        </is>
      </c>
      <c r="C601" s="144" t="inlineStr">
        <is>
          <t>HALVOR LINES</t>
        </is>
      </c>
      <c r="D601" s="144" t="n">
        <v>2186864608</v>
      </c>
      <c r="E601" s="144" t="inlineStr">
        <is>
          <t>BOX</t>
        </is>
      </c>
      <c r="F601" s="144" t="inlineStr">
        <is>
          <t>63863Z WI</t>
        </is>
      </c>
      <c r="G601" s="144" t="inlineStr">
        <is>
          <t>YELLOW VOLVO</t>
        </is>
      </c>
      <c r="H601" s="144" t="n">
        <v>1330</v>
      </c>
      <c r="I601" s="144" t="inlineStr">
        <is>
          <t>COMMERCIAL</t>
        </is>
      </c>
    </row>
    <row r="602" ht="18" customHeight="1" s="7">
      <c r="A602" s="144" t="inlineStr">
        <is>
          <t>RICHARD HUTCHINSON</t>
        </is>
      </c>
      <c r="B602" s="144" t="inlineStr">
        <is>
          <t>*053383114 GA</t>
        </is>
      </c>
      <c r="C602" s="144" t="inlineStr">
        <is>
          <t>DELIVER NOW</t>
        </is>
      </c>
      <c r="D602" s="144" t="n">
        <v>4075691179</v>
      </c>
      <c r="E602" s="144" t="inlineStr">
        <is>
          <t>BOX</t>
        </is>
      </c>
      <c r="F602" s="144" t="inlineStr">
        <is>
          <t>YVA966 GA</t>
        </is>
      </c>
      <c r="G602" s="144" t="inlineStr">
        <is>
          <t>YELLOW IN</t>
        </is>
      </c>
      <c r="H602" s="144" t="n">
        <v>1221</v>
      </c>
      <c r="I602" s="144" t="inlineStr">
        <is>
          <t>COMMERCIAL</t>
        </is>
      </c>
    </row>
    <row r="603" ht="18" customHeight="1" s="7">
      <c r="A603" s="144" t="inlineStr">
        <is>
          <t xml:space="preserve">JEROME HOWARD </t>
        </is>
      </c>
      <c r="B603" s="144" t="inlineStr">
        <is>
          <t>*052224549 GA</t>
        </is>
      </c>
      <c r="C603" s="144" t="inlineStr">
        <is>
          <t>OLD DOMINION</t>
        </is>
      </c>
      <c r="D603" s="144" t="n">
        <v>2293955797</v>
      </c>
      <c r="E603" s="144" t="inlineStr">
        <is>
          <t>BOX</t>
        </is>
      </c>
      <c r="F603" s="144" t="inlineStr">
        <is>
          <t>ND2857 NC</t>
        </is>
      </c>
      <c r="G603" s="144" t="inlineStr">
        <is>
          <t>GREEN FL</t>
        </is>
      </c>
      <c r="H603" s="144" t="n">
        <v>1351</v>
      </c>
      <c r="I603" s="144" t="inlineStr">
        <is>
          <t>COMMERCIAL</t>
        </is>
      </c>
    </row>
    <row r="604" ht="18" customHeight="1" s="7">
      <c r="A604" s="144" t="inlineStr">
        <is>
          <t>MICAH BUTLER</t>
        </is>
      </c>
      <c r="B604" s="144" t="inlineStr">
        <is>
          <t>Z399632557 OK</t>
        </is>
      </c>
      <c r="C604" s="144" t="inlineStr">
        <is>
          <t xml:space="preserve">MARK 2 </t>
        </is>
      </c>
      <c r="D604" s="144" t="n">
        <v>6022991389</v>
      </c>
      <c r="E604" s="144" t="inlineStr">
        <is>
          <t>BOX</t>
        </is>
      </c>
      <c r="F604" s="144" t="inlineStr">
        <is>
          <t>3HM848 OK</t>
        </is>
      </c>
      <c r="G604" s="144" t="inlineStr">
        <is>
          <t>BLACK PETERBILT</t>
        </is>
      </c>
      <c r="H604" s="144" t="n">
        <v>1221</v>
      </c>
      <c r="I604" s="144" t="inlineStr">
        <is>
          <t>COMMERCIAL</t>
        </is>
      </c>
    </row>
    <row r="605" ht="18" customHeight="1" s="7">
      <c r="A605" s="144" t="inlineStr">
        <is>
          <t>QUINTON KING</t>
        </is>
      </c>
      <c r="B605" s="144" t="inlineStr">
        <is>
          <t>*049472667 GA</t>
        </is>
      </c>
      <c r="C605" s="144" t="inlineStr">
        <is>
          <t>FEDEX</t>
        </is>
      </c>
      <c r="D605" s="144" t="n">
        <v>2298693516</v>
      </c>
      <c r="E605" s="144" t="inlineStr">
        <is>
          <t>BOX</t>
        </is>
      </c>
      <c r="F605" s="144" t="inlineStr">
        <is>
          <t>2133468 IN</t>
        </is>
      </c>
      <c r="G605" s="144" t="inlineStr">
        <is>
          <t>WHITE KW</t>
        </is>
      </c>
      <c r="H605" s="144" t="n">
        <v>1221</v>
      </c>
      <c r="I605" s="144" t="inlineStr">
        <is>
          <t>COMMERCIAL</t>
        </is>
      </c>
    </row>
    <row r="606" ht="18" customHeight="1" s="7">
      <c r="A606" s="144" t="inlineStr">
        <is>
          <t>SHARROD LANE</t>
        </is>
      </c>
      <c r="B606" s="144" t="inlineStr">
        <is>
          <t>L500517834210 FL</t>
        </is>
      </c>
      <c r="C606" s="144" t="inlineStr">
        <is>
          <t>KLB</t>
        </is>
      </c>
      <c r="D606" s="144" t="n">
        <v>8503225247</v>
      </c>
      <c r="E606" s="144" t="inlineStr">
        <is>
          <t>BOX</t>
        </is>
      </c>
      <c r="F606" s="144" t="inlineStr">
        <is>
          <t>R773043 TX</t>
        </is>
      </c>
      <c r="G606" s="144" t="inlineStr">
        <is>
          <t>WHITE FL</t>
        </is>
      </c>
      <c r="H606" s="144" t="n">
        <v>7501</v>
      </c>
      <c r="I606" s="144" t="inlineStr">
        <is>
          <t>COMMERCIAL</t>
        </is>
      </c>
    </row>
    <row r="607" ht="18" customHeight="1" s="7">
      <c r="A607" s="144" t="inlineStr">
        <is>
          <t>CHARLES MARSHALL</t>
        </is>
      </c>
      <c r="B607" s="144" t="inlineStr">
        <is>
          <t>*054293739 GA</t>
        </is>
      </c>
      <c r="C607" s="144" t="inlineStr">
        <is>
          <t>CONCRETE ENTERP</t>
        </is>
      </c>
      <c r="D607" s="144" t="n">
        <v>2298881904</v>
      </c>
      <c r="E607" s="144" t="inlineStr">
        <is>
          <t>PUMP</t>
        </is>
      </c>
      <c r="F607" s="144" t="inlineStr">
        <is>
          <t>GKI877 GA</t>
        </is>
      </c>
      <c r="G607" s="144" t="inlineStr">
        <is>
          <t>GREEN WESTERN</t>
        </is>
      </c>
      <c r="H607" s="144" t="inlineStr">
        <is>
          <t>K9</t>
        </is>
      </c>
      <c r="I607" s="144" t="inlineStr">
        <is>
          <t>COMMERCIAL</t>
        </is>
      </c>
    </row>
    <row r="608" ht="18" customHeight="1" s="7">
      <c r="A608" s="144" t="inlineStr">
        <is>
          <t>GEORGE WESLEY</t>
        </is>
      </c>
      <c r="B608" s="144" t="inlineStr">
        <is>
          <t>G620439741065 FL</t>
        </is>
      </c>
      <c r="C608" s="144" t="inlineStr">
        <is>
          <t>PARKWAY</t>
        </is>
      </c>
      <c r="D608" s="144" t="n">
        <v>8508786811</v>
      </c>
      <c r="E608" s="144" t="inlineStr">
        <is>
          <t>TOW</t>
        </is>
      </c>
      <c r="F608" s="144" t="inlineStr">
        <is>
          <t>BJ93AX FL</t>
        </is>
      </c>
      <c r="G608" s="144" t="inlineStr">
        <is>
          <t>PURPLE IN</t>
        </is>
      </c>
      <c r="H608" s="144" t="n">
        <v>3600</v>
      </c>
      <c r="I608" s="144" t="inlineStr">
        <is>
          <t>COMMERCIAL</t>
        </is>
      </c>
    </row>
    <row r="609" ht="18" customHeight="1" s="7">
      <c r="A609" s="144" t="inlineStr">
        <is>
          <t>CODY MCCOY</t>
        </is>
      </c>
      <c r="B609" s="144" t="inlineStr">
        <is>
          <t>10235275 AL</t>
        </is>
      </c>
      <c r="C609" s="144" t="inlineStr">
        <is>
          <t>TERRACON</t>
        </is>
      </c>
      <c r="D609" s="144" t="n">
        <v>7065771647</v>
      </c>
      <c r="E609" s="144" t="inlineStr">
        <is>
          <t>PU</t>
        </is>
      </c>
      <c r="F609" s="144" t="inlineStr">
        <is>
          <t>CZD4646 GA</t>
        </is>
      </c>
      <c r="G609" s="144" t="inlineStr">
        <is>
          <t xml:space="preserve">WHITE CHECY </t>
        </is>
      </c>
      <c r="H609" s="144" t="inlineStr">
        <is>
          <t>K9</t>
        </is>
      </c>
      <c r="I609" s="144" t="inlineStr">
        <is>
          <t xml:space="preserve">CONTRACTOR </t>
        </is>
      </c>
    </row>
    <row r="610" ht="18" customHeight="1" s="7">
      <c r="A610" s="144" t="inlineStr">
        <is>
          <t>DEMARCUS GRANT</t>
        </is>
      </c>
      <c r="B610" s="144" t="inlineStr">
        <is>
          <t>*054422668 GA</t>
        </is>
      </c>
      <c r="C610" s="144" t="inlineStr">
        <is>
          <t>SCHNITZER</t>
        </is>
      </c>
      <c r="D610" s="144" t="n">
        <v>2296691565</v>
      </c>
      <c r="E610" s="144" t="inlineStr">
        <is>
          <t>DUMP</t>
        </is>
      </c>
      <c r="F610" s="144" t="inlineStr">
        <is>
          <t>P851C GA</t>
        </is>
      </c>
      <c r="G610" s="144" t="inlineStr">
        <is>
          <t>WHITE MACK</t>
        </is>
      </c>
      <c r="H610" s="144" t="n">
        <v>5592</v>
      </c>
      <c r="I610" s="144" t="inlineStr">
        <is>
          <t>COMMERCIAL</t>
        </is>
      </c>
    </row>
    <row r="611" ht="18" customHeight="1" s="7">
      <c r="A611" s="144" t="inlineStr">
        <is>
          <t>MAXWELL CHARLES</t>
        </is>
      </c>
      <c r="B611" s="144" t="inlineStr">
        <is>
          <t>*052758233 GA</t>
        </is>
      </c>
      <c r="C611" s="144" t="inlineStr">
        <is>
          <t>EMC</t>
        </is>
      </c>
      <c r="D611" s="144" t="n">
        <v>2299770262</v>
      </c>
      <c r="E611" s="144" t="inlineStr">
        <is>
          <t>PU</t>
        </is>
      </c>
      <c r="F611" s="144" t="inlineStr">
        <is>
          <t>RHV9117 GA</t>
        </is>
      </c>
      <c r="G611" s="144" t="inlineStr">
        <is>
          <t>WHITE CHEVY</t>
        </is>
      </c>
      <c r="H611" s="144" t="n">
        <v>5500</v>
      </c>
      <c r="I611" s="144" t="inlineStr">
        <is>
          <t>COMMERCIAL</t>
        </is>
      </c>
    </row>
    <row r="612" ht="18" customHeight="1" s="7">
      <c r="A612" s="144" t="inlineStr">
        <is>
          <t>JUAN AGUILAR</t>
        </is>
      </c>
      <c r="B612" s="144" t="inlineStr">
        <is>
          <t>22933353 TX</t>
        </is>
      </c>
      <c r="C612" s="144" t="inlineStr">
        <is>
          <t>MCLANE</t>
        </is>
      </c>
      <c r="D612" s="144" t="n">
        <v>2109198766</v>
      </c>
      <c r="E612" s="144" t="inlineStr">
        <is>
          <t>BOX</t>
        </is>
      </c>
      <c r="F612" s="144" t="inlineStr">
        <is>
          <t>P966247 IL</t>
        </is>
      </c>
      <c r="G612" s="144" t="inlineStr">
        <is>
          <t>WHITE FL</t>
        </is>
      </c>
      <c r="H612" s="144" t="inlineStr">
        <is>
          <t>SUBWAY</t>
        </is>
      </c>
      <c r="I612" s="144" t="inlineStr">
        <is>
          <t>COMMERCIAL</t>
        </is>
      </c>
    </row>
    <row r="613" ht="18" customHeight="1" s="7">
      <c r="A613" s="144" t="inlineStr">
        <is>
          <t>THOMAS PETER</t>
        </is>
      </c>
      <c r="B613" s="144" t="inlineStr">
        <is>
          <t>D764089156817 MN</t>
        </is>
      </c>
      <c r="C613" s="144" t="inlineStr">
        <is>
          <t>HALVOR LINES</t>
        </is>
      </c>
      <c r="D613" s="144" t="n">
        <v>6127907974</v>
      </c>
      <c r="E613" s="144" t="inlineStr">
        <is>
          <t>BOX</t>
        </is>
      </c>
      <c r="F613" s="144" t="inlineStr">
        <is>
          <t>42773Z WI</t>
        </is>
      </c>
      <c r="G613" s="144" t="inlineStr">
        <is>
          <t>YELLOW VOLVO</t>
        </is>
      </c>
      <c r="H613" s="144" t="n">
        <v>1221</v>
      </c>
      <c r="I613" s="144" t="inlineStr">
        <is>
          <t>COMMERCIAL</t>
        </is>
      </c>
    </row>
    <row r="614" ht="18" customHeight="1" s="7">
      <c r="A614" s="144" t="inlineStr">
        <is>
          <t>LINDEN RICHARD</t>
        </is>
      </c>
      <c r="B614" s="144" t="inlineStr">
        <is>
          <t>L44706557903652 NJ</t>
        </is>
      </c>
      <c r="C614" s="144" t="inlineStr">
        <is>
          <t>AJ</t>
        </is>
      </c>
      <c r="D614" s="144" t="inlineStr">
        <is>
          <t>856 7250011</t>
        </is>
      </c>
      <c r="E614" s="144" t="inlineStr">
        <is>
          <t>FLAT</t>
        </is>
      </c>
      <c r="F614" s="144" t="inlineStr">
        <is>
          <t>AX249T NJ</t>
        </is>
      </c>
      <c r="G614" s="144" t="inlineStr">
        <is>
          <t>BLACK FL</t>
        </is>
      </c>
      <c r="H614" s="144" t="n">
        <v>1221</v>
      </c>
      <c r="I614" s="144" t="inlineStr">
        <is>
          <t>COMMERCIAL</t>
        </is>
      </c>
    </row>
    <row r="615" ht="18" customHeight="1" s="7">
      <c r="A615" s="144" t="inlineStr">
        <is>
          <t>MEMISEVIV NIJAZ</t>
        </is>
      </c>
      <c r="B615" s="144" t="inlineStr">
        <is>
          <t>26408335 PA</t>
        </is>
      </c>
      <c r="C615" s="144" t="inlineStr">
        <is>
          <t>EDOS</t>
        </is>
      </c>
      <c r="D615" s="144" t="n">
        <v>7178162627</v>
      </c>
      <c r="E615" s="144" t="inlineStr">
        <is>
          <t>BOX</t>
        </is>
      </c>
      <c r="F615" s="144" t="inlineStr">
        <is>
          <t>AH66054 PA</t>
        </is>
      </c>
      <c r="G615" s="144" t="inlineStr">
        <is>
          <t>WHITE PETERBILT</t>
        </is>
      </c>
      <c r="H615" s="144" t="n">
        <v>1221</v>
      </c>
      <c r="I615" s="144" t="inlineStr">
        <is>
          <t>COMMERCIAL</t>
        </is>
      </c>
    </row>
    <row r="616" ht="18" customHeight="1" s="7">
      <c r="A616" s="144" t="inlineStr">
        <is>
          <t>PETERKIN DANTE</t>
        </is>
      </c>
      <c r="B616" s="144" t="inlineStr">
        <is>
          <t>P362504760191 FL</t>
        </is>
      </c>
      <c r="C616" s="144" t="inlineStr">
        <is>
          <t xml:space="preserve">ESLAND </t>
        </is>
      </c>
      <c r="D616" s="144" t="n">
        <v>9514371721</v>
      </c>
      <c r="E616" s="144" t="inlineStr">
        <is>
          <t>BOX</t>
        </is>
      </c>
      <c r="F616" s="144" t="inlineStr">
        <is>
          <t>R704265 TX</t>
        </is>
      </c>
      <c r="G616" s="144" t="inlineStr">
        <is>
          <t>WHITE FL</t>
        </is>
      </c>
      <c r="H616" s="144" t="n">
        <v>7501</v>
      </c>
      <c r="I616" s="144" t="inlineStr">
        <is>
          <t>COMMERCIAL</t>
        </is>
      </c>
    </row>
    <row r="617" ht="18" customHeight="1" s="7">
      <c r="A617" s="144" t="inlineStr">
        <is>
          <t>MOHIT KAPOOR</t>
        </is>
      </c>
      <c r="B617" s="144" t="inlineStr">
        <is>
          <t>K18055336 KY</t>
        </is>
      </c>
      <c r="C617" s="144" t="inlineStr">
        <is>
          <t>18 WHEELS</t>
        </is>
      </c>
      <c r="D617" s="144" t="n">
        <v>5122344123</v>
      </c>
      <c r="E617" s="144" t="inlineStr">
        <is>
          <t>BOX</t>
        </is>
      </c>
      <c r="F617" s="144" t="inlineStr">
        <is>
          <t>004900A KY</t>
        </is>
      </c>
      <c r="G617" s="144" t="inlineStr">
        <is>
          <t>RED VOLVO</t>
        </is>
      </c>
      <c r="H617" s="144" t="n">
        <v>1221</v>
      </c>
      <c r="I617" s="144" t="inlineStr">
        <is>
          <t>COMMERCIAL</t>
        </is>
      </c>
    </row>
    <row r="618" ht="18" customHeight="1" s="7">
      <c r="A618" s="144" t="inlineStr">
        <is>
          <t>CARROLL SHAWN</t>
        </is>
      </c>
      <c r="B618" s="144" t="inlineStr">
        <is>
          <t>C640117892680 FL</t>
        </is>
      </c>
      <c r="C618" s="144" t="inlineStr">
        <is>
          <t>CARROL</t>
        </is>
      </c>
      <c r="D618" s="144" t="n">
        <v>9045457401</v>
      </c>
      <c r="E618" s="144" t="inlineStr">
        <is>
          <t>PU</t>
        </is>
      </c>
      <c r="F618" s="144" t="inlineStr">
        <is>
          <t>VT12YL FL</t>
        </is>
      </c>
      <c r="G618" s="144" t="inlineStr">
        <is>
          <t>WHITE FORD</t>
        </is>
      </c>
      <c r="H618" s="144" t="n">
        <v>1330</v>
      </c>
      <c r="I618" s="144" t="inlineStr">
        <is>
          <t xml:space="preserve">CONTRACTOR </t>
        </is>
      </c>
    </row>
    <row r="619" ht="18" customHeight="1" s="7">
      <c r="A619" s="144" t="inlineStr">
        <is>
          <t>TATAILLE FRITZIAM</t>
        </is>
      </c>
      <c r="B619" s="144" t="inlineStr">
        <is>
          <t>T340240672500 FL</t>
        </is>
      </c>
      <c r="C619" s="144" t="inlineStr">
        <is>
          <t xml:space="preserve">FORWARD </t>
        </is>
      </c>
      <c r="D619" s="144" t="n">
        <v>3053003709</v>
      </c>
      <c r="E619" s="144" t="inlineStr">
        <is>
          <t>BOX</t>
        </is>
      </c>
      <c r="F619" s="144" t="inlineStr">
        <is>
          <t>P1121511 IL</t>
        </is>
      </c>
      <c r="G619" s="144" t="inlineStr">
        <is>
          <t>RED FL</t>
        </is>
      </c>
      <c r="H619" s="144" t="n">
        <v>1221</v>
      </c>
      <c r="I619" s="144" t="inlineStr">
        <is>
          <t>COMMERCIAL</t>
        </is>
      </c>
    </row>
    <row r="620" ht="18" customHeight="1" s="7">
      <c r="A620" s="144" t="inlineStr">
        <is>
          <t>TIMOTHY PARR</t>
        </is>
      </c>
      <c r="B620" s="144" t="inlineStr">
        <is>
          <t>*049631462 GA</t>
        </is>
      </c>
      <c r="C620" s="144" t="inlineStr">
        <is>
          <t>METRO SITE</t>
        </is>
      </c>
      <c r="D620" s="144" t="n">
        <v>7065212526</v>
      </c>
      <c r="E620" s="144" t="inlineStr">
        <is>
          <t>PU</t>
        </is>
      </c>
      <c r="F620" s="144" t="inlineStr">
        <is>
          <t>TGS0890 GA</t>
        </is>
      </c>
      <c r="G620" s="144" t="inlineStr">
        <is>
          <t>GREY RAM</t>
        </is>
      </c>
      <c r="H620" s="144" t="inlineStr">
        <is>
          <t>SUB STATION</t>
        </is>
      </c>
      <c r="I620" s="144" t="inlineStr">
        <is>
          <t xml:space="preserve">CONTRACTOR </t>
        </is>
      </c>
    </row>
    <row r="621" ht="18" customHeight="1" s="7">
      <c r="A621" s="144" t="inlineStr">
        <is>
          <t>KENYELL JORDAN</t>
        </is>
      </c>
      <c r="B621" s="144" t="inlineStr">
        <is>
          <t>*054313173 GA</t>
        </is>
      </c>
      <c r="C621" s="144" t="inlineStr">
        <is>
          <t xml:space="preserve">KRJ ENTERPRISE </t>
        </is>
      </c>
      <c r="D621" s="144" t="n">
        <v>2292889003</v>
      </c>
      <c r="E621" s="144" t="inlineStr">
        <is>
          <t>BOX</t>
        </is>
      </c>
      <c r="F621" s="144" t="inlineStr">
        <is>
          <t>C879EU GA</t>
        </is>
      </c>
      <c r="G621" s="144" t="inlineStr">
        <is>
          <t>BLACK PETERBILT</t>
        </is>
      </c>
      <c r="H621" s="144" t="n">
        <v>1221</v>
      </c>
      <c r="I621" s="144" t="inlineStr">
        <is>
          <t>COMMERCIAL</t>
        </is>
      </c>
    </row>
    <row r="622" ht="18" customHeight="1" s="7">
      <c r="A622" s="144" t="inlineStr">
        <is>
          <t>MCCLOUD CHARLES</t>
        </is>
      </c>
      <c r="B622" s="144" t="inlineStr">
        <is>
          <t>*049998036 GA</t>
        </is>
      </c>
      <c r="C622" s="144" t="inlineStr">
        <is>
          <t>FORWARD AIR</t>
        </is>
      </c>
      <c r="D622" s="144" t="n">
        <v>2293925292</v>
      </c>
      <c r="E622" s="144" t="inlineStr">
        <is>
          <t>BOX</t>
        </is>
      </c>
      <c r="F622" s="144" t="inlineStr">
        <is>
          <t>GAB451 GA</t>
        </is>
      </c>
      <c r="G622" s="144" t="inlineStr">
        <is>
          <t>WHITE FL</t>
        </is>
      </c>
      <c r="H622" s="144" t="n">
        <v>1221</v>
      </c>
      <c r="I622" s="144" t="inlineStr">
        <is>
          <t>COMMERCIAL</t>
        </is>
      </c>
    </row>
    <row r="623" ht="18" customHeight="1" s="7">
      <c r="A623" s="144" t="inlineStr">
        <is>
          <t>ROBERT PRIDGEN</t>
        </is>
      </c>
      <c r="B623" s="144" t="inlineStr">
        <is>
          <t>*053357945 GA</t>
        </is>
      </c>
      <c r="C623" s="144" t="inlineStr">
        <is>
          <t>JTBNS TRANS</t>
        </is>
      </c>
      <c r="D623" s="144" t="n">
        <v>2294258225</v>
      </c>
      <c r="E623" s="144" t="inlineStr">
        <is>
          <t>PU</t>
        </is>
      </c>
      <c r="F623" s="144" t="inlineStr">
        <is>
          <t>ZAI1555 GA</t>
        </is>
      </c>
      <c r="G623" s="144" t="inlineStr">
        <is>
          <t>WHITE FORD</t>
        </is>
      </c>
      <c r="H623" s="144" t="n">
        <v>1221</v>
      </c>
      <c r="I623" s="144" t="inlineStr">
        <is>
          <t xml:space="preserve">CONTRACTOR </t>
        </is>
      </c>
    </row>
    <row r="624" ht="18" customHeight="1" s="7">
      <c r="A624" s="144" t="inlineStr">
        <is>
          <t>VICKERS JAMES</t>
        </is>
      </c>
      <c r="B624" s="144" t="inlineStr">
        <is>
          <t>Y6817263 CA</t>
        </is>
      </c>
      <c r="C624" s="144" t="inlineStr">
        <is>
          <t>VICKERS</t>
        </is>
      </c>
      <c r="D624" s="144" t="n">
        <v>7707920507</v>
      </c>
      <c r="E624" s="144" t="inlineStr">
        <is>
          <t>CAR</t>
        </is>
      </c>
      <c r="F624" s="144" t="inlineStr">
        <is>
          <t>DAA9397 GA</t>
        </is>
      </c>
      <c r="G624" s="144" t="inlineStr">
        <is>
          <t>WHITE FORD</t>
        </is>
      </c>
      <c r="H624" s="144" t="n">
        <v>1221</v>
      </c>
      <c r="I624" s="144" t="inlineStr">
        <is>
          <t xml:space="preserve">CONTRACTOR </t>
        </is>
      </c>
    </row>
    <row r="625" ht="18" customHeight="1" s="7">
      <c r="A625" s="144" t="inlineStr">
        <is>
          <t>FRANKIE DUKES</t>
        </is>
      </c>
      <c r="B625" s="144" t="inlineStr">
        <is>
          <t>*046695711 GA</t>
        </is>
      </c>
      <c r="C625" s="144" t="inlineStr">
        <is>
          <t>TAZMANIAN</t>
        </is>
      </c>
      <c r="D625" s="144" t="n">
        <v>4043745580</v>
      </c>
      <c r="E625" s="144" t="inlineStr">
        <is>
          <t>VAN</t>
        </is>
      </c>
      <c r="F625" s="144" t="inlineStr">
        <is>
          <t>CPJ6802 GA</t>
        </is>
      </c>
      <c r="G625" s="144" t="inlineStr">
        <is>
          <t>BLACK MEB</t>
        </is>
      </c>
      <c r="H625" s="144" t="n">
        <v>1331</v>
      </c>
      <c r="I625" s="144" t="inlineStr">
        <is>
          <t xml:space="preserve">CONTRACTOR </t>
        </is>
      </c>
    </row>
    <row r="626" ht="18" customHeight="1" s="7">
      <c r="A626" s="144" t="inlineStr">
        <is>
          <t>HUSAM JABBAR ALI AL SUDANI</t>
        </is>
      </c>
      <c r="B626" s="144" t="inlineStr">
        <is>
          <t>8988865 AL</t>
        </is>
      </c>
      <c r="C626" s="144" t="inlineStr">
        <is>
          <t>BAGHDAD TRUCKING</t>
        </is>
      </c>
      <c r="D626" s="144" t="n">
        <v>2516047676</v>
      </c>
      <c r="E626" s="144" t="inlineStr">
        <is>
          <t>FLAT</t>
        </is>
      </c>
      <c r="F626" s="144" t="inlineStr">
        <is>
          <t>1209107 AL</t>
        </is>
      </c>
      <c r="G626" s="144" t="inlineStr">
        <is>
          <t>WHITE VOLVO</t>
        </is>
      </c>
      <c r="H626" s="144" t="n">
        <v>1221</v>
      </c>
      <c r="I626" s="144" t="inlineStr">
        <is>
          <t>COMMERCIAL</t>
        </is>
      </c>
    </row>
    <row r="627" ht="18" customHeight="1" s="7">
      <c r="A627" s="144" t="inlineStr">
        <is>
          <t>ROBERT JOHNSON JR</t>
        </is>
      </c>
      <c r="B627" s="144" t="inlineStr">
        <is>
          <t>*050571055 GA</t>
        </is>
      </c>
      <c r="C627" s="144" t="inlineStr">
        <is>
          <t>INDUSTRAIL MANUFACTURING</t>
        </is>
      </c>
      <c r="D627" s="144" t="n">
        <v>2298883992</v>
      </c>
      <c r="E627" s="144" t="inlineStr">
        <is>
          <t>PU</t>
        </is>
      </c>
      <c r="F627" s="144" t="inlineStr">
        <is>
          <t>SDA6748 GA</t>
        </is>
      </c>
      <c r="G627" s="144" t="inlineStr">
        <is>
          <t>WHITE FORD</t>
        </is>
      </c>
      <c r="H627" s="144" t="n">
        <v>1330</v>
      </c>
      <c r="I627" s="144" t="inlineStr">
        <is>
          <t xml:space="preserve">CONTRACTOR </t>
        </is>
      </c>
    </row>
    <row r="628" ht="18" customHeight="1" s="7">
      <c r="A628" s="144" t="inlineStr">
        <is>
          <t>MICHEAL TAYLOR</t>
        </is>
      </c>
      <c r="B628" s="144" t="inlineStr">
        <is>
          <t>*056098767 GA</t>
        </is>
      </c>
      <c r="C628" s="144" t="inlineStr">
        <is>
          <t>FREIGHT INTER</t>
        </is>
      </c>
      <c r="D628" s="144" t="n">
        <v>6789204301</v>
      </c>
      <c r="E628" s="144" t="inlineStr">
        <is>
          <t>BOX</t>
        </is>
      </c>
      <c r="F628" s="144" t="inlineStr">
        <is>
          <t>C339ET GA</t>
        </is>
      </c>
      <c r="G628" s="144" t="inlineStr">
        <is>
          <t>WHITE VOLVO</t>
        </is>
      </c>
      <c r="H628" s="144" t="n">
        <v>1221</v>
      </c>
      <c r="I628" s="144" t="inlineStr">
        <is>
          <t>COMMERCIAL</t>
        </is>
      </c>
    </row>
    <row r="629" ht="18" customHeight="1" s="7">
      <c r="A629" s="144" t="inlineStr">
        <is>
          <t>JOE VEAL</t>
        </is>
      </c>
      <c r="B629" s="144" t="inlineStr">
        <is>
          <t>*051616792 GA</t>
        </is>
      </c>
      <c r="C629" s="144" t="inlineStr">
        <is>
          <t>TOP COATS</t>
        </is>
      </c>
      <c r="D629" s="144" t="n">
        <v>2294687757</v>
      </c>
      <c r="E629" s="144" t="inlineStr">
        <is>
          <t>PU</t>
        </is>
      </c>
      <c r="F629" s="144" t="inlineStr">
        <is>
          <t>RYN7644 GA</t>
        </is>
      </c>
      <c r="G629" s="144" t="inlineStr">
        <is>
          <t>WHITE DODGE</t>
        </is>
      </c>
      <c r="H629" s="144" t="n">
        <v>1362</v>
      </c>
      <c r="I629" s="144" t="inlineStr">
        <is>
          <t xml:space="preserve">CONTRACTOR </t>
        </is>
      </c>
    </row>
    <row r="630" ht="18" customHeight="1" s="7">
      <c r="A630" s="144" t="inlineStr">
        <is>
          <t>DIAZ ROBSON MANUEL</t>
        </is>
      </c>
      <c r="B630" s="144" t="inlineStr">
        <is>
          <t>D261541912420 FL</t>
        </is>
      </c>
      <c r="C630" s="144" t="inlineStr">
        <is>
          <t>NATIONAL CONT</t>
        </is>
      </c>
      <c r="D630" s="144" t="n">
        <v>8003525675</v>
      </c>
      <c r="E630" s="144" t="inlineStr">
        <is>
          <t>FLAT</t>
        </is>
      </c>
      <c r="F630" s="144" t="inlineStr">
        <is>
          <t>3012460 IN</t>
        </is>
      </c>
      <c r="G630" s="144" t="inlineStr">
        <is>
          <t>WHITE FREIGHTLINER</t>
        </is>
      </c>
      <c r="H630" s="144" t="n">
        <v>2212</v>
      </c>
      <c r="I630" s="144" t="inlineStr">
        <is>
          <t>COMMERCIAL</t>
        </is>
      </c>
    </row>
    <row r="631" ht="18" customHeight="1" s="7">
      <c r="A631" s="144" t="inlineStr">
        <is>
          <t>CHARLES KATZ</t>
        </is>
      </c>
      <c r="B631" s="144" t="inlineStr">
        <is>
          <t>*049872700 GA</t>
        </is>
      </c>
      <c r="C631" s="144" t="inlineStr">
        <is>
          <t>KATZ</t>
        </is>
      </c>
      <c r="D631" s="144" t="n">
        <v>2293493595</v>
      </c>
      <c r="E631" s="144" t="inlineStr">
        <is>
          <t>PU</t>
        </is>
      </c>
      <c r="F631" s="144" t="inlineStr">
        <is>
          <t>GEL745 GA</t>
        </is>
      </c>
      <c r="G631" s="144" t="inlineStr">
        <is>
          <t>WHITE CHEVY</t>
        </is>
      </c>
      <c r="H631" s="144" t="n">
        <v>1210</v>
      </c>
      <c r="I631" s="144" t="inlineStr">
        <is>
          <t xml:space="preserve">CONTRACTOR </t>
        </is>
      </c>
    </row>
    <row r="632" ht="18" customHeight="1" s="7">
      <c r="A632" s="144" t="inlineStr">
        <is>
          <t>FARAH MOHAMED</t>
        </is>
      </c>
      <c r="B632" s="144" t="inlineStr">
        <is>
          <t>F286051423316</t>
        </is>
      </c>
      <c r="C632" s="144" t="inlineStr">
        <is>
          <t>TIDE WATER</t>
        </is>
      </c>
      <c r="D632" s="144" t="n">
        <v>6124046578</v>
      </c>
      <c r="E632" s="144" t="inlineStr">
        <is>
          <t>BOX</t>
        </is>
      </c>
      <c r="F632" s="144" t="inlineStr">
        <is>
          <t>PZA7295 MN</t>
        </is>
      </c>
      <c r="G632" s="144" t="inlineStr">
        <is>
          <t>WHITE FREIGHTLINER</t>
        </is>
      </c>
      <c r="H632" s="144" t="n">
        <v>1221</v>
      </c>
      <c r="I632" s="144" t="inlineStr">
        <is>
          <t>COMMERCIAL</t>
        </is>
      </c>
    </row>
    <row r="633" ht="18" customHeight="1" s="7">
      <c r="A633" s="144" t="inlineStr">
        <is>
          <t>MICHAEL RODEMEYER</t>
        </is>
      </c>
      <c r="B633" s="144" t="inlineStr">
        <is>
          <t>*071671612 GA</t>
        </is>
      </c>
      <c r="C633" s="144" t="inlineStr">
        <is>
          <t>HOLCIN</t>
        </is>
      </c>
      <c r="D633" s="144" t="n">
        <v>9542547641</v>
      </c>
      <c r="E633" s="144" t="inlineStr">
        <is>
          <t>PU</t>
        </is>
      </c>
      <c r="F633" s="144" t="inlineStr">
        <is>
          <t>SDA5950 GA</t>
        </is>
      </c>
      <c r="G633" s="144" t="inlineStr">
        <is>
          <t>BLACK CHEVY</t>
        </is>
      </c>
      <c r="H633" s="144" t="n">
        <v>1362</v>
      </c>
      <c r="I633" s="144" t="inlineStr">
        <is>
          <t xml:space="preserve">CONTRACTOR </t>
        </is>
      </c>
    </row>
    <row r="634" ht="18" customHeight="1" s="7">
      <c r="A634" s="144" t="inlineStr">
        <is>
          <t>CLARENCE BODIFORD</t>
        </is>
      </c>
      <c r="B634" s="144" t="inlineStr">
        <is>
          <t>*052049009 GA</t>
        </is>
      </c>
      <c r="C634" s="144" t="inlineStr">
        <is>
          <t>BIGHAM</t>
        </is>
      </c>
      <c r="D634" s="144" t="n">
        <v>2294151804</v>
      </c>
      <c r="E634" s="144" t="inlineStr">
        <is>
          <t>PU</t>
        </is>
      </c>
      <c r="G634" s="144" t="inlineStr">
        <is>
          <t>WHITE FORD</t>
        </is>
      </c>
      <c r="H634" s="144" t="inlineStr">
        <is>
          <t>HOUSING</t>
        </is>
      </c>
      <c r="I634" s="144" t="inlineStr">
        <is>
          <t xml:space="preserve">CONTRACTOR </t>
        </is>
      </c>
    </row>
    <row r="635" ht="18" customHeight="1" s="7">
      <c r="A635" s="144" t="inlineStr">
        <is>
          <t xml:space="preserve">SAVANNAH PERRY </t>
        </is>
      </c>
      <c r="B635" s="144" t="inlineStr">
        <is>
          <t>*0577-1043 GA</t>
        </is>
      </c>
      <c r="C635" s="144" t="inlineStr">
        <is>
          <t>BIGHAM</t>
        </is>
      </c>
      <c r="D635" s="144" t="n">
        <v>2293227081</v>
      </c>
      <c r="E635" s="144" t="inlineStr">
        <is>
          <t>PU</t>
        </is>
      </c>
      <c r="F635" s="144" t="inlineStr">
        <is>
          <t>RQP2789 GA</t>
        </is>
      </c>
      <c r="G635" s="144" t="inlineStr">
        <is>
          <t>BROWN FORD</t>
        </is>
      </c>
      <c r="H635" s="144" t="inlineStr">
        <is>
          <t>HOUSING</t>
        </is>
      </c>
      <c r="I635" s="144" t="inlineStr">
        <is>
          <t xml:space="preserve">CONTRACTOR </t>
        </is>
      </c>
    </row>
    <row r="636" ht="18" customHeight="1" s="7">
      <c r="A636" s="144" t="inlineStr">
        <is>
          <t>CHAD MOORE</t>
        </is>
      </c>
      <c r="B636" s="144" t="inlineStr">
        <is>
          <t>*072129193 GA</t>
        </is>
      </c>
      <c r="C636" s="144" t="inlineStr">
        <is>
          <t>ESTES</t>
        </is>
      </c>
      <c r="D636" s="144" t="n">
        <v>2064592864</v>
      </c>
      <c r="E636" s="144" t="inlineStr">
        <is>
          <t>BOX</t>
        </is>
      </c>
      <c r="F636" s="144" t="inlineStr">
        <is>
          <t>3682716 IN</t>
        </is>
      </c>
      <c r="G636" s="144" t="inlineStr">
        <is>
          <t>YELLOW FREIGHTLINER</t>
        </is>
      </c>
      <c r="H636" s="144" t="n">
        <v>1221</v>
      </c>
      <c r="I636" s="144" t="inlineStr">
        <is>
          <t>COMMERCIAL</t>
        </is>
      </c>
    </row>
    <row r="637" ht="18" customHeight="1" s="7">
      <c r="A637" s="144" t="inlineStr">
        <is>
          <t>MARION CARSON</t>
        </is>
      </c>
      <c r="B637" s="144" t="inlineStr">
        <is>
          <t>*030760769 GA</t>
        </is>
      </c>
      <c r="C637" s="144" t="inlineStr">
        <is>
          <t>UNIFIED CARRIERS</t>
        </is>
      </c>
      <c r="D637" s="144" t="n">
        <v>7709127305</v>
      </c>
      <c r="E637" s="144" t="inlineStr">
        <is>
          <t>BOX</t>
        </is>
      </c>
      <c r="F637" s="144" t="inlineStr">
        <is>
          <t>C083ER GA</t>
        </is>
      </c>
      <c r="G637" s="144" t="inlineStr">
        <is>
          <t>WHITE FREIGHTLINER</t>
        </is>
      </c>
      <c r="H637" s="144" t="n">
        <v>1221</v>
      </c>
      <c r="I637" s="144" t="inlineStr">
        <is>
          <t>COMMERCIAL</t>
        </is>
      </c>
    </row>
    <row r="638" ht="18" customHeight="1" s="7">
      <c r="A638" s="144" t="inlineStr">
        <is>
          <t>ROD CLARK</t>
        </is>
      </c>
      <c r="B638" s="144" t="inlineStr">
        <is>
          <t>*058192163 GA</t>
        </is>
      </c>
      <c r="C638" s="144" t="inlineStr">
        <is>
          <t>COOL SYSTEMS</t>
        </is>
      </c>
      <c r="D638" s="144" t="n">
        <v>8553638111</v>
      </c>
      <c r="E638" s="144" t="inlineStr">
        <is>
          <t>VAN</t>
        </is>
      </c>
      <c r="F638" s="144" t="inlineStr">
        <is>
          <t>73EEWS FL</t>
        </is>
      </c>
      <c r="G638" s="144" t="inlineStr">
        <is>
          <t>WHITE CHEVY</t>
        </is>
      </c>
      <c r="H638" s="144" t="inlineStr">
        <is>
          <t>COMMISSARY</t>
        </is>
      </c>
      <c r="I638" s="144" t="inlineStr">
        <is>
          <t xml:space="preserve">CONTRACTOR </t>
        </is>
      </c>
    </row>
    <row r="639" ht="18" customHeight="1" s="7">
      <c r="A639" s="144" t="inlineStr">
        <is>
          <t>AKRAMOV DILSHOD</t>
        </is>
      </c>
      <c r="B639" s="144" t="inlineStr">
        <is>
          <t>A265160763110 FL</t>
        </is>
      </c>
      <c r="C639" s="144" t="inlineStr">
        <is>
          <t>GOZAL INC</t>
        </is>
      </c>
      <c r="D639" s="144" t="n">
        <v>2392199508</v>
      </c>
      <c r="E639" s="144" t="inlineStr">
        <is>
          <t>BOX</t>
        </is>
      </c>
      <c r="F639" s="144" t="inlineStr">
        <is>
          <t>PWV3700 OH</t>
        </is>
      </c>
      <c r="G639" s="144" t="inlineStr">
        <is>
          <t>WHITE VOLVO</t>
        </is>
      </c>
      <c r="H639" s="144" t="n">
        <v>1221</v>
      </c>
      <c r="I639" s="144" t="inlineStr">
        <is>
          <t>COMMERCIAL</t>
        </is>
      </c>
    </row>
    <row r="640" ht="18" customHeight="1" s="7">
      <c r="A640" s="144" t="inlineStr">
        <is>
          <t>ROBERT BARBER</t>
        </is>
      </c>
      <c r="B640" s="144" t="inlineStr">
        <is>
          <t>B616765711700 FL</t>
        </is>
      </c>
      <c r="C640" s="144" t="inlineStr">
        <is>
          <t>BARBER KLEIN</t>
        </is>
      </c>
      <c r="D640" s="144" t="n">
        <v>9048385817</v>
      </c>
      <c r="E640" s="144" t="inlineStr">
        <is>
          <t>PU</t>
        </is>
      </c>
      <c r="F640" s="144" t="inlineStr">
        <is>
          <t>65EDIG FL</t>
        </is>
      </c>
      <c r="G640" s="144" t="inlineStr">
        <is>
          <t>WHITE FORD</t>
        </is>
      </c>
      <c r="H640" s="144" t="n">
        <v>2224</v>
      </c>
      <c r="I640" s="144" t="inlineStr">
        <is>
          <t xml:space="preserve">CONTRACTOR </t>
        </is>
      </c>
    </row>
    <row r="641" ht="18" customHeight="1" s="7">
      <c r="A641" s="144" t="inlineStr">
        <is>
          <t>KEITH MOORE</t>
        </is>
      </c>
      <c r="B641" s="144" t="inlineStr">
        <is>
          <t>*05680434 GA</t>
        </is>
      </c>
      <c r="C641" s="144" t="inlineStr">
        <is>
          <t>BARBER KLEIN</t>
        </is>
      </c>
      <c r="D641" s="144" t="n">
        <v>9048385817</v>
      </c>
      <c r="E641" s="144" t="inlineStr">
        <is>
          <t>PU</t>
        </is>
      </c>
      <c r="F641" s="144" t="inlineStr">
        <is>
          <t>SCM0667 GA</t>
        </is>
      </c>
      <c r="G641" s="144" t="inlineStr">
        <is>
          <t>WHITE FORD</t>
        </is>
      </c>
      <c r="H641" s="144" t="n">
        <v>2224</v>
      </c>
      <c r="I641" s="144" t="inlineStr">
        <is>
          <t xml:space="preserve">CONTRACTOR </t>
        </is>
      </c>
    </row>
    <row r="642" ht="18" customHeight="1" s="7">
      <c r="A642" s="144" t="inlineStr">
        <is>
          <t>JUANITA HALL</t>
        </is>
      </c>
      <c r="B642" s="144" t="inlineStr">
        <is>
          <t>*058797218 GA</t>
        </is>
      </c>
      <c r="C642" s="144" t="inlineStr">
        <is>
          <t>ONCESOURCE</t>
        </is>
      </c>
      <c r="D642" s="144" t="n">
        <v>8558941154</v>
      </c>
      <c r="E642" s="144" t="inlineStr">
        <is>
          <t>PUMP</t>
        </is>
      </c>
      <c r="F642" s="144" t="inlineStr">
        <is>
          <t>P360CG GA</t>
        </is>
      </c>
      <c r="G642" s="144" t="inlineStr">
        <is>
          <t>WHITE FREIGHTLINER</t>
        </is>
      </c>
      <c r="H642" s="144" t="n">
        <v>2224</v>
      </c>
      <c r="I642" s="144" t="inlineStr">
        <is>
          <t xml:space="preserve">CONTRACTOR </t>
        </is>
      </c>
    </row>
    <row r="643" ht="18" customHeight="1" s="7">
      <c r="A643" s="144" t="inlineStr">
        <is>
          <t>TYSON THOMAS</t>
        </is>
      </c>
      <c r="B643" s="144" t="inlineStr">
        <is>
          <t>*T250837891380 FL</t>
        </is>
      </c>
      <c r="C643" s="144" t="inlineStr">
        <is>
          <t>ONCESOURCE</t>
        </is>
      </c>
      <c r="D643" s="144" t="n">
        <v>8508681684</v>
      </c>
      <c r="E643" s="144" t="inlineStr">
        <is>
          <t>PU</t>
        </is>
      </c>
      <c r="F643" s="144" t="inlineStr">
        <is>
          <t>HPPQ11 FL</t>
        </is>
      </c>
      <c r="G643" s="144" t="inlineStr">
        <is>
          <t>BLUE FORD</t>
        </is>
      </c>
      <c r="H643" s="144" t="n">
        <v>2224</v>
      </c>
      <c r="I643" s="144" t="inlineStr">
        <is>
          <t xml:space="preserve">CONTRACTOR </t>
        </is>
      </c>
    </row>
    <row r="644" ht="18" customHeight="1" s="7">
      <c r="A644" s="144" t="inlineStr">
        <is>
          <t>MCGUIRE MICHAEL</t>
        </is>
      </c>
      <c r="B644" s="144" t="inlineStr">
        <is>
          <t>*M229367886000 FL</t>
        </is>
      </c>
      <c r="C644" s="144" t="inlineStr">
        <is>
          <t>ONCESOURCE</t>
        </is>
      </c>
      <c r="D644" s="144" t="n">
        <v>8507270082</v>
      </c>
      <c r="E644" s="144" t="inlineStr">
        <is>
          <t>PU</t>
        </is>
      </c>
      <c r="F644" s="144" t="inlineStr">
        <is>
          <t>QBPK57 FL</t>
        </is>
      </c>
      <c r="G644" s="144" t="inlineStr">
        <is>
          <t>WHITE FORD</t>
        </is>
      </c>
      <c r="H644" s="144" t="n">
        <v>2224</v>
      </c>
      <c r="I644" s="144" t="inlineStr">
        <is>
          <t xml:space="preserve">CONTRACTOR </t>
        </is>
      </c>
    </row>
    <row r="645" ht="18" customHeight="1" s="7">
      <c r="A645" s="144" t="inlineStr">
        <is>
          <t>JEREMY HIERS</t>
        </is>
      </c>
      <c r="B645" s="144" t="inlineStr">
        <is>
          <t>H620433822250 FL</t>
        </is>
      </c>
      <c r="C645" s="144" t="inlineStr">
        <is>
          <t>BARBER KLEIN</t>
        </is>
      </c>
      <c r="D645" s="144" t="n">
        <v>8507270082</v>
      </c>
      <c r="E645" s="144" t="inlineStr">
        <is>
          <t>VAN</t>
        </is>
      </c>
      <c r="F645" s="144" t="inlineStr">
        <is>
          <t>AM52RJ FL</t>
        </is>
      </c>
      <c r="G645" s="144" t="inlineStr">
        <is>
          <t>WHITE FORD</t>
        </is>
      </c>
      <c r="H645" s="144" t="n">
        <v>2224</v>
      </c>
      <c r="I645" s="144" t="inlineStr">
        <is>
          <t xml:space="preserve">CONTRACTOR </t>
        </is>
      </c>
    </row>
    <row r="646" ht="18" customHeight="1" s="7">
      <c r="A646" s="144" t="inlineStr">
        <is>
          <t>COREY THOMPSON</t>
        </is>
      </c>
      <c r="B646" s="144" t="inlineStr">
        <is>
          <t>7771325 AL</t>
        </is>
      </c>
      <c r="C646" s="144" t="inlineStr">
        <is>
          <t>HALVOR LINES</t>
        </is>
      </c>
      <c r="D646" s="144" t="n">
        <v>2562277354</v>
      </c>
      <c r="E646" s="144" t="inlineStr">
        <is>
          <t>BOX</t>
        </is>
      </c>
      <c r="F646" s="144" t="inlineStr">
        <is>
          <t>47659Z WI</t>
        </is>
      </c>
      <c r="G646" s="144" t="inlineStr">
        <is>
          <t>WHITE FREIGHTLINER</t>
        </is>
      </c>
      <c r="H646" s="144" t="n">
        <v>1221</v>
      </c>
      <c r="I646" s="144" t="inlineStr">
        <is>
          <t>COMMERCIAL</t>
        </is>
      </c>
    </row>
    <row r="647" ht="18" customHeight="1" s="7">
      <c r="A647" s="144" t="inlineStr">
        <is>
          <t>CLARENCE MALLORY</t>
        </is>
      </c>
      <c r="B647" s="144" t="inlineStr">
        <is>
          <t>T62663968 VA</t>
        </is>
      </c>
      <c r="C647" s="144" t="inlineStr">
        <is>
          <t>TAYLOR LOGISTICS</t>
        </is>
      </c>
      <c r="D647" s="144" t="n">
        <v>8049438040</v>
      </c>
      <c r="E647" s="144" t="inlineStr">
        <is>
          <t>BOX</t>
        </is>
      </c>
      <c r="F647" s="144" t="inlineStr">
        <is>
          <t>4089GPZ VA</t>
        </is>
      </c>
      <c r="G647" s="144" t="inlineStr">
        <is>
          <t xml:space="preserve">WHITE VOLVO </t>
        </is>
      </c>
      <c r="H647" s="144" t="n">
        <v>1221</v>
      </c>
      <c r="I647" s="144" t="inlineStr">
        <is>
          <t>COMMERCIAL</t>
        </is>
      </c>
    </row>
    <row r="648" ht="18" customHeight="1" s="7">
      <c r="A648" s="144" t="inlineStr">
        <is>
          <t xml:space="preserve">ANTHONY FOREMAN </t>
        </is>
      </c>
      <c r="B648" s="144" t="inlineStr">
        <is>
          <t>6910243 AL</t>
        </is>
      </c>
      <c r="C648" s="144" t="inlineStr">
        <is>
          <t>MOTOR FREIGHT</t>
        </is>
      </c>
      <c r="D648" s="144" t="n">
        <v>3347448617</v>
      </c>
      <c r="E648" s="144" t="inlineStr">
        <is>
          <t>BOX</t>
        </is>
      </c>
      <c r="F648" s="144" t="inlineStr">
        <is>
          <t>3650507 IN</t>
        </is>
      </c>
      <c r="G648" s="144" t="inlineStr">
        <is>
          <t>BLUE FREIGHTLINER</t>
        </is>
      </c>
      <c r="H648" s="144" t="n">
        <v>1221</v>
      </c>
      <c r="I648" s="144" t="inlineStr">
        <is>
          <t>COMMERCIAL</t>
        </is>
      </c>
    </row>
    <row r="649" ht="18" customHeight="1" s="7">
      <c r="A649" s="144" t="inlineStr">
        <is>
          <t>BRUCE DALTON</t>
        </is>
      </c>
      <c r="B649" s="144" t="inlineStr">
        <is>
          <t>*052576410 GA</t>
        </is>
      </c>
      <c r="C649" s="144" t="inlineStr">
        <is>
          <t>COOL SYSTEMS</t>
        </is>
      </c>
      <c r="D649" s="144" t="n">
        <v>8885283688</v>
      </c>
      <c r="E649" s="144" t="inlineStr">
        <is>
          <t>VAN</t>
        </is>
      </c>
      <c r="F649" s="144" t="inlineStr">
        <is>
          <t>22ELWV FL</t>
        </is>
      </c>
      <c r="G649" s="144" t="inlineStr">
        <is>
          <t>WHITE FORD</t>
        </is>
      </c>
      <c r="H649" s="144" t="inlineStr">
        <is>
          <t>COMMISSARY</t>
        </is>
      </c>
      <c r="I649" s="144" t="inlineStr">
        <is>
          <t>COMMERCIAL</t>
        </is>
      </c>
    </row>
    <row r="650" ht="18" customHeight="1" s="7">
      <c r="A650" s="144" t="inlineStr">
        <is>
          <t>NWOSISI KELVIN</t>
        </is>
      </c>
      <c r="B650" s="144" t="inlineStr">
        <is>
          <t>N220514733700 FL</t>
        </is>
      </c>
      <c r="C650" s="144" t="inlineStr">
        <is>
          <t>MA TRANSPORTATION</t>
        </is>
      </c>
      <c r="D650" s="144" t="n">
        <v>4698586754</v>
      </c>
      <c r="E650" s="144" t="inlineStr">
        <is>
          <t>BOX</t>
        </is>
      </c>
      <c r="F650" s="144" t="inlineStr">
        <is>
          <t>R758202 TX</t>
        </is>
      </c>
      <c r="G650" s="144" t="inlineStr">
        <is>
          <t>WHITE VOLVO</t>
        </is>
      </c>
      <c r="H650" s="144" t="n">
        <v>1221</v>
      </c>
      <c r="I650" s="144" t="inlineStr">
        <is>
          <t>COMMERCIAL</t>
        </is>
      </c>
    </row>
    <row r="651" ht="18" customHeight="1" s="7">
      <c r="A651" s="144" t="inlineStr">
        <is>
          <t>ORLANDO OSEJO</t>
        </is>
      </c>
      <c r="B651" s="144" t="inlineStr">
        <is>
          <t>*059776177 GA</t>
        </is>
      </c>
      <c r="C651" s="144" t="inlineStr">
        <is>
          <t>OPH</t>
        </is>
      </c>
      <c r="D651" s="144" t="n">
        <v>6782347571</v>
      </c>
      <c r="E651" s="144" t="inlineStr">
        <is>
          <t>PU</t>
        </is>
      </c>
      <c r="F651" s="144" t="inlineStr">
        <is>
          <t>CUM8236 GA</t>
        </is>
      </c>
      <c r="G651" s="144" t="inlineStr">
        <is>
          <t>RED GMC</t>
        </is>
      </c>
      <c r="H651" s="144" t="n">
        <v>1221</v>
      </c>
      <c r="I651" s="144" t="inlineStr">
        <is>
          <t>COMMERCIAL</t>
        </is>
      </c>
    </row>
    <row r="652" ht="18" customHeight="1" s="7">
      <c r="A652" s="144" t="inlineStr">
        <is>
          <t xml:space="preserve">MCALLISTER MARQUISE </t>
        </is>
      </c>
      <c r="B652" s="144" t="inlineStr">
        <is>
          <t>*000036678171 NC</t>
        </is>
      </c>
      <c r="C652" s="144" t="inlineStr">
        <is>
          <t>ELE</t>
        </is>
      </c>
      <c r="D652" s="144" t="n">
        <v>9105484757</v>
      </c>
      <c r="E652" s="144" t="inlineStr">
        <is>
          <t>BOX</t>
        </is>
      </c>
      <c r="F652" s="144" t="inlineStr">
        <is>
          <t>NS2478 NC</t>
        </is>
      </c>
      <c r="G652" s="144" t="inlineStr">
        <is>
          <t>WHITE FL</t>
        </is>
      </c>
      <c r="H652" s="144" t="n">
        <v>1221</v>
      </c>
      <c r="I652" s="144" t="inlineStr">
        <is>
          <t>COMMERCIAL</t>
        </is>
      </c>
    </row>
    <row r="653" ht="18" customHeight="1" s="7">
      <c r="A653" s="144" t="inlineStr">
        <is>
          <t>MYERS WARREN JR</t>
        </is>
      </c>
      <c r="B653" s="144" t="inlineStr">
        <is>
          <t>*542681064 MS</t>
        </is>
      </c>
      <c r="C653" s="144" t="inlineStr">
        <is>
          <t>STELLE CORP</t>
        </is>
      </c>
      <c r="D653" s="144" t="n">
        <v>5044794709</v>
      </c>
      <c r="E653" s="144" t="inlineStr">
        <is>
          <t>BOX</t>
        </is>
      </c>
      <c r="F653" s="144" t="inlineStr">
        <is>
          <t>46325534 IN</t>
        </is>
      </c>
      <c r="G653" s="144" t="inlineStr">
        <is>
          <t>ORANGE PETER</t>
        </is>
      </c>
      <c r="H653" s="144" t="n">
        <v>1221</v>
      </c>
      <c r="I653" s="144" t="inlineStr">
        <is>
          <t>COMMERCIAL</t>
        </is>
      </c>
    </row>
    <row r="654" ht="18" customHeight="1" s="7">
      <c r="A654" s="144" t="inlineStr">
        <is>
          <t>MILLARD MELODY</t>
        </is>
      </c>
      <c r="B654" s="144" t="inlineStr">
        <is>
          <t>*056007664 GA</t>
        </is>
      </c>
      <c r="C654" s="144" t="inlineStr">
        <is>
          <t>BUFFALO ROCK</t>
        </is>
      </c>
      <c r="D654" s="144" t="n">
        <v>2293436015</v>
      </c>
      <c r="E654" s="144" t="inlineStr">
        <is>
          <t>VAN</t>
        </is>
      </c>
      <c r="F654" s="144" t="inlineStr">
        <is>
          <t>RMN6020 GA</t>
        </is>
      </c>
      <c r="G654" s="144" t="inlineStr">
        <is>
          <t>WHITE CHEVY</t>
        </is>
      </c>
      <c r="H654" s="144" t="n">
        <v>3500</v>
      </c>
      <c r="I654" s="144" t="inlineStr">
        <is>
          <t>COMMERCIAL</t>
        </is>
      </c>
    </row>
    <row r="655" ht="18" customHeight="1" s="7">
      <c r="A655" s="144" t="inlineStr">
        <is>
          <t>CARL LEE DAVIS</t>
        </is>
      </c>
      <c r="B655" s="144" t="inlineStr">
        <is>
          <t>*059910854 GA</t>
        </is>
      </c>
      <c r="C655" s="144" t="inlineStr">
        <is>
          <t>DISH</t>
        </is>
      </c>
      <c r="D655" s="144" t="n">
        <v>2294397817</v>
      </c>
      <c r="E655" s="144" t="inlineStr">
        <is>
          <t>VAN</t>
        </is>
      </c>
      <c r="F655" s="144" t="inlineStr">
        <is>
          <t>RAV3846 GA</t>
        </is>
      </c>
      <c r="G655" s="144" t="inlineStr">
        <is>
          <t>WHITE FORD</t>
        </is>
      </c>
      <c r="H655" s="144" t="n">
        <v>1221</v>
      </c>
      <c r="I655" s="144" t="inlineStr">
        <is>
          <t xml:space="preserve">CONTRACTOR </t>
        </is>
      </c>
    </row>
    <row r="656" ht="18" customHeight="1" s="7">
      <c r="A656" s="144" t="inlineStr">
        <is>
          <t>ABAKU EMMANUEL</t>
        </is>
      </c>
      <c r="B656" s="144" t="inlineStr">
        <is>
          <t>32863616 PA</t>
        </is>
      </c>
      <c r="C656" s="144" t="inlineStr">
        <is>
          <t>E ENTERPISE</t>
        </is>
      </c>
      <c r="D656" s="144" t="n">
        <v>7176440459</v>
      </c>
      <c r="E656" s="144" t="inlineStr">
        <is>
          <t>PU</t>
        </is>
      </c>
      <c r="F656" s="144" t="inlineStr">
        <is>
          <t>ZPL1151 PA</t>
        </is>
      </c>
      <c r="G656" s="144" t="inlineStr">
        <is>
          <t>BLACK DODGE</t>
        </is>
      </c>
      <c r="H656" s="144" t="n">
        <v>1221</v>
      </c>
      <c r="I656" s="144" t="inlineStr">
        <is>
          <t xml:space="preserve">CONTRACTOR </t>
        </is>
      </c>
    </row>
    <row r="657" ht="18" customHeight="1" s="7">
      <c r="A657" s="144" t="inlineStr">
        <is>
          <t>JESUS SOLANO</t>
        </is>
      </c>
      <c r="B657" s="144" t="inlineStr">
        <is>
          <t>*057735455 GA</t>
        </is>
      </c>
      <c r="C657" s="144" t="inlineStr">
        <is>
          <t>FAST TRANSP.</t>
        </is>
      </c>
      <c r="D657" s="144" t="n">
        <v>4046436506</v>
      </c>
      <c r="E657" s="144" t="inlineStr">
        <is>
          <t>FLAT</t>
        </is>
      </c>
      <c r="F657" s="144" t="inlineStr">
        <is>
          <t>C444CT GA</t>
        </is>
      </c>
      <c r="G657" s="144" t="inlineStr">
        <is>
          <t>WHITE VOLVO</t>
        </is>
      </c>
      <c r="H657" s="144" t="n">
        <v>1221</v>
      </c>
      <c r="I657" s="144" t="inlineStr">
        <is>
          <t>COMMERCIAL</t>
        </is>
      </c>
    </row>
    <row r="658" ht="18" customHeight="1" s="7">
      <c r="A658" s="144" t="inlineStr">
        <is>
          <t>TRAVIS FEDD</t>
        </is>
      </c>
      <c r="B658" s="144" t="inlineStr">
        <is>
          <t>*056614871 GA</t>
        </is>
      </c>
      <c r="C658" s="144" t="inlineStr">
        <is>
          <t>FED KE LOGISTICS</t>
        </is>
      </c>
      <c r="D658" s="144" t="n">
        <v>6787026752</v>
      </c>
      <c r="E658" s="144" t="inlineStr">
        <is>
          <t>PU</t>
        </is>
      </c>
      <c r="F658" s="144" t="inlineStr">
        <is>
          <t>RJAT92 FL</t>
        </is>
      </c>
      <c r="G658" s="144" t="inlineStr">
        <is>
          <t>WHITE FORD</t>
        </is>
      </c>
      <c r="H658" s="144" t="n">
        <v>1221</v>
      </c>
      <c r="I658" s="144" t="inlineStr">
        <is>
          <t xml:space="preserve">CONTRACTOR </t>
        </is>
      </c>
    </row>
    <row r="659" ht="18" customHeight="1" s="7">
      <c r="A659" s="144" t="inlineStr">
        <is>
          <t>JONAS CHARLES</t>
        </is>
      </c>
      <c r="B659" s="144" t="inlineStr">
        <is>
          <t>*058779366 GA</t>
        </is>
      </c>
      <c r="C659" s="144" t="inlineStr">
        <is>
          <t>CP CARRIERS</t>
        </is>
      </c>
      <c r="D659" s="144" t="n">
        <v>3478984164</v>
      </c>
      <c r="E659" s="144" t="inlineStr">
        <is>
          <t>BOX</t>
        </is>
      </c>
      <c r="F659" s="144" t="inlineStr">
        <is>
          <t>P1107926 IL</t>
        </is>
      </c>
      <c r="G659" s="144" t="inlineStr">
        <is>
          <t>BLUE FREIGHTLINER</t>
        </is>
      </c>
      <c r="H659" s="144" t="n">
        <v>1221</v>
      </c>
      <c r="I659" s="144" t="inlineStr">
        <is>
          <t>COMMERCIAL</t>
        </is>
      </c>
    </row>
    <row r="660" ht="18" customHeight="1" s="7">
      <c r="A660" s="144" t="inlineStr">
        <is>
          <t>JEROME WAY JR</t>
        </is>
      </c>
      <c r="B660" s="144" t="inlineStr">
        <is>
          <t>*040505130 GA</t>
        </is>
      </c>
      <c r="C660" s="144" t="inlineStr">
        <is>
          <t>J&amp;L</t>
        </is>
      </c>
      <c r="D660" s="144" t="n">
        <v>4045422025</v>
      </c>
      <c r="E660" s="144" t="inlineStr">
        <is>
          <t>FLAT</t>
        </is>
      </c>
      <c r="F660" s="144" t="inlineStr">
        <is>
          <t>C109EA GA</t>
        </is>
      </c>
      <c r="G660" s="144" t="inlineStr">
        <is>
          <t>ORANGE PETER</t>
        </is>
      </c>
      <c r="H660" s="144" t="n">
        <v>1221</v>
      </c>
      <c r="I660" s="144" t="inlineStr">
        <is>
          <t>COMMERCIAL</t>
        </is>
      </c>
    </row>
    <row r="661" ht="18" customHeight="1" s="7">
      <c r="A661" s="144" t="inlineStr">
        <is>
          <t>MICHAEL SIMMONS</t>
        </is>
      </c>
      <c r="B661" s="144" t="inlineStr">
        <is>
          <t>*071903358 GA</t>
        </is>
      </c>
      <c r="C661" s="144" t="inlineStr">
        <is>
          <t>LANDSTAR</t>
        </is>
      </c>
      <c r="D661" s="144" t="n">
        <v>3603011460</v>
      </c>
      <c r="E661" s="144" t="inlineStr">
        <is>
          <t>BOX</t>
        </is>
      </c>
      <c r="F661" s="144" t="inlineStr">
        <is>
          <t>3110153 IN</t>
        </is>
      </c>
      <c r="G661" s="144" t="inlineStr">
        <is>
          <t>WHITE FREIGHTLINER</t>
        </is>
      </c>
      <c r="H661" s="144" t="n">
        <v>1221</v>
      </c>
      <c r="I661" s="144" t="inlineStr">
        <is>
          <t>COMMERCIAL</t>
        </is>
      </c>
    </row>
    <row r="662" ht="18" customHeight="1" s="7">
      <c r="A662" s="144" t="inlineStr">
        <is>
          <t>ALI YUSUF</t>
        </is>
      </c>
      <c r="B662" s="144" t="inlineStr">
        <is>
          <t>*TU126067 OH</t>
        </is>
      </c>
      <c r="C662" s="144" t="inlineStr">
        <is>
          <t>MOON LINE LLC</t>
        </is>
      </c>
      <c r="D662" s="144" t="n">
        <v>6146193209</v>
      </c>
      <c r="E662" s="144" t="inlineStr">
        <is>
          <t>BOX</t>
        </is>
      </c>
      <c r="F662" s="144" t="inlineStr">
        <is>
          <t>PWQ0800 OH</t>
        </is>
      </c>
      <c r="G662" s="144" t="inlineStr">
        <is>
          <t>WHITE FREIGHTLINER</t>
        </is>
      </c>
      <c r="H662" s="144" t="n">
        <v>1221</v>
      </c>
      <c r="I662" s="144" t="inlineStr">
        <is>
          <t>COMMERCIAL</t>
        </is>
      </c>
    </row>
    <row r="663" ht="18" customHeight="1" s="7">
      <c r="A663" s="144" t="inlineStr">
        <is>
          <t>SALMAN KHATTAK</t>
        </is>
      </c>
      <c r="B663" s="144" t="inlineStr">
        <is>
          <t>T62425273 VA</t>
        </is>
      </c>
      <c r="C663" s="144" t="inlineStr">
        <is>
          <t>FRONTIER LOGISTICS</t>
        </is>
      </c>
      <c r="D663" s="144" t="n">
        <v>7035095094</v>
      </c>
      <c r="E663" s="144" t="inlineStr">
        <is>
          <t>BOX</t>
        </is>
      </c>
      <c r="F663" s="144" t="inlineStr">
        <is>
          <t>35598PZ VA</t>
        </is>
      </c>
      <c r="G663" s="144" t="inlineStr">
        <is>
          <t>BLACK KW</t>
        </is>
      </c>
      <c r="H663" s="144" t="n">
        <v>1360</v>
      </c>
      <c r="I663" s="144" t="inlineStr">
        <is>
          <t>COMMERCIAL</t>
        </is>
      </c>
    </row>
    <row r="664" ht="18" customHeight="1" s="7">
      <c r="A664" s="144" t="inlineStr">
        <is>
          <t>ALBERT WILKINS</t>
        </is>
      </c>
      <c r="B664" s="144" t="inlineStr">
        <is>
          <t>T69009423 VA</t>
        </is>
      </c>
      <c r="C664" s="144" t="inlineStr">
        <is>
          <t>PLAY HARDBALL</t>
        </is>
      </c>
      <c r="D664" s="144" t="n">
        <v>4346376319</v>
      </c>
      <c r="E664" s="144" t="inlineStr">
        <is>
          <t>BOX</t>
        </is>
      </c>
      <c r="F664" s="144" t="inlineStr">
        <is>
          <t>41746PZ VA</t>
        </is>
      </c>
      <c r="G664" s="144" t="inlineStr">
        <is>
          <t>BLUE FREIGHTLINER</t>
        </is>
      </c>
      <c r="H664" s="144" t="n">
        <v>1221</v>
      </c>
      <c r="I664" s="144" t="inlineStr">
        <is>
          <t>COMMERCIAL</t>
        </is>
      </c>
    </row>
    <row r="665" ht="18" customHeight="1" s="7">
      <c r="A665" s="144" t="inlineStr">
        <is>
          <t>JERMAINE CHITTY</t>
        </is>
      </c>
      <c r="B665" s="144" t="inlineStr">
        <is>
          <t>*061750839 GA</t>
        </is>
      </c>
      <c r="C665" s="144" t="inlineStr">
        <is>
          <t>FREMONT TRANS</t>
        </is>
      </c>
      <c r="D665" s="144" t="n">
        <v>4237605120</v>
      </c>
      <c r="E665" s="144" t="inlineStr">
        <is>
          <t>BOX</t>
        </is>
      </c>
      <c r="F665" s="144" t="inlineStr">
        <is>
          <t>P1212816 IL</t>
        </is>
      </c>
      <c r="G665" s="144" t="inlineStr">
        <is>
          <t>WHITE FREIGHTLINER</t>
        </is>
      </c>
      <c r="H665" s="144" t="n">
        <v>1330</v>
      </c>
      <c r="I665" s="144" t="inlineStr">
        <is>
          <t>COMMERCIAL</t>
        </is>
      </c>
    </row>
    <row r="666" ht="18" customHeight="1" s="7">
      <c r="A666" s="144" t="inlineStr">
        <is>
          <t xml:space="preserve">HEATHER BARNETT </t>
        </is>
      </c>
      <c r="B666" s="144" t="inlineStr">
        <is>
          <t>R202343003 MO</t>
        </is>
      </c>
      <c r="C666" s="144" t="inlineStr">
        <is>
          <t>TRI STATE</t>
        </is>
      </c>
      <c r="D666" s="144" t="n">
        <v>4174376085</v>
      </c>
      <c r="E666" s="144" t="inlineStr">
        <is>
          <t>BOX</t>
        </is>
      </c>
      <c r="F666" s="144" t="inlineStr">
        <is>
          <t>AM24905 AZ</t>
        </is>
      </c>
      <c r="G666" s="144" t="inlineStr">
        <is>
          <t>SILVER VOLVO</t>
        </is>
      </c>
      <c r="H666" s="144" t="n">
        <v>1221</v>
      </c>
      <c r="I666" s="144" t="inlineStr">
        <is>
          <t>COMMERCIAL</t>
        </is>
      </c>
    </row>
    <row r="667" ht="18" customHeight="1" s="7">
      <c r="A667" s="144" t="inlineStr">
        <is>
          <t xml:space="preserve">CHRISTOPHER RIGSBY </t>
        </is>
      </c>
      <c r="B667" s="144" t="inlineStr">
        <is>
          <t>*051730507 GA</t>
        </is>
      </c>
      <c r="C667" s="144" t="inlineStr">
        <is>
          <t>MCA</t>
        </is>
      </c>
      <c r="D667" s="144" t="n">
        <v>2299423391</v>
      </c>
      <c r="E667" s="144" t="inlineStr">
        <is>
          <t>PU</t>
        </is>
      </c>
      <c r="F667" s="144" t="inlineStr">
        <is>
          <t>SHI4198 GA</t>
        </is>
      </c>
      <c r="G667" s="144" t="inlineStr">
        <is>
          <t>WHITE NISSAN</t>
        </is>
      </c>
      <c r="H667" s="144" t="n">
        <v>7521</v>
      </c>
      <c r="I667" s="144" t="inlineStr">
        <is>
          <t xml:space="preserve">CONTRACTOR </t>
        </is>
      </c>
    </row>
    <row r="668" ht="18" customHeight="1" s="7">
      <c r="A668" s="144" t="inlineStr">
        <is>
          <t>ANDRII GORA</t>
        </is>
      </c>
      <c r="B668" s="144" t="inlineStr">
        <is>
          <t>Y5400818 CA</t>
        </is>
      </c>
      <c r="C668" s="144" t="inlineStr">
        <is>
          <t>I&amp;I BROTHERS</t>
        </is>
      </c>
      <c r="D668" s="144" t="n">
        <v>2538885717</v>
      </c>
      <c r="E668" s="144" t="inlineStr">
        <is>
          <t>FLAT</t>
        </is>
      </c>
      <c r="F668" s="144" t="inlineStr">
        <is>
          <t>YP88746 CA</t>
        </is>
      </c>
      <c r="G668" s="144" t="inlineStr">
        <is>
          <t>WHITE FREIGHTLINER</t>
        </is>
      </c>
      <c r="H668" s="144" t="n">
        <v>1221</v>
      </c>
      <c r="I668" s="144" t="inlineStr">
        <is>
          <t>COMMERCIAL</t>
        </is>
      </c>
    </row>
    <row r="669" ht="18" customHeight="1" s="7">
      <c r="A669" s="144" t="inlineStr">
        <is>
          <t>ARTHUR SMITH JR</t>
        </is>
      </c>
      <c r="B669" s="144" t="inlineStr">
        <is>
          <t>*037665946 GA</t>
        </is>
      </c>
      <c r="C669" s="144" t="inlineStr">
        <is>
          <t>SMITH TRANSPORTATION</t>
        </is>
      </c>
      <c r="D669" s="144" t="n">
        <v>7065453047</v>
      </c>
      <c r="E669" s="144" t="inlineStr">
        <is>
          <t>BOX</t>
        </is>
      </c>
      <c r="F669" s="144" t="inlineStr">
        <is>
          <t>C416CM GA</t>
        </is>
      </c>
      <c r="G669" s="144" t="inlineStr">
        <is>
          <t>BLUE FREIGHTLINER</t>
        </is>
      </c>
      <c r="H669" s="144" t="n">
        <v>1221</v>
      </c>
      <c r="I669" s="144" t="inlineStr">
        <is>
          <t>COMMERCIAL</t>
        </is>
      </c>
    </row>
    <row r="670" ht="18" customHeight="1" s="7">
      <c r="A670" s="144" t="inlineStr">
        <is>
          <t>DUVAL WILNER</t>
        </is>
      </c>
      <c r="B670" s="144" t="inlineStr">
        <is>
          <t>9370556023 IN</t>
        </is>
      </c>
      <c r="C670" s="144" t="inlineStr">
        <is>
          <t>ZONE - OH LLC</t>
        </is>
      </c>
      <c r="D670" s="144" t="n">
        <v>7543684553</v>
      </c>
      <c r="E670" s="144" t="inlineStr">
        <is>
          <t>BOX</t>
        </is>
      </c>
      <c r="F670" s="144" t="inlineStr">
        <is>
          <t>3450625 IN</t>
        </is>
      </c>
      <c r="G670" s="144" t="inlineStr">
        <is>
          <t>WHITE FREIGHTLINER</t>
        </is>
      </c>
      <c r="H670" s="144" t="n">
        <v>1221</v>
      </c>
      <c r="I670" s="144" t="inlineStr">
        <is>
          <t>COMMERCIAL</t>
        </is>
      </c>
    </row>
    <row r="671" ht="18" customHeight="1" s="7">
      <c r="A671" s="144" t="inlineStr">
        <is>
          <t>ABOOLAWI MONER</t>
        </is>
      </c>
      <c r="B671" s="144" t="inlineStr">
        <is>
          <t>A1405597745403 WI</t>
        </is>
      </c>
      <c r="C671" s="144" t="inlineStr">
        <is>
          <t>BAWAN EXPRESS</t>
        </is>
      </c>
      <c r="D671" s="144" t="n">
        <v>4143266557</v>
      </c>
      <c r="E671" s="144" t="inlineStr">
        <is>
          <t>BOX</t>
        </is>
      </c>
      <c r="F671" s="144" t="inlineStr">
        <is>
          <t>T60147Z WI</t>
        </is>
      </c>
      <c r="G671" s="144" t="inlineStr">
        <is>
          <t>WHITE FREIGHTLINER</t>
        </is>
      </c>
      <c r="H671" s="144" t="n">
        <v>1221</v>
      </c>
      <c r="I671" s="144" t="inlineStr">
        <is>
          <t>COMMERCIAL</t>
        </is>
      </c>
    </row>
    <row r="672" ht="18" customHeight="1" s="7">
      <c r="A672" s="144" t="inlineStr">
        <is>
          <t>GLEN JOEY</t>
        </is>
      </c>
      <c r="B672" s="144" t="inlineStr">
        <is>
          <t>*000006188299 NC</t>
        </is>
      </c>
      <c r="C672" s="144" t="inlineStr">
        <is>
          <t>THOMAS TRANS</t>
        </is>
      </c>
      <c r="D672" s="144" t="n">
        <v>9192701263</v>
      </c>
      <c r="E672" s="144" t="inlineStr">
        <is>
          <t>BOX</t>
        </is>
      </c>
      <c r="F672" s="144" t="inlineStr">
        <is>
          <t>NP8621 NC</t>
        </is>
      </c>
      <c r="G672" s="144" t="inlineStr">
        <is>
          <t>WHITE KENWORTH</t>
        </is>
      </c>
      <c r="H672" s="144" t="n">
        <v>1221</v>
      </c>
      <c r="I672" s="144" t="inlineStr">
        <is>
          <t>COMMERCIAL</t>
        </is>
      </c>
    </row>
    <row r="673" ht="18" customHeight="1" s="7">
      <c r="A673" s="144" t="inlineStr">
        <is>
          <t>JONAH ANDERSON</t>
        </is>
      </c>
      <c r="B673" s="144" t="inlineStr">
        <is>
          <t>*058573299 GA</t>
        </is>
      </c>
      <c r="C673" s="144" t="inlineStr">
        <is>
          <t>SIZEMORE</t>
        </is>
      </c>
      <c r="D673" s="144" t="n">
        <v>2298945478</v>
      </c>
      <c r="E673" s="144" t="inlineStr">
        <is>
          <t>BOX</t>
        </is>
      </c>
      <c r="F673" s="144" t="inlineStr">
        <is>
          <t>SDL6902 GA</t>
        </is>
      </c>
      <c r="G673" s="144" t="inlineStr">
        <is>
          <t>WHITE FORD</t>
        </is>
      </c>
      <c r="H673" s="144" t="n">
        <v>7102</v>
      </c>
      <c r="I673" s="144" t="inlineStr">
        <is>
          <t>COMMERCIAL</t>
        </is>
      </c>
    </row>
    <row r="674" ht="18" customHeight="1" s="7">
      <c r="A674" s="144" t="inlineStr">
        <is>
          <t>JAKORI SEALEY</t>
        </is>
      </c>
      <c r="B674" s="144" t="inlineStr">
        <is>
          <t>*059944554 GA</t>
        </is>
      </c>
      <c r="C674" s="144" t="inlineStr">
        <is>
          <t>ABMERE</t>
        </is>
      </c>
      <c r="D674" s="144" t="n">
        <v>2293669850</v>
      </c>
      <c r="E674" s="144" t="inlineStr">
        <is>
          <t>BOX</t>
        </is>
      </c>
      <c r="F674" s="144" t="inlineStr">
        <is>
          <t>C761DA GA</t>
        </is>
      </c>
      <c r="G674" s="144" t="inlineStr">
        <is>
          <t>WHITE FREIGHTLINER</t>
        </is>
      </c>
      <c r="H674" s="144" t="n">
        <v>1221</v>
      </c>
      <c r="I674" s="144" t="inlineStr">
        <is>
          <t>COMMERCIAL</t>
        </is>
      </c>
    </row>
    <row r="675" ht="18" customHeight="1" s="7">
      <c r="A675" s="144" t="inlineStr">
        <is>
          <t>JEFFERY CULBRETH</t>
        </is>
      </c>
      <c r="B675" s="144" t="inlineStr">
        <is>
          <t>7084868 AL</t>
        </is>
      </c>
      <c r="C675" s="144" t="inlineStr">
        <is>
          <t>MONDELEZ</t>
        </is>
      </c>
      <c r="D675" s="144" t="n">
        <v>3347914675</v>
      </c>
      <c r="E675" s="144" t="inlineStr">
        <is>
          <t>BOX</t>
        </is>
      </c>
      <c r="F675" s="144" t="inlineStr">
        <is>
          <t>2637297 IN</t>
        </is>
      </c>
      <c r="G675" s="144" t="inlineStr">
        <is>
          <t>WHITE FREIGHTLINER</t>
        </is>
      </c>
      <c r="H675" s="144" t="n">
        <v>7501</v>
      </c>
      <c r="I675" s="144" t="inlineStr">
        <is>
          <t>COMMERCIAL</t>
        </is>
      </c>
    </row>
    <row r="676" ht="18" customHeight="1" s="7">
      <c r="A676" s="144" t="inlineStr">
        <is>
          <t>WILLIAM REIMER</t>
        </is>
      </c>
      <c r="B676" s="144" t="inlineStr">
        <is>
          <t>R5609367132804 WI</t>
        </is>
      </c>
      <c r="C676" s="144" t="inlineStr">
        <is>
          <t>HALVOR LINES</t>
        </is>
      </c>
      <c r="D676" s="144" t="n">
        <v>2183932018</v>
      </c>
      <c r="E676" s="144" t="inlineStr">
        <is>
          <t>BOX</t>
        </is>
      </c>
      <c r="F676" s="144" t="inlineStr">
        <is>
          <t>59576X WI</t>
        </is>
      </c>
      <c r="G676" s="144" t="inlineStr">
        <is>
          <t>BLACK VOLVO</t>
        </is>
      </c>
      <c r="H676" s="144" t="n">
        <v>1221</v>
      </c>
      <c r="I676" s="144" t="inlineStr">
        <is>
          <t>COMMERCIAL</t>
        </is>
      </c>
    </row>
    <row r="677" ht="18" customHeight="1" s="7">
      <c r="A677" s="144" t="inlineStr">
        <is>
          <t>MEHMEDOVIC ADMIR</t>
        </is>
      </c>
      <c r="B677" s="144" t="inlineStr">
        <is>
          <t>M98168953 KY</t>
        </is>
      </c>
      <c r="C677" s="144" t="inlineStr">
        <is>
          <t>BIH EXPRESS</t>
        </is>
      </c>
      <c r="D677" s="144" t="n">
        <v>2707915670</v>
      </c>
      <c r="E677" s="144" t="inlineStr">
        <is>
          <t>BOX</t>
        </is>
      </c>
      <c r="F677" s="144" t="inlineStr">
        <is>
          <t>A60378 KY</t>
        </is>
      </c>
      <c r="G677" s="144" t="inlineStr">
        <is>
          <t>RED FREIGHTLINER</t>
        </is>
      </c>
      <c r="H677" s="144" t="n">
        <v>1221</v>
      </c>
      <c r="I677" s="144" t="inlineStr">
        <is>
          <t>COMMERCIAL</t>
        </is>
      </c>
    </row>
    <row r="678" ht="18" customHeight="1" s="7">
      <c r="A678" s="144" t="inlineStr">
        <is>
          <t>CHARLIE GRAHAM JR</t>
        </is>
      </c>
      <c r="B678" s="144" t="inlineStr">
        <is>
          <t>*049897237 GA</t>
        </is>
      </c>
      <c r="C678" s="144" t="inlineStr">
        <is>
          <t>GRAHAM TRUCKING</t>
        </is>
      </c>
      <c r="D678" s="144" t="n">
        <v>2293957447</v>
      </c>
      <c r="E678" s="144" t="inlineStr">
        <is>
          <t>FLAT</t>
        </is>
      </c>
      <c r="F678" s="144" t="inlineStr">
        <is>
          <t>C083DN GA</t>
        </is>
      </c>
      <c r="G678" s="144" t="inlineStr">
        <is>
          <t>ORANGE KENWORTH</t>
        </is>
      </c>
      <c r="H678" s="144" t="n">
        <v>1221</v>
      </c>
      <c r="I678" s="144" t="inlineStr">
        <is>
          <t>COMMERCIAL</t>
        </is>
      </c>
    </row>
    <row r="679" ht="18" customHeight="1" s="7">
      <c r="A679" s="144" t="inlineStr">
        <is>
          <t>TAIT JAMES</t>
        </is>
      </c>
      <c r="B679" s="144" t="inlineStr">
        <is>
          <t>T2443459080000 FL</t>
        </is>
      </c>
      <c r="C679" s="144" t="inlineStr">
        <is>
          <t>AAT CARRIERS</t>
        </is>
      </c>
      <c r="D679" s="144" t="n">
        <v>8864818618</v>
      </c>
      <c r="E679" s="144" t="inlineStr">
        <is>
          <t>BOX</t>
        </is>
      </c>
      <c r="F679" s="144" t="inlineStr">
        <is>
          <t>3357494 IN</t>
        </is>
      </c>
      <c r="G679" s="144" t="inlineStr">
        <is>
          <t>WHITE VOLVO</t>
        </is>
      </c>
      <c r="H679" s="144" t="n">
        <v>1221</v>
      </c>
      <c r="I679" s="144" t="inlineStr">
        <is>
          <t>COMMERCIAL</t>
        </is>
      </c>
    </row>
    <row r="680" ht="18" customHeight="1" s="7">
      <c r="A680" s="144" t="inlineStr">
        <is>
          <t>HAJJI TAREK</t>
        </is>
      </c>
      <c r="B680" s="144" t="inlineStr">
        <is>
          <t>827176227 NY</t>
        </is>
      </c>
      <c r="C680" s="144" t="inlineStr">
        <is>
          <t>T.H CITY 2 CITY</t>
        </is>
      </c>
      <c r="D680" s="144" t="n">
        <v>9296323138</v>
      </c>
      <c r="E680" s="144" t="inlineStr">
        <is>
          <t>VAN</t>
        </is>
      </c>
      <c r="F680" s="144" t="inlineStr">
        <is>
          <t>307CVU IN</t>
        </is>
      </c>
      <c r="G680" s="144" t="inlineStr">
        <is>
          <t>WHITE FORD</t>
        </is>
      </c>
      <c r="H680" s="144" t="n">
        <v>1221</v>
      </c>
      <c r="I680" s="144" t="inlineStr">
        <is>
          <t>COMMERCIAL</t>
        </is>
      </c>
    </row>
    <row r="681" ht="18" customHeight="1" s="7">
      <c r="A681" s="144" t="inlineStr">
        <is>
          <t>MICHAEL HALL</t>
        </is>
      </c>
      <c r="B681" s="144" t="inlineStr">
        <is>
          <t>*049803794 GA</t>
        </is>
      </c>
      <c r="C681" s="144" t="inlineStr">
        <is>
          <t>GA POWER</t>
        </is>
      </c>
      <c r="D681" s="144" t="n">
        <v>2293761865</v>
      </c>
      <c r="E681" s="144" t="inlineStr">
        <is>
          <t>PU</t>
        </is>
      </c>
      <c r="F681" s="144" t="inlineStr">
        <is>
          <t>CRG6238 GA</t>
        </is>
      </c>
      <c r="G681" s="144" t="inlineStr">
        <is>
          <t>WHITE FORD</t>
        </is>
      </c>
      <c r="H681" s="144" t="inlineStr">
        <is>
          <t>SUBSTATION</t>
        </is>
      </c>
      <c r="I681" s="144" t="inlineStr">
        <is>
          <t xml:space="preserve">CONTRACTOR </t>
        </is>
      </c>
    </row>
    <row r="682" ht="18" customHeight="1" s="7">
      <c r="A682" s="144" t="inlineStr">
        <is>
          <t>DAVIS AARON</t>
        </is>
      </c>
      <c r="B682" s="144" t="inlineStr">
        <is>
          <t>D120012734030 FL</t>
        </is>
      </c>
      <c r="C682" s="144" t="inlineStr">
        <is>
          <t>MJW</t>
        </is>
      </c>
      <c r="D682" s="144" t="n">
        <v>4022143263</v>
      </c>
      <c r="E682" s="144" t="inlineStr">
        <is>
          <t>VAN</t>
        </is>
      </c>
      <c r="F682" s="144" t="inlineStr">
        <is>
          <t>RQLY75 FL</t>
        </is>
      </c>
      <c r="G682" s="144" t="inlineStr">
        <is>
          <t>WHITE FORD</t>
        </is>
      </c>
      <c r="H682" s="144" t="inlineStr">
        <is>
          <t>2500 BROOM BLVD</t>
        </is>
      </c>
      <c r="I682" s="144" t="inlineStr">
        <is>
          <t xml:space="preserve">CONTRACTOR </t>
        </is>
      </c>
    </row>
    <row r="683" ht="18" customHeight="1" s="7">
      <c r="A683" s="144" t="inlineStr">
        <is>
          <t>HOPPER RICHARD</t>
        </is>
      </c>
      <c r="B683" s="144" t="inlineStr">
        <is>
          <t>127077860 TN</t>
        </is>
      </c>
      <c r="C683" s="144" t="inlineStr">
        <is>
          <t>HURST INVESTMENT</t>
        </is>
      </c>
      <c r="D683" s="144" t="n">
        <v>7316144071</v>
      </c>
      <c r="E683" s="144" t="inlineStr">
        <is>
          <t>PU</t>
        </is>
      </c>
      <c r="F683" s="144" t="inlineStr">
        <is>
          <t>286BMNL TN</t>
        </is>
      </c>
      <c r="G683" s="144" t="inlineStr">
        <is>
          <t>WHITE DODGE</t>
        </is>
      </c>
      <c r="H683" s="144" t="n">
        <v>1221</v>
      </c>
      <c r="I683" s="144" t="inlineStr">
        <is>
          <t xml:space="preserve">CONTRACTOR </t>
        </is>
      </c>
    </row>
    <row r="684" ht="18" customHeight="1" s="7">
      <c r="A684" s="144" t="inlineStr">
        <is>
          <t>SHALONDRA SCOTT</t>
        </is>
      </c>
      <c r="B684" s="144" t="inlineStr">
        <is>
          <t>*052343026 GA</t>
        </is>
      </c>
      <c r="C684" s="144" t="inlineStr">
        <is>
          <t>XPO LOGISTICS</t>
        </is>
      </c>
      <c r="D684" s="144" t="n">
        <v>2292555721</v>
      </c>
      <c r="E684" s="144" t="inlineStr">
        <is>
          <t>BOX</t>
        </is>
      </c>
      <c r="F684" s="144" t="inlineStr">
        <is>
          <t>3556942 IN</t>
        </is>
      </c>
      <c r="G684" s="144" t="inlineStr">
        <is>
          <t>WHITE FREIGHTLINER</t>
        </is>
      </c>
      <c r="H684" s="144" t="n">
        <v>1330</v>
      </c>
      <c r="I684" s="144" t="inlineStr">
        <is>
          <t>COMMERCIAL</t>
        </is>
      </c>
    </row>
    <row r="685" ht="18" customHeight="1" s="7">
      <c r="A685" s="144" t="inlineStr">
        <is>
          <t>MUNIN ABDULLAHI</t>
        </is>
      </c>
      <c r="B685" s="144" t="inlineStr">
        <is>
          <t>M17959473 KY</t>
        </is>
      </c>
      <c r="C685" s="144" t="inlineStr">
        <is>
          <t>SUBANE</t>
        </is>
      </c>
      <c r="D685" s="144" t="n">
        <v>5022658685</v>
      </c>
      <c r="E685" s="144" t="inlineStr">
        <is>
          <t>BOX</t>
        </is>
      </c>
      <c r="F685" s="144" t="inlineStr">
        <is>
          <t>005213A KY</t>
        </is>
      </c>
      <c r="G685" s="144" t="inlineStr">
        <is>
          <t>WHITE FREIGHTLINER</t>
        </is>
      </c>
      <c r="H685" s="144" t="n">
        <v>1221</v>
      </c>
      <c r="I685" s="144" t="inlineStr">
        <is>
          <t>COMMERCIAL</t>
        </is>
      </c>
    </row>
    <row r="686" ht="18" customHeight="1" s="7">
      <c r="A686" s="144" t="inlineStr">
        <is>
          <t xml:space="preserve">SAMUEL GEBREMICHAEL </t>
        </is>
      </c>
      <c r="B686" s="144" t="inlineStr">
        <is>
          <t>*059049074 GA</t>
        </is>
      </c>
      <c r="C686" s="144" t="inlineStr">
        <is>
          <t>SEPHORA TRUCKING</t>
        </is>
      </c>
      <c r="D686" s="144" t="n">
        <v>3125054238</v>
      </c>
      <c r="E686" s="144" t="inlineStr">
        <is>
          <t>BOX</t>
        </is>
      </c>
      <c r="F686" s="144" t="inlineStr">
        <is>
          <t>C959EW GA</t>
        </is>
      </c>
      <c r="G686" s="144" t="inlineStr">
        <is>
          <t>GRAY FREIGHT</t>
        </is>
      </c>
      <c r="H686" s="144" t="n">
        <v>1221</v>
      </c>
      <c r="I686" s="144" t="inlineStr">
        <is>
          <t>COMMERCIAL</t>
        </is>
      </c>
    </row>
    <row r="687" ht="18" customHeight="1" s="7">
      <c r="A687" s="144" t="inlineStr">
        <is>
          <t>ASHER OWEN</t>
        </is>
      </c>
      <c r="B687" s="144" t="inlineStr">
        <is>
          <t>RK028558 OH</t>
        </is>
      </c>
      <c r="C687" s="144" t="inlineStr">
        <is>
          <t>VATAN CARGO</t>
        </is>
      </c>
      <c r="D687" s="144" t="n">
        <v>7408917450</v>
      </c>
      <c r="E687" s="144" t="inlineStr">
        <is>
          <t>BOX</t>
        </is>
      </c>
      <c r="F687" s="144" t="inlineStr">
        <is>
          <t>PWM4228 OH</t>
        </is>
      </c>
      <c r="G687" s="144" t="inlineStr">
        <is>
          <t>GRAY FREIGHT</t>
        </is>
      </c>
      <c r="H687" s="144" t="n">
        <v>1221</v>
      </c>
      <c r="I687" s="144" t="inlineStr">
        <is>
          <t>COMMERCIAL</t>
        </is>
      </c>
    </row>
    <row r="688" ht="18" customHeight="1" s="7">
      <c r="A688" s="144" t="inlineStr">
        <is>
          <t>GUSSENOV DURSUN</t>
        </is>
      </c>
      <c r="B688" s="144" t="inlineStr">
        <is>
          <t>S28914416 MA</t>
        </is>
      </c>
      <c r="C688" s="144" t="inlineStr">
        <is>
          <t>1ST CHOICE</t>
        </is>
      </c>
      <c r="D688" s="144" t="n">
        <v>4132975505</v>
      </c>
      <c r="E688" s="144" t="inlineStr">
        <is>
          <t>FLAT</t>
        </is>
      </c>
      <c r="F688" s="144" t="inlineStr">
        <is>
          <t>1AC31S MA</t>
        </is>
      </c>
      <c r="G688" s="144" t="inlineStr">
        <is>
          <t>BLUE KENWORTH</t>
        </is>
      </c>
      <c r="H688" s="144" t="n">
        <v>1221</v>
      </c>
      <c r="I688" s="144" t="inlineStr">
        <is>
          <t>COMMERCIAL</t>
        </is>
      </c>
    </row>
    <row r="689" ht="18" customHeight="1" s="7">
      <c r="A689" s="144" t="inlineStr">
        <is>
          <t>MAMUYA YOHANE</t>
        </is>
      </c>
      <c r="B689" s="144" t="inlineStr">
        <is>
          <t>*038305864 CT</t>
        </is>
      </c>
      <c r="C689" s="144" t="inlineStr">
        <is>
          <t>LJM INTER</t>
        </is>
      </c>
      <c r="D689" s="144" t="n">
        <v>2032430841</v>
      </c>
      <c r="E689" s="144" t="inlineStr">
        <is>
          <t>BOX</t>
        </is>
      </c>
      <c r="F689" s="144" t="inlineStr">
        <is>
          <t>AW840N NJ</t>
        </is>
      </c>
      <c r="G689" s="144" t="inlineStr">
        <is>
          <t>GREEN FREIGHTLINER</t>
        </is>
      </c>
      <c r="H689" s="144" t="n">
        <v>1221</v>
      </c>
      <c r="I689" s="144" t="inlineStr">
        <is>
          <t>COMMERCIAL</t>
        </is>
      </c>
    </row>
    <row r="690" ht="18" customHeight="1" s="7">
      <c r="A690" s="144" t="inlineStr">
        <is>
          <t>HOLLAND CURTIS III</t>
        </is>
      </c>
      <c r="B690" s="144" t="inlineStr">
        <is>
          <t>H453100861100 FL</t>
        </is>
      </c>
      <c r="C690" s="144" t="inlineStr">
        <is>
          <t>BLK PREIMER TRUCKING</t>
        </is>
      </c>
      <c r="D690" s="144" t="n">
        <v>3212407560</v>
      </c>
      <c r="E690" s="144" t="inlineStr">
        <is>
          <t>PU</t>
        </is>
      </c>
      <c r="F690" s="144" t="inlineStr">
        <is>
          <t>77DWZT FL</t>
        </is>
      </c>
      <c r="G690" s="144" t="inlineStr">
        <is>
          <t>BLACK CHEVY</t>
        </is>
      </c>
      <c r="H690" s="144" t="n">
        <v>1221</v>
      </c>
      <c r="I690" s="144" t="inlineStr">
        <is>
          <t xml:space="preserve">CONTRACTOR </t>
        </is>
      </c>
    </row>
    <row r="691" ht="18" customHeight="1" s="7">
      <c r="A691" s="144" t="inlineStr">
        <is>
          <t>GREEN CLEON</t>
        </is>
      </c>
      <c r="B691" s="144" t="inlineStr">
        <is>
          <t>*006326230 LA</t>
        </is>
      </c>
      <c r="C691" s="144" t="inlineStr">
        <is>
          <t>YP&amp;A</t>
        </is>
      </c>
      <c r="D691" s="144" t="n">
        <v>3374513900</v>
      </c>
      <c r="E691" s="144" t="inlineStr">
        <is>
          <t>BOX</t>
        </is>
      </c>
      <c r="F691" s="144" t="inlineStr">
        <is>
          <t>P292696 LA</t>
        </is>
      </c>
      <c r="G691" s="144" t="inlineStr">
        <is>
          <t>WHITE INTER</t>
        </is>
      </c>
      <c r="H691" s="144" t="n">
        <v>1221</v>
      </c>
      <c r="I691" s="144" t="inlineStr">
        <is>
          <t>COMMERCIAL</t>
        </is>
      </c>
    </row>
    <row r="692" ht="18" customHeight="1" s="7">
      <c r="A692" s="144" t="inlineStr">
        <is>
          <t>MIHAJLOV GORAN</t>
        </is>
      </c>
      <c r="B692" s="144" t="inlineStr">
        <is>
          <t>M241280643380 FL</t>
        </is>
      </c>
      <c r="C692" s="144" t="inlineStr">
        <is>
          <t>LANDSTAR</t>
        </is>
      </c>
      <c r="D692" s="144" t="n">
        <v>9547020035</v>
      </c>
      <c r="E692" s="144" t="inlineStr">
        <is>
          <t>BOX</t>
        </is>
      </c>
      <c r="F692" s="144" t="inlineStr">
        <is>
          <t>3228723 IN</t>
        </is>
      </c>
      <c r="G692" s="144" t="inlineStr">
        <is>
          <t>RED KENWORTH</t>
        </is>
      </c>
      <c r="H692" s="144" t="n">
        <v>1221</v>
      </c>
      <c r="I692" s="144" t="inlineStr">
        <is>
          <t>COMMERCIAL</t>
        </is>
      </c>
    </row>
    <row r="693" ht="18" customHeight="1" s="7">
      <c r="A693" s="144" t="inlineStr">
        <is>
          <t>PAYTON LATOYA</t>
        </is>
      </c>
      <c r="B693" s="144" t="inlineStr">
        <is>
          <t>E205156025 MO</t>
        </is>
      </c>
      <c r="C693" s="144" t="inlineStr">
        <is>
          <t>BENNETT</t>
        </is>
      </c>
      <c r="D693" s="144" t="n">
        <v>8138931308</v>
      </c>
      <c r="E693" s="144" t="inlineStr">
        <is>
          <t>BOX</t>
        </is>
      </c>
      <c r="F693" s="144" t="inlineStr">
        <is>
          <t>P1254020 IL</t>
        </is>
      </c>
      <c r="G693" s="144" t="inlineStr">
        <is>
          <t>BLACK FREIGHT</t>
        </is>
      </c>
      <c r="H693" s="144" t="n">
        <v>1221</v>
      </c>
      <c r="I693" s="144" t="inlineStr">
        <is>
          <t>COMMERCIAL</t>
        </is>
      </c>
    </row>
    <row r="694" ht="18" customHeight="1" s="7">
      <c r="A694" s="144" t="inlineStr">
        <is>
          <t>JOHNSON BYRON</t>
        </is>
      </c>
      <c r="B694" s="144" t="inlineStr">
        <is>
          <t>*007972841 SC</t>
        </is>
      </c>
      <c r="C694" s="144" t="inlineStr">
        <is>
          <t>GOZAL INC</t>
        </is>
      </c>
      <c r="D694" s="144" t="n">
        <v>8436187923</v>
      </c>
      <c r="E694" s="144" t="inlineStr">
        <is>
          <t>BOX</t>
        </is>
      </c>
      <c r="F694" s="144" t="inlineStr">
        <is>
          <t>3267718 IN</t>
        </is>
      </c>
      <c r="G694" s="144" t="inlineStr">
        <is>
          <t>WHITE FREIGHTLINER</t>
        </is>
      </c>
      <c r="H694" s="144" t="n">
        <v>1221</v>
      </c>
      <c r="I694" s="144" t="inlineStr">
        <is>
          <t>COMMERCIAL</t>
        </is>
      </c>
    </row>
    <row r="695" ht="18" customHeight="1" s="7">
      <c r="A695" s="144" t="inlineStr">
        <is>
          <t>PAYNE GERMAINE</t>
        </is>
      </c>
      <c r="B695" s="144" t="inlineStr">
        <is>
          <t>T65959507 VA</t>
        </is>
      </c>
      <c r="C695" s="144" t="inlineStr">
        <is>
          <t>WYLLIE</t>
        </is>
      </c>
      <c r="D695" s="144" t="n">
        <v>2525481968</v>
      </c>
      <c r="E695" s="144" t="inlineStr">
        <is>
          <t>FLAT</t>
        </is>
      </c>
      <c r="F695" s="144" t="inlineStr">
        <is>
          <t>46394P ND</t>
        </is>
      </c>
      <c r="G695" s="144" t="inlineStr">
        <is>
          <t>RED PETERBILT</t>
        </is>
      </c>
      <c r="H695" s="144" t="n">
        <v>1221</v>
      </c>
      <c r="I695" s="144" t="inlineStr">
        <is>
          <t>COMMERCIAL</t>
        </is>
      </c>
    </row>
    <row r="696" ht="18" customHeight="1" s="7">
      <c r="A696" s="144" t="inlineStr">
        <is>
          <t>LADYAMOND MARTIN</t>
        </is>
      </c>
      <c r="B696" s="144" t="inlineStr">
        <is>
          <t>*061228582 GA</t>
        </is>
      </c>
      <c r="C696" s="144" t="inlineStr">
        <is>
          <t>RYDER</t>
        </is>
      </c>
      <c r="D696" s="144" t="n">
        <v>4703345072</v>
      </c>
      <c r="E696" s="144" t="inlineStr">
        <is>
          <t>BOX</t>
        </is>
      </c>
      <c r="F696" s="144" t="inlineStr">
        <is>
          <t>YRI508 GA</t>
        </is>
      </c>
      <c r="G696" s="144" t="inlineStr">
        <is>
          <t>WHITE FREIGHTLINER</t>
        </is>
      </c>
      <c r="H696" s="144" t="n">
        <v>1350</v>
      </c>
      <c r="I696" s="144" t="inlineStr">
        <is>
          <t>COMMERCIAL</t>
        </is>
      </c>
    </row>
    <row r="697" ht="18" customHeight="1" s="7">
      <c r="A697" s="144" t="inlineStr">
        <is>
          <t>STEVEN POWELL</t>
        </is>
      </c>
      <c r="B697" s="144" t="inlineStr">
        <is>
          <t>*054423402 GA</t>
        </is>
      </c>
      <c r="C697" s="144" t="inlineStr">
        <is>
          <t>RELCO</t>
        </is>
      </c>
      <c r="D697" s="144" t="n">
        <v>2299775636</v>
      </c>
      <c r="E697" s="144" t="inlineStr">
        <is>
          <t>PU</t>
        </is>
      </c>
      <c r="F697" s="144" t="inlineStr">
        <is>
          <t>C560EY GA</t>
        </is>
      </c>
      <c r="G697" s="144" t="inlineStr">
        <is>
          <t>WHITE DODGE</t>
        </is>
      </c>
      <c r="H697" s="144" t="n">
        <v>1221</v>
      </c>
      <c r="I697" s="144" t="inlineStr">
        <is>
          <t xml:space="preserve">CONTRACTOR </t>
        </is>
      </c>
    </row>
    <row r="698" ht="18" customHeight="1" s="7">
      <c r="A698" s="144" t="inlineStr">
        <is>
          <t xml:space="preserve">NATHEY KYLAN </t>
        </is>
      </c>
      <c r="B698" s="144" t="inlineStr">
        <is>
          <t>N300291681820 FL</t>
        </is>
      </c>
      <c r="C698" s="144" t="inlineStr">
        <is>
          <t>SPRINGHILL</t>
        </is>
      </c>
      <c r="D698" s="144" t="n">
        <v>8507768743</v>
      </c>
      <c r="E698" s="144" t="inlineStr">
        <is>
          <t>PU</t>
        </is>
      </c>
      <c r="F698" s="144" t="inlineStr">
        <is>
          <t>324RNB FL</t>
        </is>
      </c>
      <c r="G698" s="144" t="inlineStr">
        <is>
          <t>WHITE DODGE</t>
        </is>
      </c>
      <c r="H698" s="144" t="inlineStr">
        <is>
          <t>PUBLIC WORKS</t>
        </is>
      </c>
      <c r="I698" s="144" t="inlineStr">
        <is>
          <t xml:space="preserve">CONTRACTOR </t>
        </is>
      </c>
    </row>
    <row r="699" ht="18" customHeight="1" s="7">
      <c r="A699" s="144" t="inlineStr">
        <is>
          <t>ACHAANANE MOHAMED</t>
        </is>
      </c>
      <c r="B699" s="144" t="inlineStr">
        <is>
          <t>*A12895600003892 NJ</t>
        </is>
      </c>
      <c r="C699" s="144" t="inlineStr">
        <is>
          <t>USA CARGO</t>
        </is>
      </c>
      <c r="D699" s="144" t="n">
        <v>8623878263</v>
      </c>
      <c r="E699" s="144" t="inlineStr">
        <is>
          <t>FLAT</t>
        </is>
      </c>
      <c r="F699" s="144" t="inlineStr">
        <is>
          <t>AW511R NJ</t>
        </is>
      </c>
      <c r="G699" s="144" t="inlineStr">
        <is>
          <t>WHITE VOVLO</t>
        </is>
      </c>
      <c r="H699" s="144" t="n">
        <v>1221</v>
      </c>
      <c r="I699" s="144" t="inlineStr">
        <is>
          <t>COMMERCIAL</t>
        </is>
      </c>
    </row>
    <row r="700" ht="18" customHeight="1" s="7">
      <c r="A700" s="144" t="inlineStr">
        <is>
          <t>BOGANS ALPHONSO</t>
        </is>
      </c>
      <c r="B700" s="144" t="inlineStr">
        <is>
          <t>*055665370 GA</t>
        </is>
      </c>
      <c r="C700" s="144" t="inlineStr">
        <is>
          <t>CITY OF ALBANY</t>
        </is>
      </c>
      <c r="D700" s="144" t="n">
        <v>2292884452</v>
      </c>
      <c r="E700" s="144" t="inlineStr">
        <is>
          <t>PU</t>
        </is>
      </c>
      <c r="F700" s="144" t="inlineStr">
        <is>
          <t>GV3465Q GA</t>
        </is>
      </c>
      <c r="G700" s="144" t="inlineStr">
        <is>
          <t>WHITE FORD</t>
        </is>
      </c>
      <c r="H700" s="144" t="n">
        <v>1600</v>
      </c>
      <c r="I700" s="144" t="inlineStr">
        <is>
          <t xml:space="preserve">CONTRACTOR </t>
        </is>
      </c>
    </row>
    <row r="701" ht="18" customHeight="1" s="7">
      <c r="A701" s="144" t="inlineStr">
        <is>
          <t>LONDON TRAVIS</t>
        </is>
      </c>
      <c r="B701" s="144" t="inlineStr">
        <is>
          <t>*000008792549 NC</t>
        </is>
      </c>
      <c r="C701" s="144" t="inlineStr">
        <is>
          <t>BANKS AND SONS</t>
        </is>
      </c>
      <c r="D701" s="144" t="n">
        <v>9197808388</v>
      </c>
      <c r="E701" s="144" t="inlineStr">
        <is>
          <t>FLAT</t>
        </is>
      </c>
      <c r="F701" s="144" t="inlineStr">
        <is>
          <t>VT2245 NC</t>
        </is>
      </c>
      <c r="G701" s="144" t="inlineStr">
        <is>
          <t>SILVER PETERBILT</t>
        </is>
      </c>
      <c r="H701" s="144" t="n">
        <v>1221</v>
      </c>
      <c r="I701" s="144" t="inlineStr">
        <is>
          <t>COMMERCIAL</t>
        </is>
      </c>
    </row>
    <row r="702" ht="18" customHeight="1" s="7">
      <c r="A702" s="144" t="inlineStr">
        <is>
          <t>SAVOIA MICHAEL</t>
        </is>
      </c>
      <c r="B702" s="144" t="inlineStr">
        <is>
          <t>22757259 PA</t>
        </is>
      </c>
      <c r="C702" s="144" t="inlineStr">
        <is>
          <t xml:space="preserve">BILL ARNOLD </t>
        </is>
      </c>
      <c r="D702" s="144" t="n">
        <v>8144345998</v>
      </c>
      <c r="E702" s="144" t="inlineStr">
        <is>
          <t>FLAT</t>
        </is>
      </c>
      <c r="F702" s="144" t="inlineStr">
        <is>
          <t>FZ1004 IO</t>
        </is>
      </c>
      <c r="G702" s="144" t="inlineStr">
        <is>
          <t>SILVER KW</t>
        </is>
      </c>
      <c r="H702" s="144" t="n">
        <v>1221</v>
      </c>
      <c r="I702" s="144" t="inlineStr">
        <is>
          <t>COMMERCIAL</t>
        </is>
      </c>
    </row>
    <row r="703" ht="18" customHeight="1" s="7">
      <c r="A703" s="144" t="inlineStr">
        <is>
          <t>ROSS THOMAS</t>
        </is>
      </c>
      <c r="B703" s="144" t="inlineStr">
        <is>
          <t>*051417822 GA</t>
        </is>
      </c>
      <c r="C703" s="144" t="inlineStr">
        <is>
          <t>ERG</t>
        </is>
      </c>
      <c r="D703" s="144" t="n">
        <v>229398702</v>
      </c>
      <c r="E703" s="144" t="inlineStr">
        <is>
          <t>PU</t>
        </is>
      </c>
      <c r="F703" s="144" t="inlineStr">
        <is>
          <t>08AFJD FL</t>
        </is>
      </c>
      <c r="G703" s="144" t="inlineStr">
        <is>
          <t>WHITE FORD</t>
        </is>
      </c>
      <c r="H703" s="144" t="n">
        <v>5018</v>
      </c>
      <c r="I703" s="144" t="inlineStr">
        <is>
          <t xml:space="preserve">CONTRACTOR </t>
        </is>
      </c>
    </row>
    <row r="704" ht="18" customHeight="1" s="7">
      <c r="A704" s="144" t="inlineStr">
        <is>
          <t xml:space="preserve">SHAWN OBRIEN </t>
        </is>
      </c>
      <c r="B704" s="144" t="inlineStr">
        <is>
          <t>O2205624340000 FL</t>
        </is>
      </c>
      <c r="C704" s="144" t="inlineStr">
        <is>
          <t>HASKELL</t>
        </is>
      </c>
      <c r="D704" s="144" t="n">
        <v>9047591409</v>
      </c>
      <c r="E704" s="144" t="inlineStr">
        <is>
          <t>PU</t>
        </is>
      </c>
      <c r="F704" s="144" t="inlineStr">
        <is>
          <t>GZVU94 FL</t>
        </is>
      </c>
      <c r="G704" s="144" t="inlineStr">
        <is>
          <t>BLACK CHEVY</t>
        </is>
      </c>
      <c r="H704" s="144" t="n">
        <v>2215</v>
      </c>
      <c r="I704" s="144" t="inlineStr">
        <is>
          <t xml:space="preserve">CONTRACTOR </t>
        </is>
      </c>
    </row>
    <row r="705" ht="18" customHeight="1" s="7">
      <c r="A705" s="144" t="inlineStr">
        <is>
          <t>CHRISTOPHER JACKSON</t>
        </is>
      </c>
      <c r="B705" s="144" t="inlineStr">
        <is>
          <t>*050984434 GA</t>
        </is>
      </c>
      <c r="C705" s="144" t="inlineStr">
        <is>
          <t>BUFFALO ROCK</t>
        </is>
      </c>
      <c r="D705" s="144" t="n">
        <v>2293145111</v>
      </c>
      <c r="E705" s="144" t="inlineStr">
        <is>
          <t>PU</t>
        </is>
      </c>
      <c r="F705" s="144" t="inlineStr">
        <is>
          <t>CLF5256 GA</t>
        </is>
      </c>
      <c r="G705" s="144" t="inlineStr">
        <is>
          <t>WHITE FORD</t>
        </is>
      </c>
      <c r="H705" s="144" t="n">
        <v>2200</v>
      </c>
      <c r="I705" s="144" t="inlineStr">
        <is>
          <t xml:space="preserve">CONTRACTOR </t>
        </is>
      </c>
    </row>
    <row r="706" ht="18" customHeight="1" s="7">
      <c r="A706" s="144" t="inlineStr">
        <is>
          <t>JIMALL KILLINGS</t>
        </is>
      </c>
      <c r="B706" s="144" t="inlineStr">
        <is>
          <t>*052984073 GA</t>
        </is>
      </c>
      <c r="C706" s="144" t="inlineStr">
        <is>
          <t>WASTE MANGMENT</t>
        </is>
      </c>
      <c r="D706" s="144" t="n">
        <v>2299472535</v>
      </c>
      <c r="E706" s="144" t="inlineStr">
        <is>
          <t>FLAT</t>
        </is>
      </c>
      <c r="F706" s="144" t="inlineStr">
        <is>
          <t>GBX678 GA</t>
        </is>
      </c>
      <c r="G706" s="144" t="inlineStr">
        <is>
          <t>WHITE PETERBILT</t>
        </is>
      </c>
      <c r="H706" s="144" t="n">
        <v>1221</v>
      </c>
      <c r="I706" s="144" t="inlineStr">
        <is>
          <t>COMMERCIAL</t>
        </is>
      </c>
    </row>
    <row r="707" ht="18" customHeight="1" s="7">
      <c r="A707" s="144" t="inlineStr">
        <is>
          <t>ERIC WILLIAMS</t>
        </is>
      </c>
      <c r="B707" s="144" t="inlineStr">
        <is>
          <t>*000023399365 NC</t>
        </is>
      </c>
      <c r="C707" s="144" t="inlineStr">
        <is>
          <t>WYLIE</t>
        </is>
      </c>
      <c r="D707" s="144" t="n">
        <v>9842049149</v>
      </c>
      <c r="E707" s="144" t="inlineStr">
        <is>
          <t>FLAT</t>
        </is>
      </c>
      <c r="F707" s="144" t="inlineStr">
        <is>
          <t>32641P ND</t>
        </is>
      </c>
      <c r="G707" s="144" t="inlineStr">
        <is>
          <t>RED PETERBILT</t>
        </is>
      </c>
      <c r="H707" s="144" t="n">
        <v>1221</v>
      </c>
      <c r="I707" s="144" t="inlineStr">
        <is>
          <t>COMMERCIAL</t>
        </is>
      </c>
    </row>
    <row r="708" ht="18" customHeight="1" s="7">
      <c r="A708" s="144" t="inlineStr">
        <is>
          <t>ROLLIE MORENCY</t>
        </is>
      </c>
      <c r="B708" s="144" t="inlineStr">
        <is>
          <t>R400733994190 FL</t>
        </is>
      </c>
      <c r="C708" s="144" t="inlineStr">
        <is>
          <t>AKI LOGISTICS</t>
        </is>
      </c>
      <c r="D708" s="144" t="n">
        <v>7542286499</v>
      </c>
      <c r="E708" s="144" t="inlineStr">
        <is>
          <t>BOX</t>
        </is>
      </c>
      <c r="F708" s="144" t="inlineStr">
        <is>
          <t>P1254260 IL</t>
        </is>
      </c>
      <c r="G708" s="144" t="inlineStr">
        <is>
          <t>WHITE FL</t>
        </is>
      </c>
      <c r="H708" s="144" t="n">
        <v>1221</v>
      </c>
      <c r="I708" s="144" t="inlineStr">
        <is>
          <t>COMMERCIAL</t>
        </is>
      </c>
    </row>
    <row r="709" ht="18" customHeight="1" s="7">
      <c r="A709" s="144" t="inlineStr">
        <is>
          <t>QUISENBERRY DALE</t>
        </is>
      </c>
      <c r="B709" s="144" t="inlineStr">
        <is>
          <t>13876994 TX</t>
        </is>
      </c>
      <c r="C709" s="144" t="inlineStr">
        <is>
          <t>DIAMOND</t>
        </is>
      </c>
      <c r="D709" s="144" t="n">
        <v>9408397781</v>
      </c>
      <c r="E709" s="144" t="inlineStr">
        <is>
          <t>FLAT</t>
        </is>
      </c>
      <c r="F709" s="144" t="inlineStr">
        <is>
          <t>517037 WI</t>
        </is>
      </c>
      <c r="G709" s="144" t="inlineStr">
        <is>
          <t>GREEN PETER</t>
        </is>
      </c>
      <c r="H709" s="144" t="n">
        <v>1221</v>
      </c>
      <c r="I709" s="144" t="inlineStr">
        <is>
          <t>COMMERCIAL</t>
        </is>
      </c>
    </row>
    <row r="710" ht="18" customHeight="1" s="7">
      <c r="A710" s="144" t="inlineStr">
        <is>
          <t>FELIX HALL</t>
        </is>
      </c>
      <c r="B710" s="144" t="inlineStr">
        <is>
          <t>*055515638 GA</t>
        </is>
      </c>
      <c r="C710" s="144" t="inlineStr">
        <is>
          <t>HALL TOWING</t>
        </is>
      </c>
      <c r="D710" s="144" t="n">
        <v>2292914192</v>
      </c>
      <c r="E710" s="144" t="inlineStr">
        <is>
          <t>TOW</t>
        </is>
      </c>
      <c r="F710" s="144" t="inlineStr">
        <is>
          <t>GMK624 GA</t>
        </is>
      </c>
      <c r="G710" s="144" t="inlineStr">
        <is>
          <t>BLACK FORD</t>
        </is>
      </c>
      <c r="H710" s="144" t="inlineStr">
        <is>
          <t>GATE 2/5</t>
        </is>
      </c>
      <c r="I710" s="144" t="inlineStr">
        <is>
          <t>COMMERCIAL</t>
        </is>
      </c>
    </row>
    <row r="711" ht="18" customHeight="1" s="7">
      <c r="A711" s="144" t="inlineStr">
        <is>
          <t>RANDY CAMPBELL</t>
        </is>
      </c>
      <c r="B711" s="144" t="inlineStr">
        <is>
          <t>A60592019 VA</t>
        </is>
      </c>
      <c r="C711" s="144" t="inlineStr">
        <is>
          <t>BENNETT</t>
        </is>
      </c>
      <c r="D711" s="144" t="n">
        <v>7572276680</v>
      </c>
      <c r="E711" s="144" t="inlineStr">
        <is>
          <t>BOX</t>
        </is>
      </c>
      <c r="F711" s="144" t="inlineStr">
        <is>
          <t>U1141HY TN</t>
        </is>
      </c>
      <c r="G711" s="144" t="inlineStr">
        <is>
          <t>RED FREIGHT</t>
        </is>
      </c>
      <c r="H711" s="144" t="n">
        <v>1221</v>
      </c>
      <c r="I711" s="144" t="inlineStr">
        <is>
          <t>COMMERCIAL</t>
        </is>
      </c>
    </row>
    <row r="712" ht="18" customHeight="1" s="7">
      <c r="A712" s="144" t="inlineStr">
        <is>
          <t>DZHAIDBEK DZHAKHIDOV</t>
        </is>
      </c>
      <c r="B712" s="144" t="inlineStr">
        <is>
          <t>*052948326 GA</t>
        </is>
      </c>
      <c r="C712" s="144" t="inlineStr">
        <is>
          <t>FAST TRANSP.</t>
        </is>
      </c>
      <c r="D712" s="144" t="n">
        <v>4046424747</v>
      </c>
      <c r="E712" s="144" t="inlineStr">
        <is>
          <t>BOX</t>
        </is>
      </c>
      <c r="F712" s="144" t="inlineStr">
        <is>
          <t>C361EK GA</t>
        </is>
      </c>
      <c r="G712" s="144" t="inlineStr">
        <is>
          <t>BLUE VOLVO</t>
        </is>
      </c>
      <c r="H712" s="144" t="n">
        <v>1221</v>
      </c>
      <c r="I712" s="144" t="inlineStr">
        <is>
          <t>COMMERCIAL</t>
        </is>
      </c>
    </row>
    <row r="713" ht="18" customHeight="1" s="7">
      <c r="A713" s="144" t="inlineStr">
        <is>
          <t>AMBER GILMORE</t>
        </is>
      </c>
      <c r="B713" s="144" t="inlineStr">
        <is>
          <t>*000038232822 NC</t>
        </is>
      </c>
      <c r="C713" s="144" t="inlineStr">
        <is>
          <t>STOLEY'S TRUCKING</t>
        </is>
      </c>
      <c r="D713" s="144" t="n">
        <v>9108182268</v>
      </c>
      <c r="E713" s="144" t="inlineStr">
        <is>
          <t>PU</t>
        </is>
      </c>
      <c r="F713" s="144" t="inlineStr">
        <is>
          <t>VV2585 NC</t>
        </is>
      </c>
      <c r="G713" s="144" t="inlineStr">
        <is>
          <t>BLUE DODGE</t>
        </is>
      </c>
      <c r="H713" s="144" t="n">
        <v>1221</v>
      </c>
      <c r="I713" s="144" t="inlineStr">
        <is>
          <t xml:space="preserve">CONTRACTOR </t>
        </is>
      </c>
    </row>
    <row r="714" ht="18" customHeight="1" s="7">
      <c r="A714" s="144" t="inlineStr">
        <is>
          <t>VAYID DZHAKHIDOV</t>
        </is>
      </c>
      <c r="B714" s="144" t="inlineStr">
        <is>
          <t>*054199105 GA</t>
        </is>
      </c>
      <c r="C714" s="144" t="inlineStr">
        <is>
          <t>VEYSEL TRUCKING</t>
        </is>
      </c>
      <c r="D714" s="144" t="n">
        <v>4706679992</v>
      </c>
      <c r="E714" s="144" t="inlineStr">
        <is>
          <t>BOX</t>
        </is>
      </c>
      <c r="F714" s="144" t="inlineStr">
        <is>
          <t>RP18927 WA</t>
        </is>
      </c>
      <c r="G714" s="144" t="inlineStr">
        <is>
          <t>BLACK VOLVO</t>
        </is>
      </c>
      <c r="H714" s="144" t="n">
        <v>1221</v>
      </c>
      <c r="I714" s="144" t="inlineStr">
        <is>
          <t>COMMERCIAL</t>
        </is>
      </c>
    </row>
    <row r="715" ht="18" customHeight="1" s="7">
      <c r="A715" s="144" t="inlineStr">
        <is>
          <t>ZOLOTARCHUK ANDRIY</t>
        </is>
      </c>
      <c r="B715" s="144" t="inlineStr">
        <is>
          <t>Z43600081264 IL</t>
        </is>
      </c>
      <c r="C715" s="144" t="inlineStr">
        <is>
          <t>ROUTE 1</t>
        </is>
      </c>
      <c r="D715" s="144" t="n">
        <v>8456719018</v>
      </c>
      <c r="E715" s="144" t="inlineStr">
        <is>
          <t>FLAT</t>
        </is>
      </c>
      <c r="F715" s="144" t="inlineStr">
        <is>
          <t>P1243796 IL</t>
        </is>
      </c>
      <c r="G715" s="144" t="inlineStr">
        <is>
          <t>RED VOLVO</t>
        </is>
      </c>
      <c r="H715" s="144" t="n">
        <v>1221</v>
      </c>
      <c r="I715" s="144" t="inlineStr">
        <is>
          <t>COMMERCIAL</t>
        </is>
      </c>
    </row>
    <row r="716" ht="18" customHeight="1" s="7">
      <c r="A716" s="144" t="inlineStr">
        <is>
          <t>TROY BOLDEN</t>
        </is>
      </c>
      <c r="B716" s="144" t="inlineStr">
        <is>
          <t>*08423837 TX</t>
        </is>
      </c>
      <c r="C716" s="144" t="inlineStr">
        <is>
          <t>ROCKWILD LOGISTICS</t>
        </is>
      </c>
      <c r="D716" s="144" t="n">
        <v>3463752506</v>
      </c>
      <c r="E716" s="144" t="inlineStr">
        <is>
          <t>PU</t>
        </is>
      </c>
      <c r="F716" s="144" t="inlineStr">
        <is>
          <t>VHJ0324 TX</t>
        </is>
      </c>
      <c r="G716" s="144" t="inlineStr">
        <is>
          <t>BLUE FORD</t>
        </is>
      </c>
      <c r="H716" s="144" t="n">
        <v>1351</v>
      </c>
      <c r="I716" s="144" t="inlineStr">
        <is>
          <t xml:space="preserve">CONTRACTOR </t>
        </is>
      </c>
    </row>
    <row r="717" ht="18" customHeight="1" s="7">
      <c r="A717" s="144" t="inlineStr">
        <is>
          <t>LAGUERRE STEEVE</t>
        </is>
      </c>
      <c r="B717" s="144" t="inlineStr">
        <is>
          <t>L260780963420</t>
        </is>
      </c>
      <c r="C717" s="144" t="inlineStr">
        <is>
          <t>BULL &amp; BEAR</t>
        </is>
      </c>
      <c r="D717" s="144" t="n">
        <v>4073166450</v>
      </c>
      <c r="E717" s="144" t="inlineStr">
        <is>
          <t>BOX</t>
        </is>
      </c>
      <c r="F717" s="144" t="inlineStr">
        <is>
          <t>P1220619 IL</t>
        </is>
      </c>
      <c r="G717" s="144" t="inlineStr">
        <is>
          <t>RED FREIGHT</t>
        </is>
      </c>
      <c r="H717" s="144" t="n">
        <v>1221</v>
      </c>
      <c r="I717" s="144" t="inlineStr">
        <is>
          <t>COMMERCIAL</t>
        </is>
      </c>
    </row>
    <row r="718" ht="18" customHeight="1" s="7">
      <c r="A718" s="144" t="inlineStr">
        <is>
          <t>PINKIE RAMBO</t>
        </is>
      </c>
      <c r="B718" s="144" t="inlineStr">
        <is>
          <t>*054312824 GA</t>
        </is>
      </c>
      <c r="C718" s="144" t="inlineStr">
        <is>
          <t>HADDENS FLOWERS</t>
        </is>
      </c>
      <c r="D718" s="144" t="n">
        <v>2294350209</v>
      </c>
      <c r="E718" s="144" t="inlineStr">
        <is>
          <t>VAN</t>
        </is>
      </c>
      <c r="F718" s="144" t="inlineStr">
        <is>
          <t>RJT9647 GA</t>
        </is>
      </c>
      <c r="G718" s="144" t="inlineStr">
        <is>
          <t>BLUE DODGE</t>
        </is>
      </c>
      <c r="H718" s="144" t="n">
        <v>7000</v>
      </c>
      <c r="I718" s="144" t="inlineStr">
        <is>
          <t xml:space="preserve">CONTRACTOR </t>
        </is>
      </c>
    </row>
    <row r="719" ht="18" customHeight="1" s="7">
      <c r="A719" s="144" t="inlineStr">
        <is>
          <t>MYRICK FAULK</t>
        </is>
      </c>
      <c r="B719" s="144" t="inlineStr">
        <is>
          <t>*055691402 GA</t>
        </is>
      </c>
      <c r="C719" s="144" t="inlineStr">
        <is>
          <t>SSS STEEL</t>
        </is>
      </c>
      <c r="D719" s="144" t="n">
        <v>4785388529</v>
      </c>
      <c r="E719" s="144" t="inlineStr">
        <is>
          <t>FLAT</t>
        </is>
      </c>
      <c r="F719" s="144" t="inlineStr">
        <is>
          <t>3565965 IN</t>
        </is>
      </c>
      <c r="G719" s="144" t="inlineStr">
        <is>
          <t>WHITE FREIGHTLINER</t>
        </is>
      </c>
      <c r="H719" s="144" t="n">
        <v>1330</v>
      </c>
      <c r="I719" s="144" t="inlineStr">
        <is>
          <t>COMMERCIAL</t>
        </is>
      </c>
    </row>
    <row r="720" ht="18" customHeight="1" s="7">
      <c r="A720" s="144" t="inlineStr">
        <is>
          <t>JARED JONES</t>
        </is>
      </c>
      <c r="B720" s="144" t="inlineStr">
        <is>
          <t>802107100 MS</t>
        </is>
      </c>
      <c r="C720" s="144" t="inlineStr">
        <is>
          <t>RIGHTWAY</t>
        </is>
      </c>
      <c r="D720" s="144" t="n">
        <v>7694440229</v>
      </c>
      <c r="E720" s="144" t="inlineStr">
        <is>
          <t>BOX</t>
        </is>
      </c>
      <c r="F720" s="144" t="inlineStr">
        <is>
          <t>A304028 MS</t>
        </is>
      </c>
      <c r="G720" s="144" t="inlineStr">
        <is>
          <t>WHITE FREIGHTLINER</t>
        </is>
      </c>
      <c r="H720" s="144" t="n">
        <v>1221</v>
      </c>
      <c r="I720" s="144" t="inlineStr">
        <is>
          <t>COMMERCIAL</t>
        </is>
      </c>
    </row>
    <row r="721" ht="18" customHeight="1" s="7">
      <c r="A721" s="144" t="inlineStr">
        <is>
          <t>SANTANA JOSE</t>
        </is>
      </c>
      <c r="B721" s="144" t="inlineStr">
        <is>
          <t>27517442 PA</t>
        </is>
      </c>
      <c r="C721" s="144" t="inlineStr">
        <is>
          <t>EDOS</t>
        </is>
      </c>
      <c r="D721" s="144" t="n">
        <v>6104138615</v>
      </c>
      <c r="E721" s="144" t="inlineStr">
        <is>
          <t>BOX</t>
        </is>
      </c>
      <c r="F721" s="144" t="inlineStr">
        <is>
          <t>AH48826 PA</t>
        </is>
      </c>
      <c r="G721" s="144" t="inlineStr">
        <is>
          <t>BLUE FREIGHTLINER</t>
        </is>
      </c>
      <c r="H721" s="144" t="n">
        <v>1221</v>
      </c>
      <c r="I721" s="144" t="inlineStr">
        <is>
          <t>COMMERCIAL</t>
        </is>
      </c>
    </row>
    <row r="722" ht="18" customHeight="1" s="7">
      <c r="A722" s="144" t="inlineStr">
        <is>
          <t>EUGENE GLENN</t>
        </is>
      </c>
      <c r="B722" s="144" t="inlineStr">
        <is>
          <t>*029031034 GA</t>
        </is>
      </c>
      <c r="C722" s="144" t="inlineStr">
        <is>
          <t>FULLER</t>
        </is>
      </c>
      <c r="D722" s="144" t="n">
        <v>2293311658</v>
      </c>
      <c r="E722" s="144" t="inlineStr">
        <is>
          <t>BOX</t>
        </is>
      </c>
      <c r="F722" s="144" t="inlineStr">
        <is>
          <t>GIU740 GA</t>
        </is>
      </c>
      <c r="G722" s="144" t="inlineStr">
        <is>
          <t>WHITE FL</t>
        </is>
      </c>
      <c r="H722" s="144" t="n">
        <v>1221</v>
      </c>
      <c r="I722" s="144" t="inlineStr">
        <is>
          <t>COMMERCIAL</t>
        </is>
      </c>
    </row>
    <row r="723" ht="18" customHeight="1" s="7">
      <c r="A723" s="144" t="inlineStr">
        <is>
          <t>RIVERA JOEL</t>
        </is>
      </c>
      <c r="B723" s="144" t="inlineStr">
        <is>
          <t>R162421762710 FL</t>
        </is>
      </c>
      <c r="C723" s="144" t="inlineStr">
        <is>
          <t>CASPARO</t>
        </is>
      </c>
      <c r="D723" s="144" t="n">
        <v>7873417122</v>
      </c>
      <c r="E723" s="144" t="inlineStr">
        <is>
          <t>FLAT</t>
        </is>
      </c>
      <c r="F723" s="144" t="inlineStr">
        <is>
          <t>XA371D FL</t>
        </is>
      </c>
      <c r="G723" s="144" t="inlineStr">
        <is>
          <t>BLUE KENWORTH</t>
        </is>
      </c>
      <c r="H723" s="144" t="n">
        <v>1221</v>
      </c>
      <c r="I723" s="144" t="inlineStr">
        <is>
          <t>COMMERCIAL</t>
        </is>
      </c>
    </row>
    <row r="724" ht="18" customHeight="1" s="7">
      <c r="A724" s="144" t="inlineStr">
        <is>
          <t>HARUTYUNYAN SHAMIR</t>
        </is>
      </c>
      <c r="B724" s="144" t="inlineStr">
        <is>
          <t>H635780862250 FL</t>
        </is>
      </c>
      <c r="C724" s="144" t="inlineStr">
        <is>
          <t>LES TRUCKING</t>
        </is>
      </c>
      <c r="D724" s="144" t="n">
        <v>7472574610</v>
      </c>
      <c r="E724" s="144" t="inlineStr">
        <is>
          <t>BOX</t>
        </is>
      </c>
      <c r="F724" s="144" t="inlineStr">
        <is>
          <t>P1192850 IL</t>
        </is>
      </c>
      <c r="G724" s="144" t="inlineStr">
        <is>
          <t>YELLOW FREIGHTLINER</t>
        </is>
      </c>
      <c r="H724" s="144" t="n">
        <v>1221</v>
      </c>
      <c r="I724" s="144" t="inlineStr">
        <is>
          <t>COMMERCIAL</t>
        </is>
      </c>
    </row>
    <row r="725" ht="18" customHeight="1" s="7">
      <c r="A725" s="144" t="inlineStr">
        <is>
          <t>BUSBEE AUSTIN</t>
        </is>
      </c>
      <c r="B725" s="144" t="inlineStr">
        <is>
          <t>B210008993740 FL</t>
        </is>
      </c>
      <c r="C725" s="144" t="inlineStr">
        <is>
          <t>TYSON</t>
        </is>
      </c>
      <c r="D725" s="144" t="n">
        <v>8507270082</v>
      </c>
      <c r="E725" s="144" t="inlineStr">
        <is>
          <t>VAN</t>
        </is>
      </c>
      <c r="F725" s="144" t="inlineStr">
        <is>
          <t>AM52RJ FL</t>
        </is>
      </c>
      <c r="G725" s="144" t="inlineStr">
        <is>
          <t>WHITE FORD</t>
        </is>
      </c>
      <c r="H725" s="144" t="n">
        <v>2224</v>
      </c>
      <c r="I725" s="144" t="inlineStr">
        <is>
          <t xml:space="preserve">CONTRACTOR </t>
        </is>
      </c>
    </row>
    <row r="726" ht="18" customHeight="1" s="7">
      <c r="A726" s="144" t="inlineStr">
        <is>
          <t xml:space="preserve">RICK BARBER </t>
        </is>
      </c>
      <c r="B726" s="144" t="inlineStr">
        <is>
          <t>*056105327 GA</t>
        </is>
      </c>
      <c r="C726" s="144" t="inlineStr">
        <is>
          <t>FEDEX</t>
        </is>
      </c>
      <c r="D726" s="144" t="n">
        <v>2294499715</v>
      </c>
      <c r="E726" s="144" t="inlineStr">
        <is>
          <t>BOX</t>
        </is>
      </c>
      <c r="F726" s="144" t="inlineStr">
        <is>
          <t>3AC237 OK</t>
        </is>
      </c>
      <c r="G726" s="144" t="inlineStr">
        <is>
          <t>WHITE FORD</t>
        </is>
      </c>
      <c r="H726" s="144" t="inlineStr">
        <is>
          <t>BASEWIDE</t>
        </is>
      </c>
      <c r="I726" s="144" t="inlineStr">
        <is>
          <t>COMMERCIAL</t>
        </is>
      </c>
    </row>
    <row r="727" ht="18" customHeight="1" s="7">
      <c r="A727" s="144" t="inlineStr">
        <is>
          <t>RAHNEE WEBB</t>
        </is>
      </c>
      <c r="B727" s="144" t="inlineStr">
        <is>
          <t>*054152859 GA</t>
        </is>
      </c>
      <c r="C727" s="144" t="inlineStr">
        <is>
          <t>MCLAGGAN</t>
        </is>
      </c>
      <c r="D727" s="144" t="n">
        <v>2298968205</v>
      </c>
      <c r="E727" s="144" t="inlineStr">
        <is>
          <t>VAN</t>
        </is>
      </c>
      <c r="F727" s="144" t="inlineStr">
        <is>
          <t>RTU0215 GA</t>
        </is>
      </c>
      <c r="G727" s="144" t="inlineStr">
        <is>
          <t>WHITE NISSAN</t>
        </is>
      </c>
      <c r="H727" s="144" t="inlineStr">
        <is>
          <t>POLICE</t>
        </is>
      </c>
      <c r="I727" s="144" t="inlineStr">
        <is>
          <t xml:space="preserve">CONTRACTOR </t>
        </is>
      </c>
    </row>
    <row r="728" ht="18" customHeight="1" s="7">
      <c r="A728" s="144" t="inlineStr">
        <is>
          <t>JAMES PRICE E</t>
        </is>
      </c>
      <c r="B728" s="144" t="inlineStr">
        <is>
          <t>*053012328 GA</t>
        </is>
      </c>
      <c r="C728" s="144" t="inlineStr">
        <is>
          <t>ESTE</t>
        </is>
      </c>
      <c r="D728" s="144" t="n">
        <v>2298698312</v>
      </c>
      <c r="E728" s="144" t="inlineStr">
        <is>
          <t>BOX</t>
        </is>
      </c>
      <c r="F728" s="144" t="inlineStr">
        <is>
          <t>3584570 IN</t>
        </is>
      </c>
      <c r="G728" s="144" t="inlineStr">
        <is>
          <t>WHITE FREIGHTLINER</t>
        </is>
      </c>
      <c r="H728" s="144" t="n">
        <v>1221</v>
      </c>
      <c r="I728" s="144" t="inlineStr">
        <is>
          <t>COMMERCIAL</t>
        </is>
      </c>
    </row>
    <row r="729" ht="18" customHeight="1" s="7">
      <c r="A729" s="144" t="inlineStr">
        <is>
          <t>JEFFERY MCKINNEY</t>
        </is>
      </c>
      <c r="B729" s="144" t="inlineStr">
        <is>
          <t>*057058578 GA</t>
        </is>
      </c>
      <c r="C729" s="144" t="inlineStr">
        <is>
          <t>MITCHELL</t>
        </is>
      </c>
      <c r="D729" s="144" t="n">
        <v>22988940014</v>
      </c>
      <c r="E729" s="144" t="inlineStr">
        <is>
          <t>PU</t>
        </is>
      </c>
      <c r="F729" s="144" t="inlineStr">
        <is>
          <t>SSE4814 GA</t>
        </is>
      </c>
      <c r="G729" s="144" t="inlineStr">
        <is>
          <t>WHITE FORD</t>
        </is>
      </c>
      <c r="H729" s="144" t="inlineStr">
        <is>
          <t>POWERWORKS</t>
        </is>
      </c>
      <c r="I729" s="144" t="inlineStr">
        <is>
          <t xml:space="preserve">CONTRACTOR </t>
        </is>
      </c>
    </row>
    <row r="730" ht="18" customHeight="1" s="7">
      <c r="A730" s="144" t="inlineStr">
        <is>
          <t>CHRISTOPHER SMITH S</t>
        </is>
      </c>
      <c r="B730" s="144" t="inlineStr">
        <is>
          <t>*049670571 GA</t>
        </is>
      </c>
      <c r="C730" s="144" t="inlineStr">
        <is>
          <t>DHL</t>
        </is>
      </c>
      <c r="D730" s="144" t="n">
        <v>2293430509</v>
      </c>
      <c r="E730" s="144" t="inlineStr">
        <is>
          <t>VAN</t>
        </is>
      </c>
      <c r="F730" s="144" t="inlineStr">
        <is>
          <t>RVM441 TX</t>
        </is>
      </c>
      <c r="G730" s="144" t="inlineStr">
        <is>
          <t>YELLOW FORD</t>
        </is>
      </c>
      <c r="H730" s="144" t="n">
        <v>1221</v>
      </c>
      <c r="I730" s="144" t="inlineStr">
        <is>
          <t xml:space="preserve">CONTRACTOR </t>
        </is>
      </c>
    </row>
    <row r="731" ht="18" customHeight="1" s="7">
      <c r="A731" s="144" t="inlineStr">
        <is>
          <t>TERRILL CAVE</t>
        </is>
      </c>
      <c r="B731" s="144" t="inlineStr">
        <is>
          <t>*018924584 GA</t>
        </is>
      </c>
      <c r="C731" s="144" t="inlineStr">
        <is>
          <t>MILE MARKER</t>
        </is>
      </c>
      <c r="D731" s="144" t="n">
        <v>6783389548</v>
      </c>
      <c r="E731" s="144" t="inlineStr">
        <is>
          <t>BOX</t>
        </is>
      </c>
      <c r="F731" s="144" t="inlineStr">
        <is>
          <t>C397ES GA</t>
        </is>
      </c>
      <c r="G731" s="144" t="inlineStr">
        <is>
          <t>GREY FREIGHTLINER</t>
        </is>
      </c>
      <c r="H731" s="144" t="n">
        <v>1221</v>
      </c>
      <c r="I731" s="144" t="inlineStr">
        <is>
          <t>COMMERCIAL</t>
        </is>
      </c>
    </row>
    <row r="732" ht="18" customHeight="1" s="7">
      <c r="A732" s="144" t="inlineStr">
        <is>
          <t>TRAVIS ROBERTS</t>
        </is>
      </c>
      <c r="B732" s="144" t="inlineStr">
        <is>
          <t>R163801934080 FL</t>
        </is>
      </c>
      <c r="C732" s="144" t="inlineStr">
        <is>
          <t>GATEWAY</t>
        </is>
      </c>
      <c r="D732" s="144" t="n">
        <v>9043884799</v>
      </c>
      <c r="E732" s="144" t="inlineStr">
        <is>
          <t>PU</t>
        </is>
      </c>
      <c r="F732" s="144" t="inlineStr">
        <is>
          <t>NSSX20 FL</t>
        </is>
      </c>
      <c r="G732" s="144" t="inlineStr">
        <is>
          <t>WHITE FORD</t>
        </is>
      </c>
      <c r="H732" s="144" t="n">
        <v>7108</v>
      </c>
      <c r="I732" s="144" t="inlineStr">
        <is>
          <t xml:space="preserve">CONTRACTOR </t>
        </is>
      </c>
    </row>
    <row r="733" ht="18" customHeight="1" s="7">
      <c r="A733" s="144" t="inlineStr">
        <is>
          <t xml:space="preserve">ELDAR LOMASHVILI </t>
        </is>
      </c>
      <c r="B733" s="144" t="inlineStr">
        <is>
          <t>*058265777 GA</t>
        </is>
      </c>
      <c r="C733" s="144" t="inlineStr">
        <is>
          <t>US EXPRESS TRUCKING</t>
        </is>
      </c>
      <c r="D733" s="144" t="n">
        <v>6785388777</v>
      </c>
      <c r="E733" s="144" t="inlineStr">
        <is>
          <t>BOX</t>
        </is>
      </c>
      <c r="F733" s="144" t="inlineStr">
        <is>
          <t>C420DD GA</t>
        </is>
      </c>
      <c r="G733" s="144" t="inlineStr">
        <is>
          <t>WHITE VOLVO</t>
        </is>
      </c>
      <c r="H733" s="144" t="n">
        <v>1351</v>
      </c>
      <c r="I733" s="144" t="inlineStr">
        <is>
          <t>COMMERCIAL</t>
        </is>
      </c>
    </row>
    <row r="734" ht="18" customHeight="1" s="7">
      <c r="A734" s="144" t="inlineStr">
        <is>
          <t>DEVEREAUX EUGENE</t>
        </is>
      </c>
      <c r="B734" s="144" t="inlineStr">
        <is>
          <t>937813796 AR</t>
        </is>
      </c>
      <c r="C734" s="144" t="inlineStr">
        <is>
          <t>SAFE HANDS</t>
        </is>
      </c>
      <c r="D734" s="144" t="n">
        <v>4793199828</v>
      </c>
      <c r="E734" s="144" t="inlineStr">
        <is>
          <t>BOX</t>
        </is>
      </c>
      <c r="F734" s="144" t="inlineStr">
        <is>
          <t>YPO3634 CAL</t>
        </is>
      </c>
      <c r="G734" s="144" t="inlineStr">
        <is>
          <t>WHITE FREIGHTLINER</t>
        </is>
      </c>
      <c r="H734" s="144" t="n">
        <v>1221</v>
      </c>
      <c r="I734" s="144" t="inlineStr">
        <is>
          <t>COMMERCIAL</t>
        </is>
      </c>
    </row>
    <row r="735" ht="18" customHeight="1" s="7">
      <c r="A735" s="144" t="inlineStr">
        <is>
          <t>ROBERT GRIFFIN JR</t>
        </is>
      </c>
      <c r="B735" s="144" t="inlineStr">
        <is>
          <t>*055982561 GA</t>
        </is>
      </c>
      <c r="C735" s="144" t="inlineStr">
        <is>
          <t>ALBANY AIR</t>
        </is>
      </c>
      <c r="D735" s="144" t="n">
        <v>2294360341</v>
      </c>
      <c r="E735" s="144" t="inlineStr">
        <is>
          <t>PU</t>
        </is>
      </c>
      <c r="F735" s="144" t="inlineStr">
        <is>
          <t>SGK9761 GA</t>
        </is>
      </c>
      <c r="G735" s="144" t="inlineStr">
        <is>
          <t>WHITE FORD</t>
        </is>
      </c>
      <c r="H735" s="144" t="n">
        <v>1410</v>
      </c>
      <c r="I735" s="144" t="inlineStr">
        <is>
          <t xml:space="preserve">CONTRACTOR </t>
        </is>
      </c>
    </row>
    <row r="736" ht="18" customHeight="1" s="7">
      <c r="A736" s="144" t="inlineStr">
        <is>
          <t>ALEX MARLIN</t>
        </is>
      </c>
      <c r="B736" s="144" t="inlineStr">
        <is>
          <t>M64500075070 IL</t>
        </is>
      </c>
      <c r="C736" s="144" t="inlineStr">
        <is>
          <t>KG STAR INC</t>
        </is>
      </c>
      <c r="D736" s="144" t="n">
        <v>3128602745</v>
      </c>
      <c r="E736" s="144" t="inlineStr">
        <is>
          <t>BOX</t>
        </is>
      </c>
      <c r="F736" s="144" t="inlineStr">
        <is>
          <t>P1243184 IL</t>
        </is>
      </c>
      <c r="G736" s="144" t="inlineStr">
        <is>
          <t>WHITE FREIGHTLINER</t>
        </is>
      </c>
      <c r="H736" s="144" t="n">
        <v>1340</v>
      </c>
      <c r="I736" s="144" t="inlineStr">
        <is>
          <t>COMMERCIAL</t>
        </is>
      </c>
    </row>
    <row r="737" ht="18" customHeight="1" s="7">
      <c r="A737" s="144" t="inlineStr">
        <is>
          <t>DANIEL ORTIZ</t>
        </is>
      </c>
      <c r="B737" s="144" t="inlineStr">
        <is>
          <t>O632162994690 FL</t>
        </is>
      </c>
      <c r="C737" s="144" t="inlineStr">
        <is>
          <t>ROAD LINK EXPRESS</t>
        </is>
      </c>
      <c r="D737" s="144" t="n">
        <v>8638045094</v>
      </c>
      <c r="E737" s="144" t="inlineStr">
        <is>
          <t>BOX</t>
        </is>
      </c>
      <c r="F737" s="144" t="inlineStr">
        <is>
          <t>PZA8602 MN</t>
        </is>
      </c>
      <c r="G737" s="144" t="inlineStr">
        <is>
          <t>RED FL</t>
        </is>
      </c>
      <c r="H737" s="144" t="n">
        <v>1221</v>
      </c>
      <c r="I737" s="144" t="inlineStr">
        <is>
          <t>COMMERCIAL</t>
        </is>
      </c>
    </row>
    <row r="738" ht="18" customHeight="1" s="7">
      <c r="A738" s="144" t="inlineStr">
        <is>
          <t>CHRISTOPHER JACKSON JR</t>
        </is>
      </c>
      <c r="B738" s="144" t="inlineStr">
        <is>
          <t>*052329513 GA</t>
        </is>
      </c>
      <c r="C738" s="144" t="inlineStr">
        <is>
          <t>ERG</t>
        </is>
      </c>
      <c r="D738" s="144" t="n">
        <v>2297987189</v>
      </c>
      <c r="E738" s="144" t="inlineStr">
        <is>
          <t>PU</t>
        </is>
      </c>
      <c r="F738" s="144" t="inlineStr">
        <is>
          <t>GAN266 GA</t>
        </is>
      </c>
      <c r="G738" s="144" t="inlineStr">
        <is>
          <t xml:space="preserve"> WHITE RAM</t>
        </is>
      </c>
      <c r="H738" s="144" t="n">
        <v>1330</v>
      </c>
      <c r="I738" s="144" t="inlineStr">
        <is>
          <t xml:space="preserve">CONTRACTOR </t>
        </is>
      </c>
    </row>
    <row r="739" ht="18" customHeight="1" s="7">
      <c r="A739" s="144" t="inlineStr">
        <is>
          <t>DOUGLAS CASTELLANO</t>
        </is>
      </c>
      <c r="B739" s="144" t="inlineStr">
        <is>
          <t>111575819 MN</t>
        </is>
      </c>
      <c r="C739" s="144" t="inlineStr">
        <is>
          <t>ROAD LINK EXPRESS</t>
        </is>
      </c>
      <c r="D739" s="144" t="n">
        <v>8657224583</v>
      </c>
      <c r="E739" s="144" t="inlineStr">
        <is>
          <t>BOX</t>
        </is>
      </c>
      <c r="F739" s="144" t="inlineStr">
        <is>
          <t>PAU0443 MN</t>
        </is>
      </c>
      <c r="G739" s="144" t="inlineStr">
        <is>
          <t>RED FREIGHTLINER</t>
        </is>
      </c>
      <c r="H739" s="144" t="n">
        <v>1221</v>
      </c>
      <c r="I739" s="144" t="inlineStr">
        <is>
          <t>COMMERCIAL</t>
        </is>
      </c>
    </row>
    <row r="740" ht="18" customHeight="1" s="7">
      <c r="A740" s="144" t="inlineStr">
        <is>
          <t>SCHMITTER MATTHEW</t>
        </is>
      </c>
      <c r="B740" s="144" t="inlineStr">
        <is>
          <t>8911031619 IN</t>
        </is>
      </c>
      <c r="C740" s="144" t="inlineStr">
        <is>
          <t>ROAD LINK EXPRESS</t>
        </is>
      </c>
      <c r="D740" s="144" t="n">
        <v>9125314268</v>
      </c>
      <c r="E740" s="144" t="inlineStr">
        <is>
          <t>BOX</t>
        </is>
      </c>
      <c r="F740" s="144" t="inlineStr">
        <is>
          <t>PZA8603 MN</t>
        </is>
      </c>
      <c r="G740" s="144" t="inlineStr">
        <is>
          <t>BLU KW</t>
        </is>
      </c>
      <c r="H740" s="144" t="n">
        <v>1221</v>
      </c>
      <c r="I740" s="144" t="inlineStr">
        <is>
          <t>COMMERCIAL</t>
        </is>
      </c>
    </row>
    <row r="741" ht="18" customHeight="1" s="7">
      <c r="A741" s="144" t="inlineStr">
        <is>
          <t>NORMAN SAWYER</t>
        </is>
      </c>
      <c r="B741" s="144" t="inlineStr">
        <is>
          <t>*058037525 GA</t>
        </is>
      </c>
      <c r="C741" s="144" t="inlineStr">
        <is>
          <t>OLD DOMINION</t>
        </is>
      </c>
      <c r="D741" s="144" t="n">
        <v>2292725026</v>
      </c>
      <c r="E741" s="144" t="inlineStr">
        <is>
          <t>BOX</t>
        </is>
      </c>
      <c r="F741" s="144" t="inlineStr">
        <is>
          <t>NH3663 NC</t>
        </is>
      </c>
      <c r="G741" s="144" t="inlineStr">
        <is>
          <t>GRN FREIGHTLINER</t>
        </is>
      </c>
      <c r="H741" s="144" t="n">
        <v>1221</v>
      </c>
      <c r="I741" s="144" t="inlineStr">
        <is>
          <t>COMMERCIAL</t>
        </is>
      </c>
    </row>
    <row r="742" ht="18" customHeight="1" s="7">
      <c r="A742" s="144" t="inlineStr">
        <is>
          <t>JAMES EDMONDSON</t>
        </is>
      </c>
      <c r="B742" s="144" t="inlineStr">
        <is>
          <t>10015788 AL</t>
        </is>
      </c>
      <c r="C742" s="144" t="inlineStr">
        <is>
          <t xml:space="preserve">COLEMAN </t>
        </is>
      </c>
      <c r="D742" s="144" t="n">
        <v>3343409190</v>
      </c>
      <c r="E742" s="144" t="inlineStr">
        <is>
          <t>BOX</t>
        </is>
      </c>
      <c r="F742" s="144" t="inlineStr">
        <is>
          <t>1215966 AL</t>
        </is>
      </c>
      <c r="G742" s="144" t="inlineStr">
        <is>
          <t>WHT ISUZU</t>
        </is>
      </c>
      <c r="H742" s="144" t="inlineStr">
        <is>
          <t>BARRACKS 7130</t>
        </is>
      </c>
      <c r="I742" s="144" t="inlineStr">
        <is>
          <t>COMMERCIAL</t>
        </is>
      </c>
    </row>
    <row r="743" ht="18" customHeight="1" s="7">
      <c r="A743" s="144" t="inlineStr">
        <is>
          <t>JOSEPH CUTLIP</t>
        </is>
      </c>
      <c r="B743" s="144" t="inlineStr">
        <is>
          <t>C341441067103</t>
        </is>
      </c>
      <c r="C743" s="144" t="inlineStr">
        <is>
          <t>LANDSTAR</t>
        </is>
      </c>
      <c r="D743" s="144" t="n">
        <v>5866652860</v>
      </c>
      <c r="E743" s="144" t="inlineStr">
        <is>
          <t>VAN</t>
        </is>
      </c>
      <c r="F743" s="144" t="inlineStr">
        <is>
          <t>DD44453 MI</t>
        </is>
      </c>
      <c r="G743" s="144" t="inlineStr">
        <is>
          <t>WHT MERCEDEZ</t>
        </is>
      </c>
      <c r="H743" s="144" t="n">
        <v>1221</v>
      </c>
      <c r="I743" s="144" t="inlineStr">
        <is>
          <t>COMMERCIAL</t>
        </is>
      </c>
    </row>
    <row r="744" ht="18" customHeight="1" s="7">
      <c r="A744" s="144" t="inlineStr">
        <is>
          <t>DAVID BARTON</t>
        </is>
      </c>
      <c r="B744" s="144" t="inlineStr">
        <is>
          <t>B635161702500 FL</t>
        </is>
      </c>
      <c r="C744" s="144" t="inlineStr">
        <is>
          <t>MILTON J WOOD</t>
        </is>
      </c>
      <c r="D744" s="144" t="n">
        <v>9045915290</v>
      </c>
      <c r="E744" s="144" t="inlineStr">
        <is>
          <t>PU</t>
        </is>
      </c>
      <c r="F744" s="144" t="inlineStr">
        <is>
          <t>WJQ5R FL</t>
        </is>
      </c>
      <c r="G744" s="144" t="inlineStr">
        <is>
          <t>BLK DODGE</t>
        </is>
      </c>
      <c r="H744" s="144" t="inlineStr">
        <is>
          <t>BASEWIDE</t>
        </is>
      </c>
      <c r="I744" s="144" t="inlineStr">
        <is>
          <t xml:space="preserve">CONTRACTOR </t>
        </is>
      </c>
    </row>
    <row r="745" ht="18" customHeight="1" s="7">
      <c r="A745" s="144" t="inlineStr">
        <is>
          <t>KANLIC AZMIR</t>
        </is>
      </c>
      <c r="B745" s="144" t="inlineStr">
        <is>
          <t>107148629 SC</t>
        </is>
      </c>
      <c r="C745" s="144" t="inlineStr">
        <is>
          <t>EDOS</t>
        </is>
      </c>
      <c r="D745" s="144" t="n">
        <v>3144121529</v>
      </c>
      <c r="E745" s="144" t="inlineStr">
        <is>
          <t>BOX</t>
        </is>
      </c>
      <c r="F745" s="144" t="inlineStr">
        <is>
          <t>AH58216 PA</t>
        </is>
      </c>
      <c r="G745" s="144" t="inlineStr">
        <is>
          <t>BLU PETERBILT</t>
        </is>
      </c>
      <c r="H745" s="144" t="n">
        <v>1221</v>
      </c>
      <c r="I745" s="144" t="inlineStr">
        <is>
          <t>COMMERCIAL</t>
        </is>
      </c>
    </row>
    <row r="746" ht="18" customHeight="1" s="7">
      <c r="A746" s="144" t="inlineStr">
        <is>
          <t xml:space="preserve">WINSTON BUSH </t>
        </is>
      </c>
      <c r="B746" s="144" t="inlineStr">
        <is>
          <t>*050366653 GA</t>
        </is>
      </c>
      <c r="C746" s="144" t="inlineStr">
        <is>
          <t>Q&amp;SONS LOG</t>
        </is>
      </c>
      <c r="D746" s="144" t="n">
        <v>2293288742</v>
      </c>
      <c r="E746" s="144" t="inlineStr">
        <is>
          <t>DUMP</t>
        </is>
      </c>
      <c r="F746" s="144" t="inlineStr">
        <is>
          <t>IC25AX GA</t>
        </is>
      </c>
      <c r="G746" s="144" t="inlineStr">
        <is>
          <t>BLU PETERBILT</t>
        </is>
      </c>
      <c r="H746" s="144" t="n">
        <v>10200</v>
      </c>
      <c r="I746" s="144" t="inlineStr">
        <is>
          <t>COMMERCIAL</t>
        </is>
      </c>
    </row>
    <row r="747" ht="18" customHeight="1" s="7">
      <c r="A747" s="144" t="inlineStr">
        <is>
          <t>DONALD WATERS</t>
        </is>
      </c>
      <c r="B747" s="144" t="inlineStr">
        <is>
          <t>*022683052 GA</t>
        </is>
      </c>
      <c r="C747" s="144" t="inlineStr">
        <is>
          <t>SAFEAIRE</t>
        </is>
      </c>
      <c r="D747" s="144" t="n">
        <v>2298835100</v>
      </c>
      <c r="E747" s="144" t="inlineStr">
        <is>
          <t>PU</t>
        </is>
      </c>
      <c r="F747" s="144" t="inlineStr">
        <is>
          <t>PKY1683 GA</t>
        </is>
      </c>
      <c r="G747" s="144" t="inlineStr">
        <is>
          <t>WHT CHEVY</t>
        </is>
      </c>
      <c r="H747" s="144" t="n">
        <v>2200</v>
      </c>
      <c r="I747" s="144" t="inlineStr">
        <is>
          <t xml:space="preserve">CONTRACTOR </t>
        </is>
      </c>
    </row>
    <row r="748" ht="18" customHeight="1" s="7">
      <c r="A748" s="144" t="inlineStr">
        <is>
          <t>THURMAN VINCENT</t>
        </is>
      </c>
      <c r="B748" s="144" t="inlineStr">
        <is>
          <t>*050206847</t>
        </is>
      </c>
      <c r="C748" s="144" t="inlineStr">
        <is>
          <t>CLEANHARBORS</t>
        </is>
      </c>
      <c r="D748" s="144" t="n">
        <v>7708431790</v>
      </c>
      <c r="E748" s="144" t="inlineStr">
        <is>
          <t>BOX</t>
        </is>
      </c>
      <c r="F748" s="144" t="inlineStr">
        <is>
          <t>2915944 IN</t>
        </is>
      </c>
      <c r="G748" s="144" t="inlineStr">
        <is>
          <t>WHT INTERNATIONAL</t>
        </is>
      </c>
      <c r="H748" s="144" t="n">
        <v>1221</v>
      </c>
      <c r="I748" s="144" t="inlineStr">
        <is>
          <t>COMMERCIAL</t>
        </is>
      </c>
    </row>
    <row r="749" ht="18" customHeight="1" s="7">
      <c r="A749" s="144" t="inlineStr">
        <is>
          <t xml:space="preserve">KARIFALA NABAY </t>
        </is>
      </c>
      <c r="B749" s="144" t="inlineStr">
        <is>
          <t>*0600379543 GA</t>
        </is>
      </c>
      <c r="C749" s="144" t="inlineStr">
        <is>
          <t>BANKO EXPRESS</t>
        </is>
      </c>
      <c r="D749" s="144" t="n">
        <v>7063863441</v>
      </c>
      <c r="E749" s="144" t="inlineStr">
        <is>
          <t>BOX</t>
        </is>
      </c>
      <c r="F749" s="144" t="inlineStr">
        <is>
          <t>C795EC GA</t>
        </is>
      </c>
      <c r="G749" s="144" t="inlineStr">
        <is>
          <t>WHITE FL</t>
        </is>
      </c>
      <c r="H749" s="144" t="n">
        <v>1221</v>
      </c>
      <c r="I749" s="144" t="inlineStr">
        <is>
          <t>COMMERCIAL</t>
        </is>
      </c>
    </row>
    <row r="750" ht="18" customHeight="1" s="7">
      <c r="A750" s="144" t="inlineStr">
        <is>
          <t>SAEED ALI</t>
        </is>
      </c>
      <c r="B750" s="144" t="inlineStr">
        <is>
          <t>36303925 TX</t>
        </is>
      </c>
      <c r="C750" s="144" t="inlineStr">
        <is>
          <t>TMS</t>
        </is>
      </c>
      <c r="D750" s="144" t="n">
        <v>2103620659</v>
      </c>
      <c r="E750" s="144" t="inlineStr">
        <is>
          <t>BOX</t>
        </is>
      </c>
      <c r="F750" s="144" t="inlineStr">
        <is>
          <t>P1139718 IL</t>
        </is>
      </c>
      <c r="G750" s="144" t="inlineStr">
        <is>
          <t>WHITE FL</t>
        </is>
      </c>
      <c r="H750" s="144" t="n">
        <v>1221</v>
      </c>
      <c r="I750" s="144" t="inlineStr">
        <is>
          <t>COMMERCIAL</t>
        </is>
      </c>
    </row>
    <row r="751" ht="18" customHeight="1" s="7">
      <c r="A751" s="144" t="inlineStr">
        <is>
          <t>DESMOND RAMSAY</t>
        </is>
      </c>
      <c r="B751" s="144" t="inlineStr">
        <is>
          <t>*066697636 GA</t>
        </is>
      </c>
      <c r="C751" s="144" t="inlineStr">
        <is>
          <t>FAST TRANSP.</t>
        </is>
      </c>
      <c r="D751" s="144" t="n">
        <v>6782604676</v>
      </c>
      <c r="E751" s="144" t="inlineStr">
        <is>
          <t>FLAT</t>
        </is>
      </c>
      <c r="F751" s="144" t="inlineStr">
        <is>
          <t>C158DS GA</t>
        </is>
      </c>
      <c r="G751" s="144" t="inlineStr">
        <is>
          <t>WHITE FREIGHTLINER</t>
        </is>
      </c>
      <c r="H751" s="144" t="n">
        <v>1221</v>
      </c>
      <c r="I751" s="144" t="inlineStr">
        <is>
          <t>COMMERCIAL</t>
        </is>
      </c>
    </row>
    <row r="752" ht="18" customHeight="1" s="7">
      <c r="A752" s="144" t="inlineStr">
        <is>
          <t>JEROME REED</t>
        </is>
      </c>
      <c r="B752" s="144" t="inlineStr">
        <is>
          <t>R300432802540 FL</t>
        </is>
      </c>
      <c r="C752" s="144" t="inlineStr">
        <is>
          <t>JET TRANS</t>
        </is>
      </c>
      <c r="D752" s="144" t="n">
        <v>9045718536</v>
      </c>
      <c r="E752" s="144" t="inlineStr">
        <is>
          <t>FLAT</t>
        </is>
      </c>
      <c r="F752" s="144" t="inlineStr">
        <is>
          <t>XE123Q FL</t>
        </is>
      </c>
      <c r="G752" s="144" t="inlineStr">
        <is>
          <t>RED PETERBILT</t>
        </is>
      </c>
      <c r="H752" s="144" t="n">
        <v>1221</v>
      </c>
      <c r="I752" s="144" t="inlineStr">
        <is>
          <t>COMMERCIAL</t>
        </is>
      </c>
    </row>
    <row r="753" ht="18" customHeight="1" s="7">
      <c r="A753" s="144" t="inlineStr">
        <is>
          <t>KENNETH RIVERS</t>
        </is>
      </c>
      <c r="B753" s="144" t="inlineStr">
        <is>
          <t>S33665837 MA</t>
        </is>
      </c>
      <c r="C753" s="144" t="inlineStr">
        <is>
          <t>PTS WORLDWIDE</t>
        </is>
      </c>
      <c r="D753" s="144" t="n">
        <v>5087363302</v>
      </c>
      <c r="E753" s="144" t="inlineStr">
        <is>
          <t>BOX</t>
        </is>
      </c>
      <c r="F753" s="144" t="inlineStr">
        <is>
          <t>P1267108 IL</t>
        </is>
      </c>
      <c r="G753" s="144" t="inlineStr">
        <is>
          <t>WHITE KW</t>
        </is>
      </c>
      <c r="H753" s="144" t="n">
        <v>1221</v>
      </c>
      <c r="I753" s="144" t="inlineStr">
        <is>
          <t>COMMERCIAL</t>
        </is>
      </c>
    </row>
    <row r="754" ht="18" customHeight="1" s="7">
      <c r="A754" s="144" t="inlineStr">
        <is>
          <t>KEN JAMES</t>
        </is>
      </c>
      <c r="B754" s="144" t="inlineStr">
        <is>
          <t>*032829007 GA</t>
        </is>
      </c>
      <c r="C754" s="144" t="inlineStr">
        <is>
          <t>QUALITY PANEL &amp; TRIM</t>
        </is>
      </c>
      <c r="D754" s="144" t="n">
        <v>2294159760</v>
      </c>
      <c r="E754" s="144" t="inlineStr">
        <is>
          <t>FLAT</t>
        </is>
      </c>
      <c r="F754" s="144" t="inlineStr">
        <is>
          <t>RYY9063 GA</t>
        </is>
      </c>
      <c r="G754" s="144" t="inlineStr">
        <is>
          <t>WHITE CHEVY</t>
        </is>
      </c>
      <c r="H754" s="144" t="n">
        <v>5400</v>
      </c>
      <c r="I754" s="144" t="inlineStr">
        <is>
          <t xml:space="preserve">CONTRACTOR </t>
        </is>
      </c>
    </row>
    <row r="755" ht="18" customHeight="1" s="7">
      <c r="A755" s="144" t="inlineStr">
        <is>
          <t>DAVID HILL</t>
        </is>
      </c>
      <c r="B755" s="144" t="inlineStr">
        <is>
          <t>*051391596 GA</t>
        </is>
      </c>
      <c r="C755" s="144" t="inlineStr">
        <is>
          <t>QUALITY PANEL &amp; TRIM</t>
        </is>
      </c>
      <c r="D755" s="144" t="n">
        <v>2292207609</v>
      </c>
      <c r="E755" s="144" t="inlineStr">
        <is>
          <t>PU</t>
        </is>
      </c>
      <c r="F755" s="144" t="inlineStr">
        <is>
          <t>PKN9361 GA</t>
        </is>
      </c>
      <c r="G755" s="144" t="inlineStr">
        <is>
          <t>WHITE DODGE</t>
        </is>
      </c>
      <c r="H755" s="144" t="n">
        <v>5400</v>
      </c>
      <c r="I755" s="144" t="inlineStr">
        <is>
          <t xml:space="preserve">CONTRACTOR </t>
        </is>
      </c>
    </row>
    <row r="756" ht="18" customHeight="1" s="7">
      <c r="A756" s="144" t="inlineStr">
        <is>
          <t>SPENCER PAUL</t>
        </is>
      </c>
      <c r="B756" s="144" t="inlineStr">
        <is>
          <t>*056126858 GA</t>
        </is>
      </c>
      <c r="C756" s="144" t="inlineStr">
        <is>
          <t>QUALITY PANEL &amp; TRIM</t>
        </is>
      </c>
      <c r="D756" s="144" t="n">
        <v>2298780099</v>
      </c>
      <c r="E756" s="144" t="inlineStr">
        <is>
          <t>PU</t>
        </is>
      </c>
      <c r="F756" s="144" t="inlineStr">
        <is>
          <t>BZL6902 GA</t>
        </is>
      </c>
      <c r="G756" s="144" t="inlineStr">
        <is>
          <t>WHITE CHEVY</t>
        </is>
      </c>
      <c r="H756" s="144" t="n">
        <v>5400</v>
      </c>
      <c r="I756" s="144" t="inlineStr">
        <is>
          <t xml:space="preserve">CONTRACTOR </t>
        </is>
      </c>
    </row>
    <row r="757" ht="18" customHeight="1" s="7">
      <c r="A757" s="144" t="inlineStr">
        <is>
          <t>CURTIS BICKERSTAFF</t>
        </is>
      </c>
      <c r="B757" s="144" t="inlineStr">
        <is>
          <t>*059580006 GA</t>
        </is>
      </c>
      <c r="C757" s="144" t="inlineStr">
        <is>
          <t>QUALITY PANEL &amp; TRIM</t>
        </is>
      </c>
      <c r="D757" s="144" t="n">
        <v>2298814904</v>
      </c>
      <c r="E757" s="144" t="inlineStr">
        <is>
          <t>PU</t>
        </is>
      </c>
      <c r="F757" s="144" t="inlineStr">
        <is>
          <t>PIP9029 GA</t>
        </is>
      </c>
      <c r="G757" s="144" t="inlineStr">
        <is>
          <t xml:space="preserve">BROWN TOYOTA </t>
        </is>
      </c>
      <c r="H757" s="144" t="n">
        <v>5400</v>
      </c>
      <c r="I757" s="144" t="inlineStr">
        <is>
          <t xml:space="preserve">CONTRACTOR </t>
        </is>
      </c>
    </row>
    <row r="758" ht="18" customHeight="1" s="7">
      <c r="A758" s="144" t="inlineStr">
        <is>
          <t>DANIEL KYZER</t>
        </is>
      </c>
      <c r="B758" s="144" t="inlineStr">
        <is>
          <t>K260179991100 FL</t>
        </is>
      </c>
      <c r="C758" s="144" t="inlineStr">
        <is>
          <t>H&amp;R RECOVERY</t>
        </is>
      </c>
      <c r="D758" s="144" t="n">
        <v>8503136109</v>
      </c>
      <c r="E758" s="144" t="inlineStr">
        <is>
          <t>PU</t>
        </is>
      </c>
      <c r="F758" s="144" t="inlineStr">
        <is>
          <t>85BVQC FL</t>
        </is>
      </c>
      <c r="G758" s="144" t="inlineStr">
        <is>
          <t>RED DODGE</t>
        </is>
      </c>
      <c r="H758" s="144" t="inlineStr">
        <is>
          <t>BASEWIDE</t>
        </is>
      </c>
      <c r="I758" s="144" t="inlineStr">
        <is>
          <t xml:space="preserve">CONTRACTOR </t>
        </is>
      </c>
    </row>
    <row r="759" ht="18" customHeight="1" s="7">
      <c r="A759" s="144" t="inlineStr">
        <is>
          <t>OMER INCE</t>
        </is>
      </c>
      <c r="B759" s="144" t="inlineStr">
        <is>
          <t>*059354161 GA</t>
        </is>
      </c>
      <c r="C759" s="144" t="inlineStr">
        <is>
          <t>SMYRNA TRUCKING</t>
        </is>
      </c>
      <c r="D759" s="144" t="n">
        <v>3475306598</v>
      </c>
      <c r="E759" s="144" t="inlineStr">
        <is>
          <t>PU</t>
        </is>
      </c>
      <c r="F759" s="144" t="inlineStr">
        <is>
          <t>SIB8969 GA</t>
        </is>
      </c>
      <c r="G759" s="144" t="inlineStr">
        <is>
          <t>WHITE DODGE</t>
        </is>
      </c>
      <c r="H759" s="144" t="n">
        <v>1221</v>
      </c>
      <c r="I759" s="144" t="inlineStr">
        <is>
          <t xml:space="preserve">CONTRACTOR </t>
        </is>
      </c>
    </row>
    <row r="760" ht="18" customHeight="1" s="7">
      <c r="A760" s="144" t="inlineStr">
        <is>
          <t>PFEIFER MELVIN</t>
        </is>
      </c>
      <c r="B760" s="144" t="inlineStr">
        <is>
          <t>15814666  AL</t>
        </is>
      </c>
      <c r="C760" s="144" t="inlineStr">
        <is>
          <t>BOOST TRANS</t>
        </is>
      </c>
      <c r="D760" s="144" t="n">
        <v>8505575513</v>
      </c>
      <c r="E760" s="144" t="inlineStr">
        <is>
          <t>FLAT</t>
        </is>
      </c>
      <c r="F760" s="144" t="inlineStr">
        <is>
          <t>R419452 TX</t>
        </is>
      </c>
      <c r="G760" s="144" t="inlineStr">
        <is>
          <t>WHITE FL</t>
        </is>
      </c>
      <c r="H760" s="144" t="n">
        <v>1221</v>
      </c>
      <c r="I760" s="144" t="inlineStr">
        <is>
          <t>COMMERCIAL</t>
        </is>
      </c>
    </row>
    <row r="761" ht="18" customHeight="1" s="7">
      <c r="A761" s="144" t="inlineStr">
        <is>
          <t>CHRISTOPHER RICHARDS D</t>
        </is>
      </c>
      <c r="B761" s="144" t="inlineStr">
        <is>
          <t>*054416379 GA</t>
        </is>
      </c>
      <c r="C761" s="144" t="inlineStr">
        <is>
          <t>ALBANY AIR</t>
        </is>
      </c>
      <c r="D761" s="144" t="n">
        <v>2294360341</v>
      </c>
      <c r="E761" s="144" t="inlineStr">
        <is>
          <t>PU</t>
        </is>
      </c>
      <c r="F761" s="144" t="inlineStr">
        <is>
          <t>DBJ6190 GA</t>
        </is>
      </c>
      <c r="G761" s="144" t="inlineStr">
        <is>
          <t>WHITE FORD</t>
        </is>
      </c>
      <c r="H761" s="144" t="n">
        <v>1210</v>
      </c>
      <c r="I761" s="144" t="inlineStr">
        <is>
          <t xml:space="preserve">CONTRACTOR </t>
        </is>
      </c>
    </row>
    <row r="762" ht="18" customHeight="1" s="7">
      <c r="A762" s="144" t="inlineStr">
        <is>
          <t>JEFFERY RAMBO</t>
        </is>
      </c>
      <c r="B762" s="144" t="inlineStr">
        <is>
          <t>*049539251 GA</t>
        </is>
      </c>
      <c r="C762" s="144" t="inlineStr">
        <is>
          <t>CROWN</t>
        </is>
      </c>
      <c r="D762" s="144" t="n">
        <v>2293889500</v>
      </c>
      <c r="E762" s="144" t="inlineStr">
        <is>
          <t>VAN</t>
        </is>
      </c>
      <c r="F762" s="144" t="inlineStr">
        <is>
          <t>SAV7511 GA</t>
        </is>
      </c>
      <c r="G762" s="144" t="inlineStr">
        <is>
          <t>WHITE MERCEDES</t>
        </is>
      </c>
      <c r="H762" s="144" t="n">
        <v>1361</v>
      </c>
      <c r="I762" s="144" t="inlineStr">
        <is>
          <t xml:space="preserve">CONTRACTOR </t>
        </is>
      </c>
    </row>
    <row r="763" ht="18" customHeight="1" s="7">
      <c r="A763" s="144" t="inlineStr">
        <is>
          <t>MURRIN SCOTT</t>
        </is>
      </c>
      <c r="B763" s="144" t="inlineStr">
        <is>
          <t>M650297700280 FL</t>
        </is>
      </c>
      <c r="C763" s="144" t="inlineStr">
        <is>
          <t>FCI</t>
        </is>
      </c>
      <c r="D763" s="144" t="n">
        <v>7066274637</v>
      </c>
      <c r="E763" s="144" t="inlineStr">
        <is>
          <t>BOX</t>
        </is>
      </c>
      <c r="F763" s="144" t="inlineStr">
        <is>
          <t>AY130R NJ</t>
        </is>
      </c>
      <c r="G763" s="144" t="inlineStr">
        <is>
          <t>RED FL</t>
        </is>
      </c>
      <c r="H763" s="144" t="n">
        <v>2214</v>
      </c>
      <c r="I763" s="144" t="inlineStr">
        <is>
          <t>COMMERCIAL</t>
        </is>
      </c>
    </row>
    <row r="764" ht="18" customHeight="1" s="7">
      <c r="A764" s="144" t="inlineStr">
        <is>
          <t>TRAVON HOSLEY</t>
        </is>
      </c>
      <c r="B764" s="144" t="inlineStr">
        <is>
          <t>*060614928 GA</t>
        </is>
      </c>
      <c r="C764" s="144" t="inlineStr">
        <is>
          <t>S&amp;S CONCRETE</t>
        </is>
      </c>
      <c r="D764" s="144" t="n">
        <v>2294358566</v>
      </c>
      <c r="E764" s="144" t="inlineStr">
        <is>
          <t>PU</t>
        </is>
      </c>
      <c r="F764" s="144" t="inlineStr">
        <is>
          <t>RRW9690 GA</t>
        </is>
      </c>
      <c r="G764" s="144" t="inlineStr">
        <is>
          <t>WHITE FORD</t>
        </is>
      </c>
      <c r="H764" s="144" t="inlineStr">
        <is>
          <t>GYM</t>
        </is>
      </c>
      <c r="I764" s="144" t="inlineStr">
        <is>
          <t xml:space="preserve">CONTRACTOR </t>
        </is>
      </c>
    </row>
    <row r="765" ht="18" customHeight="1" s="7">
      <c r="A765" s="144" t="inlineStr">
        <is>
          <t xml:space="preserve">ANDREW WHITE </t>
        </is>
      </c>
      <c r="B765" s="144" t="inlineStr">
        <is>
          <t>W300003982040</t>
        </is>
      </c>
      <c r="C765" s="144" t="inlineStr">
        <is>
          <t>MINER</t>
        </is>
      </c>
      <c r="D765" s="144" t="n">
        <v>4072054426</v>
      </c>
      <c r="E765" s="144" t="inlineStr">
        <is>
          <t>PU</t>
        </is>
      </c>
      <c r="F765" s="144" t="inlineStr">
        <is>
          <t>RYIN93 FL</t>
        </is>
      </c>
      <c r="G765" s="144" t="inlineStr">
        <is>
          <t>RED DODGE</t>
        </is>
      </c>
      <c r="H765" s="144" t="n">
        <v>2320</v>
      </c>
      <c r="I765" s="144" t="inlineStr">
        <is>
          <t xml:space="preserve">CONTRACTOR </t>
        </is>
      </c>
    </row>
    <row r="766" ht="18" customHeight="1" s="7">
      <c r="A766" s="144" t="inlineStr">
        <is>
          <t xml:space="preserve"> MATTEW THAMES </t>
        </is>
      </c>
      <c r="B766" s="144" t="inlineStr">
        <is>
          <t>T520552882230 FL</t>
        </is>
      </c>
      <c r="C766" s="144" t="inlineStr">
        <is>
          <t>MINER</t>
        </is>
      </c>
      <c r="D766" s="144" t="n">
        <v>407210640</v>
      </c>
      <c r="E766" s="144" t="inlineStr">
        <is>
          <t>PU</t>
        </is>
      </c>
      <c r="F766" s="144" t="inlineStr">
        <is>
          <t>75BLAV FL</t>
        </is>
      </c>
      <c r="G766" s="144" t="inlineStr">
        <is>
          <t>RED DODGE</t>
        </is>
      </c>
      <c r="H766" s="144" t="n">
        <v>2320</v>
      </c>
      <c r="I766" s="144" t="inlineStr">
        <is>
          <t xml:space="preserve">CONTRACTOR </t>
        </is>
      </c>
    </row>
    <row r="767" ht="18" customHeight="1" s="7">
      <c r="A767" s="144" t="inlineStr">
        <is>
          <t>CHRIS BURT</t>
        </is>
      </c>
      <c r="B767" s="144" t="inlineStr">
        <is>
          <t>054307378 GA</t>
        </is>
      </c>
      <c r="C767" s="144" t="inlineStr">
        <is>
          <t>SUNBELT RENTALS</t>
        </is>
      </c>
      <c r="D767" s="144" t="n">
        <v>2294056878</v>
      </c>
      <c r="E767" s="144" t="inlineStr">
        <is>
          <t>FLAT</t>
        </is>
      </c>
      <c r="F767" s="144" t="inlineStr">
        <is>
          <t>P108192929 IL</t>
        </is>
      </c>
      <c r="G767" s="144" t="inlineStr">
        <is>
          <t>GREEN MACK</t>
        </is>
      </c>
      <c r="H767" s="144" t="n">
        <v>5400</v>
      </c>
      <c r="I767" s="144" t="inlineStr">
        <is>
          <t>COMMERCIAL</t>
        </is>
      </c>
    </row>
    <row r="768" ht="18" customHeight="1" s="7">
      <c r="A768" s="144" t="inlineStr">
        <is>
          <t>BARRETT KAREEM</t>
        </is>
      </c>
      <c r="B768" s="144" t="inlineStr">
        <is>
          <t>447191590 NY</t>
        </is>
      </c>
      <c r="C768" s="144" t="inlineStr">
        <is>
          <t>ONE LOVE</t>
        </is>
      </c>
      <c r="D768" s="144" t="n">
        <v>8045734927</v>
      </c>
      <c r="E768" s="144" t="inlineStr">
        <is>
          <t>BOX</t>
        </is>
      </c>
      <c r="F768" s="144" t="inlineStr">
        <is>
          <t>AY124W NJ</t>
        </is>
      </c>
      <c r="G768" s="144" t="inlineStr">
        <is>
          <t>WHITE FL</t>
        </is>
      </c>
      <c r="H768" s="144" t="n">
        <v>1221</v>
      </c>
      <c r="I768" s="144" t="inlineStr">
        <is>
          <t>COMMERCIAL</t>
        </is>
      </c>
    </row>
    <row r="769" ht="18" customHeight="1" s="7">
      <c r="A769" s="144" t="inlineStr">
        <is>
          <t>KUZMENKO ALEX</t>
        </is>
      </c>
      <c r="B769" s="144" t="inlineStr">
        <is>
          <t>K630174929000 FL</t>
        </is>
      </c>
      <c r="C769" s="144" t="inlineStr">
        <is>
          <t>SVB</t>
        </is>
      </c>
      <c r="D769" s="144" t="n">
        <v>9166422831</v>
      </c>
      <c r="E769" s="144" t="inlineStr">
        <is>
          <t>FLAT</t>
        </is>
      </c>
      <c r="F769" s="144" t="inlineStr">
        <is>
          <t>DF83GN FL</t>
        </is>
      </c>
      <c r="G769" s="144" t="inlineStr">
        <is>
          <t>RED KW</t>
        </is>
      </c>
      <c r="H769" s="144" t="n">
        <v>1221</v>
      </c>
      <c r="I769" s="144" t="inlineStr">
        <is>
          <t>COMMERCIAL</t>
        </is>
      </c>
    </row>
    <row r="770" ht="18" customHeight="1" s="7">
      <c r="A770" s="144" t="inlineStr">
        <is>
          <t>REJENOLD CHANEY</t>
        </is>
      </c>
      <c r="B770" s="144" t="inlineStr">
        <is>
          <t>*052674694 GA</t>
        </is>
      </c>
      <c r="C770" s="144" t="inlineStr">
        <is>
          <t>BOSEWELL</t>
        </is>
      </c>
      <c r="D770" s="144" t="n">
        <v>2292996549</v>
      </c>
      <c r="E770" s="144" t="inlineStr">
        <is>
          <t>PU</t>
        </is>
      </c>
      <c r="F770" s="144" t="inlineStr">
        <is>
          <t>P300CN GA</t>
        </is>
      </c>
      <c r="G770" s="144" t="inlineStr">
        <is>
          <t>WHITE FORD</t>
        </is>
      </c>
      <c r="H770" s="144" t="n">
        <v>1260</v>
      </c>
      <c r="I770" s="144" t="inlineStr">
        <is>
          <t xml:space="preserve">CONTRACTOR </t>
        </is>
      </c>
    </row>
    <row r="771" ht="18" customHeight="1" s="7">
      <c r="A771" s="144" t="inlineStr">
        <is>
          <t xml:space="preserve">RICHARD KIRKLAND </t>
        </is>
      </c>
      <c r="B771" s="144" t="inlineStr">
        <is>
          <t>*050261216 GA</t>
        </is>
      </c>
      <c r="C771" s="144" t="inlineStr">
        <is>
          <t>FEDEX</t>
        </is>
      </c>
      <c r="D771" s="144" t="n">
        <v>2293474011</v>
      </c>
      <c r="E771" s="144" t="inlineStr">
        <is>
          <t>BOX</t>
        </is>
      </c>
      <c r="F771" s="144" t="inlineStr">
        <is>
          <t>2517501 IN</t>
        </is>
      </c>
      <c r="G771" s="144" t="inlineStr">
        <is>
          <t>WHITE KW</t>
        </is>
      </c>
      <c r="H771" s="144" t="inlineStr">
        <is>
          <t>BASEWIDE</t>
        </is>
      </c>
      <c r="I771" s="144" t="inlineStr">
        <is>
          <t>COMMERCIAL</t>
        </is>
      </c>
    </row>
    <row r="772" ht="18" customHeight="1" s="7">
      <c r="A772" s="144" t="inlineStr">
        <is>
          <t>LARRY HIGHTOWER</t>
        </is>
      </c>
      <c r="B772" s="144" t="inlineStr">
        <is>
          <t>*053791550 GA</t>
        </is>
      </c>
      <c r="C772" s="144" t="inlineStr">
        <is>
          <t>FEDEX</t>
        </is>
      </c>
      <c r="D772" s="144" t="n">
        <v>2293762836</v>
      </c>
      <c r="E772" s="144" t="inlineStr">
        <is>
          <t>BOX</t>
        </is>
      </c>
      <c r="F772" s="144" t="inlineStr">
        <is>
          <t>3AN366 OK</t>
        </is>
      </c>
      <c r="G772" s="144" t="inlineStr">
        <is>
          <t>WHITE FORD</t>
        </is>
      </c>
      <c r="H772" s="144" t="inlineStr">
        <is>
          <t>BASEWIDE</t>
        </is>
      </c>
      <c r="I772" s="144" t="inlineStr">
        <is>
          <t>COMMERCIAL</t>
        </is>
      </c>
    </row>
    <row r="773" ht="18" customHeight="1" s="7">
      <c r="A773" s="144" t="inlineStr">
        <is>
          <t xml:space="preserve">PEYTON MATTHEWS </t>
        </is>
      </c>
      <c r="B773" s="144" t="inlineStr">
        <is>
          <t>*061011732 GA</t>
        </is>
      </c>
      <c r="C773" s="144" t="inlineStr">
        <is>
          <t>TB&amp;J</t>
        </is>
      </c>
      <c r="D773" s="144" t="n">
        <v>2298699096</v>
      </c>
      <c r="E773" s="144" t="inlineStr">
        <is>
          <t>PU</t>
        </is>
      </c>
      <c r="F773" s="144" t="inlineStr">
        <is>
          <t xml:space="preserve">DBQ8072 GA </t>
        </is>
      </c>
      <c r="G773" s="144" t="inlineStr">
        <is>
          <t>WHITE FORD</t>
        </is>
      </c>
      <c r="H773" s="144" t="inlineStr">
        <is>
          <t>POLICE</t>
        </is>
      </c>
      <c r="I773" s="144" t="inlineStr">
        <is>
          <t xml:space="preserve">CONTRACTOR </t>
        </is>
      </c>
    </row>
    <row r="774" ht="18" customHeight="1" s="7">
      <c r="A774" s="144" t="inlineStr">
        <is>
          <t>MASON WISENER</t>
        </is>
      </c>
      <c r="B774" s="144" t="inlineStr">
        <is>
          <t>*057109064 GA</t>
        </is>
      </c>
      <c r="C774" s="144" t="inlineStr">
        <is>
          <t>LADE</t>
        </is>
      </c>
      <c r="D774" s="144" t="n">
        <v>2298695686</v>
      </c>
      <c r="E774" s="144" t="inlineStr">
        <is>
          <t>VAN</t>
        </is>
      </c>
      <c r="F774" s="144" t="inlineStr">
        <is>
          <t>SHX9161 GA</t>
        </is>
      </c>
      <c r="G774" s="144" t="inlineStr">
        <is>
          <t xml:space="preserve">WHITE FORD </t>
        </is>
      </c>
      <c r="H774" s="144" t="n">
        <v>1241</v>
      </c>
      <c r="I774" s="144" t="inlineStr">
        <is>
          <t xml:space="preserve">CONTRACTOR </t>
        </is>
      </c>
    </row>
    <row r="775" ht="18" customHeight="1" s="7">
      <c r="A775" s="144" t="inlineStr">
        <is>
          <t>TONY ALEXANDER</t>
        </is>
      </c>
      <c r="B775" s="144" t="inlineStr">
        <is>
          <t>*051685154 GA</t>
        </is>
      </c>
      <c r="C775" s="144" t="inlineStr">
        <is>
          <t>LOWE</t>
        </is>
      </c>
      <c r="D775" s="144" t="n">
        <v>8667794221</v>
      </c>
      <c r="E775" s="144" t="inlineStr">
        <is>
          <t>PU</t>
        </is>
      </c>
      <c r="F775" s="144" t="inlineStr">
        <is>
          <t>GEE143 GA</t>
        </is>
      </c>
      <c r="G775" s="144" t="inlineStr">
        <is>
          <t>WHITE FORD</t>
        </is>
      </c>
      <c r="H775" s="144" t="inlineStr">
        <is>
          <t>K-9</t>
        </is>
      </c>
      <c r="I775" s="144" t="inlineStr">
        <is>
          <t xml:space="preserve">CONTRACTOR </t>
        </is>
      </c>
    </row>
    <row r="776" ht="18" customHeight="1" s="7">
      <c r="A776" s="144" t="inlineStr">
        <is>
          <t>ARIEL EDWARDS</t>
        </is>
      </c>
      <c r="B776" s="144" t="inlineStr">
        <is>
          <t>*057123911 GA</t>
        </is>
      </c>
      <c r="C776" s="144" t="inlineStr">
        <is>
          <t>EDWARDS &amp; RYLIES</t>
        </is>
      </c>
      <c r="D776" s="144" t="n">
        <v>6783274902</v>
      </c>
      <c r="E776" s="144" t="inlineStr">
        <is>
          <t>BOX</t>
        </is>
      </c>
      <c r="F776" s="144" t="inlineStr">
        <is>
          <t>C184DY GA</t>
        </is>
      </c>
      <c r="G776" s="144" t="inlineStr">
        <is>
          <t>BLUE VOLVO</t>
        </is>
      </c>
      <c r="H776" s="144" t="n">
        <v>1221</v>
      </c>
      <c r="I776" s="144" t="inlineStr">
        <is>
          <t>COMMERCIAL</t>
        </is>
      </c>
    </row>
    <row r="777" ht="18" customHeight="1" s="7">
      <c r="A777" s="144" t="inlineStr">
        <is>
          <t>KENNETH ALLEN JR</t>
        </is>
      </c>
      <c r="B777" s="144" t="inlineStr">
        <is>
          <t>*012698327 GA</t>
        </is>
      </c>
      <c r="C777" s="144" t="inlineStr">
        <is>
          <t>ALLEN TRUF</t>
        </is>
      </c>
      <c r="D777" s="144" t="n">
        <v>2296721361</v>
      </c>
      <c r="E777" s="144" t="inlineStr">
        <is>
          <t>PU</t>
        </is>
      </c>
      <c r="F777" s="144" t="inlineStr">
        <is>
          <t>CXX6533 GA</t>
        </is>
      </c>
      <c r="G777" s="144" t="inlineStr">
        <is>
          <t>BLACK CHEVY</t>
        </is>
      </c>
      <c r="H777" s="144" t="inlineStr">
        <is>
          <t>SOLAR PANEL</t>
        </is>
      </c>
      <c r="I777" s="144" t="inlineStr">
        <is>
          <t xml:space="preserve">CONTRACTOR </t>
        </is>
      </c>
    </row>
    <row r="778" ht="18" customHeight="1" s="7">
      <c r="A778" s="144" t="inlineStr">
        <is>
          <t>CLIFTON LAWENCE</t>
        </is>
      </c>
      <c r="B778" s="144" t="inlineStr">
        <is>
          <t>*000009995767 NC</t>
        </is>
      </c>
      <c r="C778" s="144" t="inlineStr">
        <is>
          <t>LANDSTAR</t>
        </is>
      </c>
      <c r="D778" s="144" t="n">
        <v>7045627757</v>
      </c>
      <c r="E778" s="144" t="inlineStr">
        <is>
          <t>BOX</t>
        </is>
      </c>
      <c r="F778" s="144" t="inlineStr">
        <is>
          <t>NV6031 NC</t>
        </is>
      </c>
      <c r="G778" s="144" t="inlineStr">
        <is>
          <t>GREEN FL</t>
        </is>
      </c>
      <c r="H778" s="144" t="n">
        <v>1221</v>
      </c>
      <c r="I778" s="144" t="inlineStr">
        <is>
          <t>COMMERCIAL</t>
        </is>
      </c>
    </row>
    <row r="779" ht="18" customHeight="1" s="7">
      <c r="A779" s="144" t="inlineStr">
        <is>
          <t>DAVID HAWKINS</t>
        </is>
      </c>
      <c r="B779" s="144" t="inlineStr">
        <is>
          <t>*070514926 GA</t>
        </is>
      </c>
      <c r="C779" s="144" t="inlineStr">
        <is>
          <t>CHANTHAM STEEL</t>
        </is>
      </c>
      <c r="D779" s="144" t="n">
        <v>3854274843</v>
      </c>
      <c r="E779" s="144" t="inlineStr">
        <is>
          <t>FLAT</t>
        </is>
      </c>
      <c r="F779" s="144" t="inlineStr">
        <is>
          <t>3727803 IN</t>
        </is>
      </c>
      <c r="G779" s="144" t="inlineStr">
        <is>
          <t>RED FL</t>
        </is>
      </c>
      <c r="H779" s="144" t="n">
        <v>1221</v>
      </c>
      <c r="I779" s="144" t="inlineStr">
        <is>
          <t>COMMERCIAL</t>
        </is>
      </c>
    </row>
    <row r="780" ht="18" customHeight="1" s="7">
      <c r="A780" s="144" t="inlineStr">
        <is>
          <t>BROWN WILLIAM JR</t>
        </is>
      </c>
      <c r="B780" s="144" t="inlineStr">
        <is>
          <t>*000036546181 NC</t>
        </is>
      </c>
      <c r="C780" s="144" t="inlineStr">
        <is>
          <t>JB EXPRESS</t>
        </is>
      </c>
      <c r="D780" s="144" t="n">
        <v>9105513507</v>
      </c>
      <c r="E780" s="144" t="inlineStr">
        <is>
          <t>FLAT</t>
        </is>
      </c>
      <c r="F780" s="144" t="inlineStr">
        <is>
          <t>TD5753 NC</t>
        </is>
      </c>
      <c r="G780" s="144" t="inlineStr">
        <is>
          <t>BLACK PETERBILT</t>
        </is>
      </c>
      <c r="H780" s="144" t="n">
        <v>1221</v>
      </c>
      <c r="I780" s="144" t="inlineStr">
        <is>
          <t>COMMERCIAL</t>
        </is>
      </c>
    </row>
    <row r="781" ht="18" customHeight="1" s="7">
      <c r="A781" s="144" t="inlineStr">
        <is>
          <t>NASEEM MUHAMMAD UMAR</t>
        </is>
      </c>
      <c r="B781" s="144" t="inlineStr">
        <is>
          <t>48409768 TX</t>
        </is>
      </c>
      <c r="C781" s="144" t="inlineStr">
        <is>
          <t>HIGHLAND</t>
        </is>
      </c>
      <c r="D781" s="144" t="n">
        <v>5164991633</v>
      </c>
      <c r="E781" s="144" t="inlineStr">
        <is>
          <t>BOX</t>
        </is>
      </c>
      <c r="F781" s="144" t="inlineStr">
        <is>
          <t>R648923 TX</t>
        </is>
      </c>
      <c r="G781" s="144" t="inlineStr">
        <is>
          <t>WHITE FL</t>
        </is>
      </c>
      <c r="H781" s="144" t="n">
        <v>1221</v>
      </c>
      <c r="I781" s="144" t="inlineStr">
        <is>
          <t>COMMERCIAL</t>
        </is>
      </c>
    </row>
    <row r="782" ht="18" customHeight="1" s="7">
      <c r="A782" s="144" t="inlineStr">
        <is>
          <t xml:space="preserve">MUSSIN YERMEK </t>
        </is>
      </c>
      <c r="B782" s="144" t="inlineStr">
        <is>
          <t>M25096081041 IL</t>
        </is>
      </c>
      <c r="C782" s="144" t="inlineStr">
        <is>
          <t>A2V</t>
        </is>
      </c>
      <c r="D782" s="144" t="n">
        <v>7012127885</v>
      </c>
      <c r="E782" s="144" t="inlineStr">
        <is>
          <t>BOX</t>
        </is>
      </c>
      <c r="F782" s="144" t="inlineStr">
        <is>
          <t>P1244997 IL</t>
        </is>
      </c>
      <c r="G782" s="144" t="inlineStr">
        <is>
          <t>WHITE FL</t>
        </is>
      </c>
      <c r="H782" s="144" t="n">
        <v>1221</v>
      </c>
      <c r="I782" s="144" t="inlineStr">
        <is>
          <t>COMMERCIAL</t>
        </is>
      </c>
    </row>
    <row r="783" ht="18" customHeight="1" s="7">
      <c r="A783" s="144" t="inlineStr">
        <is>
          <t>LEWIS CHRISTOPHER</t>
        </is>
      </c>
      <c r="B783" s="144" t="inlineStr">
        <is>
          <t>801344594 MS</t>
        </is>
      </c>
      <c r="C783" s="144" t="inlineStr">
        <is>
          <t>SELECT ONE</t>
        </is>
      </c>
      <c r="D783" s="144" t="n">
        <v>6019960121</v>
      </c>
      <c r="E783" s="144" t="inlineStr">
        <is>
          <t>BOX</t>
        </is>
      </c>
      <c r="F783" s="144" t="inlineStr">
        <is>
          <t>P1140182 IL</t>
        </is>
      </c>
      <c r="G783" s="144" t="inlineStr">
        <is>
          <t>WHITE KW</t>
        </is>
      </c>
      <c r="H783" s="144" t="n">
        <v>1221</v>
      </c>
      <c r="I783" s="144" t="inlineStr">
        <is>
          <t>COMMERCIAL</t>
        </is>
      </c>
    </row>
    <row r="784" ht="18" customHeight="1" s="7">
      <c r="A784" s="144" t="inlineStr">
        <is>
          <t>DEVONTE COPES</t>
        </is>
      </c>
      <c r="B784" s="144" t="inlineStr">
        <is>
          <t>8303565 AL</t>
        </is>
      </c>
      <c r="C784" s="144" t="inlineStr">
        <is>
          <t>NANTZE</t>
        </is>
      </c>
      <c r="D784" s="144" t="n">
        <v>3346188294</v>
      </c>
      <c r="E784" s="144" t="inlineStr">
        <is>
          <t>BOX</t>
        </is>
      </c>
      <c r="F784" s="144" t="inlineStr">
        <is>
          <t>38A7D1 AL</t>
        </is>
      </c>
      <c r="G784" s="144" t="inlineStr">
        <is>
          <t>WHITE FL</t>
        </is>
      </c>
      <c r="H784" s="144" t="n">
        <v>3500</v>
      </c>
      <c r="I784" s="144" t="inlineStr">
        <is>
          <t>COMMERCIAL</t>
        </is>
      </c>
    </row>
    <row r="785" ht="18" customHeight="1" s="7">
      <c r="A785" s="144" t="inlineStr">
        <is>
          <t>SUKHVIR KUMAR</t>
        </is>
      </c>
      <c r="B785" s="144" t="inlineStr">
        <is>
          <t>7826958 AL</t>
        </is>
      </c>
      <c r="C785" s="144" t="inlineStr">
        <is>
          <t>SK TRANS</t>
        </is>
      </c>
      <c r="D785" s="144" t="n">
        <v>2564432203</v>
      </c>
      <c r="E785" s="144" t="inlineStr">
        <is>
          <t>BOX</t>
        </is>
      </c>
      <c r="F785" s="144" t="inlineStr">
        <is>
          <t>1193536  AL</t>
        </is>
      </c>
      <c r="G785" s="144" t="inlineStr">
        <is>
          <t>GREY PETERBILT</t>
        </is>
      </c>
      <c r="H785" s="144" t="n">
        <v>1221</v>
      </c>
      <c r="I785" s="144" t="inlineStr">
        <is>
          <t>COMMERCIAL</t>
        </is>
      </c>
    </row>
    <row r="786" ht="18" customHeight="1" s="7">
      <c r="A786" s="144" t="inlineStr">
        <is>
          <t>TAYLOR HOWELL</t>
        </is>
      </c>
      <c r="B786" s="144" t="inlineStr">
        <is>
          <t>*052875594 GA</t>
        </is>
      </c>
      <c r="C786" s="144" t="inlineStr">
        <is>
          <t xml:space="preserve">SOWEGA </t>
        </is>
      </c>
      <c r="D786" s="144" t="n">
        <v>2298153179</v>
      </c>
      <c r="E786" s="144" t="inlineStr">
        <is>
          <t>PU</t>
        </is>
      </c>
      <c r="F786" s="144" t="inlineStr">
        <is>
          <t>GLA967 GA</t>
        </is>
      </c>
      <c r="G786" s="144" t="inlineStr">
        <is>
          <t>WHITE FORD</t>
        </is>
      </c>
      <c r="H786" s="144" t="n">
        <v>5500</v>
      </c>
      <c r="I786" s="144" t="inlineStr">
        <is>
          <t xml:space="preserve">CONTRACTOR </t>
        </is>
      </c>
    </row>
    <row r="787" ht="18" customHeight="1" s="7">
      <c r="A787" s="144" t="inlineStr">
        <is>
          <t>WILLIAM OWENS</t>
        </is>
      </c>
      <c r="B787" s="144" t="inlineStr">
        <is>
          <t>UD904081 OH</t>
        </is>
      </c>
      <c r="C787" s="144" t="inlineStr">
        <is>
          <t>LANDSTAR</t>
        </is>
      </c>
      <c r="D787" s="144" t="n">
        <v>3045881745</v>
      </c>
      <c r="E787" s="144" t="inlineStr">
        <is>
          <t>BOX</t>
        </is>
      </c>
      <c r="F787" s="144" t="inlineStr">
        <is>
          <t>2629731 IN</t>
        </is>
      </c>
      <c r="G787" s="144" t="inlineStr">
        <is>
          <t>WHITE FREIGHTLINER</t>
        </is>
      </c>
      <c r="H787" s="144" t="n">
        <v>1221</v>
      </c>
      <c r="I787" s="144" t="inlineStr">
        <is>
          <t>COMMERCIAL</t>
        </is>
      </c>
    </row>
    <row r="788" ht="18" customHeight="1" s="7">
      <c r="A788" s="144" t="inlineStr">
        <is>
          <t>JOSEPH THOMAS</t>
        </is>
      </c>
      <c r="B788" s="144" t="inlineStr">
        <is>
          <t>*051715625 GA</t>
        </is>
      </c>
      <c r="C788" s="144" t="inlineStr">
        <is>
          <t>JETLINE LOGISTICS</t>
        </is>
      </c>
      <c r="D788" s="144" t="n">
        <v>2293443132</v>
      </c>
      <c r="E788" s="144" t="inlineStr">
        <is>
          <t>FLAT</t>
        </is>
      </c>
      <c r="F788" s="144" t="inlineStr">
        <is>
          <t>C8051A GA</t>
        </is>
      </c>
      <c r="G788" s="144" t="inlineStr">
        <is>
          <t>BLUE KENWORTH</t>
        </is>
      </c>
      <c r="H788" s="144" t="n">
        <v>1221</v>
      </c>
      <c r="I788" s="144" t="inlineStr">
        <is>
          <t>COMMERCIAL</t>
        </is>
      </c>
    </row>
    <row r="789" ht="18" customHeight="1" s="7">
      <c r="A789" s="144" t="inlineStr">
        <is>
          <t>WILLY JONES</t>
        </is>
      </c>
      <c r="B789" s="144" t="inlineStr">
        <is>
          <t>*049049090 GA</t>
        </is>
      </c>
      <c r="C789" s="144" t="inlineStr">
        <is>
          <t>Q&amp;SONS LOG</t>
        </is>
      </c>
      <c r="D789" s="144" t="n">
        <v>2293954824</v>
      </c>
      <c r="E789" s="144" t="inlineStr">
        <is>
          <t>FLAT</t>
        </is>
      </c>
      <c r="F789" s="144" t="inlineStr">
        <is>
          <t>C2359A GA</t>
        </is>
      </c>
      <c r="G789" s="144" t="inlineStr">
        <is>
          <t>WHITE INTERNATIONAL</t>
        </is>
      </c>
      <c r="H789" s="144" t="n">
        <v>10200</v>
      </c>
      <c r="I789" s="144" t="inlineStr">
        <is>
          <t>COMMERCIAL</t>
        </is>
      </c>
    </row>
    <row r="790" ht="18" customHeight="1" s="7">
      <c r="A790" s="144" t="inlineStr">
        <is>
          <t>ELIDRISSI MOUHCINE</t>
        </is>
      </c>
      <c r="B790" s="144" t="inlineStr">
        <is>
          <t>*E436540943870 FL</t>
        </is>
      </c>
      <c r="C790" s="144" t="inlineStr">
        <is>
          <t>FLYING CAT LLC</t>
        </is>
      </c>
      <c r="D790" s="144" t="n">
        <v>4077502828</v>
      </c>
      <c r="E790" s="144" t="inlineStr">
        <is>
          <t>BOX</t>
        </is>
      </c>
      <c r="F790" s="144" t="inlineStr">
        <is>
          <t>P1281103 IL</t>
        </is>
      </c>
      <c r="G790" s="144" t="inlineStr">
        <is>
          <t>WHITE FREIGHTLINER</t>
        </is>
      </c>
      <c r="H790" s="144" t="n">
        <v>1340</v>
      </c>
      <c r="I790" s="144" t="inlineStr">
        <is>
          <t>COMMERCIAL</t>
        </is>
      </c>
    </row>
    <row r="791" ht="18" customHeight="1" s="7">
      <c r="A791" s="144" t="inlineStr">
        <is>
          <t>NICHOLAS EDWARDS</t>
        </is>
      </c>
      <c r="B791" s="144" t="inlineStr">
        <is>
          <t>*062092380 GA</t>
        </is>
      </c>
      <c r="C791" s="144" t="inlineStr">
        <is>
          <t>H2O</t>
        </is>
      </c>
      <c r="D791" s="144" t="n">
        <v>2293044789</v>
      </c>
      <c r="E791" s="144" t="inlineStr">
        <is>
          <t>PU</t>
        </is>
      </c>
      <c r="F791" s="144" t="inlineStr">
        <is>
          <t>SHP0458 GA</t>
        </is>
      </c>
      <c r="G791" s="144" t="inlineStr">
        <is>
          <t>WHITE DODGE</t>
        </is>
      </c>
      <c r="H791" s="144" t="n">
        <v>10100</v>
      </c>
      <c r="I791" s="144" t="inlineStr">
        <is>
          <t xml:space="preserve">CONTRACTOR </t>
        </is>
      </c>
    </row>
    <row r="792" ht="18" customHeight="1" s="7">
      <c r="A792" s="144" t="inlineStr">
        <is>
          <t>ALVARADO MISAEL</t>
        </is>
      </c>
      <c r="B792" s="144" t="inlineStr">
        <is>
          <t>15526428 TX</t>
        </is>
      </c>
      <c r="C792" s="144" t="inlineStr">
        <is>
          <t>PEREGRINE LOG</t>
        </is>
      </c>
      <c r="D792" s="144" t="n">
        <v>2148921472</v>
      </c>
      <c r="E792" s="144" t="inlineStr">
        <is>
          <t>PU</t>
        </is>
      </c>
      <c r="F792" s="144" t="inlineStr">
        <is>
          <t>K130331 TX</t>
        </is>
      </c>
      <c r="G792" s="144" t="inlineStr">
        <is>
          <t>GRAY DODGE</t>
        </is>
      </c>
      <c r="H792" s="144" t="n">
        <v>1221</v>
      </c>
      <c r="I792" s="144" t="inlineStr">
        <is>
          <t xml:space="preserve">CONTRACTOR </t>
        </is>
      </c>
    </row>
    <row r="793" ht="18" customHeight="1" s="7">
      <c r="A793" s="144" t="inlineStr">
        <is>
          <t>BARRY DAVIS</t>
        </is>
      </c>
      <c r="B793" s="144" t="inlineStr">
        <is>
          <t>*054609116 GA</t>
        </is>
      </c>
      <c r="C793" s="144" t="inlineStr">
        <is>
          <t>ENGINEERING &amp; EQUPIMENT</t>
        </is>
      </c>
      <c r="D793" s="144" t="n">
        <v>2298817225</v>
      </c>
      <c r="E793" s="144" t="inlineStr">
        <is>
          <t>PU</t>
        </is>
      </c>
      <c r="F793" s="144" t="inlineStr">
        <is>
          <t>BEY7192 GA</t>
        </is>
      </c>
      <c r="G793" s="144" t="inlineStr">
        <is>
          <t>WHITE FORD</t>
        </is>
      </c>
      <c r="H793" s="144" t="n">
        <v>5500</v>
      </c>
      <c r="I793" s="144" t="inlineStr">
        <is>
          <t xml:space="preserve">CONTRACTOR </t>
        </is>
      </c>
    </row>
    <row r="794" ht="18" customHeight="1" s="7">
      <c r="A794" s="144" t="inlineStr">
        <is>
          <t>MADEJ JACEK</t>
        </is>
      </c>
      <c r="B794" s="144" t="inlineStr">
        <is>
          <t>33610056 PA</t>
        </is>
      </c>
      <c r="C794" s="144" t="inlineStr">
        <is>
          <t>MILE PIERER</t>
        </is>
      </c>
      <c r="D794" s="144" t="n">
        <v>5169378243</v>
      </c>
      <c r="E794" s="144" t="inlineStr">
        <is>
          <t>FLAT</t>
        </is>
      </c>
      <c r="F794" s="144" t="inlineStr">
        <is>
          <t>AH01181 PA</t>
        </is>
      </c>
      <c r="G794" s="144" t="inlineStr">
        <is>
          <t>WHITE VOLVO</t>
        </is>
      </c>
      <c r="H794" s="144" t="n">
        <v>1221</v>
      </c>
      <c r="I794" s="144" t="inlineStr">
        <is>
          <t>COMMERCIAL</t>
        </is>
      </c>
    </row>
    <row r="795" ht="18" customHeight="1" s="7">
      <c r="A795" s="144" t="inlineStr">
        <is>
          <t>HALLBERG GERALD</t>
        </is>
      </c>
      <c r="B795" s="144" t="inlineStr">
        <is>
          <t>*003630648 SC</t>
        </is>
      </c>
      <c r="C795" s="144" t="inlineStr">
        <is>
          <t>LANDSTAR</t>
        </is>
      </c>
      <c r="D795" s="144" t="n">
        <v>8434651363</v>
      </c>
      <c r="E795" s="144" t="inlineStr">
        <is>
          <t>BOX</t>
        </is>
      </c>
      <c r="F795" s="144" t="inlineStr">
        <is>
          <t>P678141 SC</t>
        </is>
      </c>
      <c r="G795" s="144" t="inlineStr">
        <is>
          <t>WHITE FORD</t>
        </is>
      </c>
      <c r="H795" s="144" t="n">
        <v>1221</v>
      </c>
      <c r="I795" s="144" t="inlineStr">
        <is>
          <t>COMMERCIAL</t>
        </is>
      </c>
    </row>
    <row r="796" ht="18" customHeight="1" s="7">
      <c r="A796" s="144" t="inlineStr">
        <is>
          <t>BROWN A JAMES</t>
        </is>
      </c>
      <c r="B796" s="144" t="inlineStr">
        <is>
          <t>*000007227430 NC</t>
        </is>
      </c>
      <c r="C796" s="144" t="inlineStr">
        <is>
          <t>ELE</t>
        </is>
      </c>
      <c r="D796" s="144" t="n">
        <v>9103799094</v>
      </c>
      <c r="E796" s="144" t="inlineStr">
        <is>
          <t>BOX</t>
        </is>
      </c>
      <c r="F796" s="144" t="inlineStr">
        <is>
          <t>NK5156 NC</t>
        </is>
      </c>
      <c r="G796" s="144" t="inlineStr">
        <is>
          <t>TAN FREIGHT</t>
        </is>
      </c>
      <c r="H796" s="144" t="n">
        <v>1221</v>
      </c>
      <c r="I796" s="144" t="inlineStr">
        <is>
          <t>COMMERCIAL</t>
        </is>
      </c>
    </row>
    <row r="797" ht="18" customHeight="1" s="7">
      <c r="A797" s="144" t="inlineStr">
        <is>
          <t>RICHARD HALL JR</t>
        </is>
      </c>
      <c r="B797" s="144" t="inlineStr">
        <is>
          <t>*045373877 GA</t>
        </is>
      </c>
      <c r="C797" s="144" t="inlineStr">
        <is>
          <t>SALA</t>
        </is>
      </c>
      <c r="D797" s="144" t="n">
        <v>4236378437</v>
      </c>
      <c r="E797" s="144" t="inlineStr">
        <is>
          <t>BOX</t>
        </is>
      </c>
      <c r="F797" s="144" t="inlineStr">
        <is>
          <t>P236992 LA</t>
        </is>
      </c>
      <c r="G797" s="144" t="inlineStr">
        <is>
          <t>RED FREIGHT</t>
        </is>
      </c>
      <c r="H797" s="144" t="inlineStr">
        <is>
          <t>HOUSING</t>
        </is>
      </c>
      <c r="I797" s="144" t="inlineStr">
        <is>
          <t>COMMERCIAL</t>
        </is>
      </c>
    </row>
    <row r="798" ht="18" customHeight="1" s="7">
      <c r="A798" s="144" t="inlineStr">
        <is>
          <t>KEATON JONES</t>
        </is>
      </c>
      <c r="B798" s="144" t="inlineStr">
        <is>
          <t>J520501904530 FL</t>
        </is>
      </c>
      <c r="C798" s="144" t="inlineStr">
        <is>
          <t>XPO LOGISTICS</t>
        </is>
      </c>
      <c r="D798" s="144" t="n">
        <v>9544396460</v>
      </c>
      <c r="E798" s="144" t="inlineStr">
        <is>
          <t>BOX</t>
        </is>
      </c>
      <c r="F798" s="144" t="inlineStr">
        <is>
          <t>3785621 IN</t>
        </is>
      </c>
      <c r="G798" s="144" t="inlineStr">
        <is>
          <t>WHITE FREIGHTLINER</t>
        </is>
      </c>
      <c r="H798" s="144" t="n">
        <v>1221</v>
      </c>
      <c r="I798" s="144" t="inlineStr">
        <is>
          <t>COMMERCIAL</t>
        </is>
      </c>
    </row>
    <row r="799" ht="18" customHeight="1" s="7">
      <c r="A799" s="144" t="inlineStr">
        <is>
          <t>THOMAS SIZEMORE</t>
        </is>
      </c>
      <c r="B799" s="144" t="inlineStr">
        <is>
          <t>*055560253 GA</t>
        </is>
      </c>
      <c r="C799" s="144" t="inlineStr">
        <is>
          <t>SIZEMORE BROS</t>
        </is>
      </c>
      <c r="D799" s="144" t="n">
        <v>2293470370</v>
      </c>
      <c r="E799" s="144" t="inlineStr">
        <is>
          <t>BOX</t>
        </is>
      </c>
      <c r="F799" s="144" t="inlineStr">
        <is>
          <t>SDL6901 GA</t>
        </is>
      </c>
      <c r="G799" s="144" t="inlineStr">
        <is>
          <t>WHITE FORD</t>
        </is>
      </c>
      <c r="H799" s="144" t="n">
        <v>7130</v>
      </c>
      <c r="I799" s="144" t="inlineStr">
        <is>
          <t>COMMERCIAL</t>
        </is>
      </c>
    </row>
    <row r="800" ht="18" customHeight="1" s="7">
      <c r="A800" s="144" t="inlineStr">
        <is>
          <t>MCALLISTER JAMES</t>
        </is>
      </c>
      <c r="B800" s="144" t="inlineStr">
        <is>
          <t>*000008895226 NC</t>
        </is>
      </c>
      <c r="C800" s="144" t="inlineStr">
        <is>
          <t>BLACK BOX</t>
        </is>
      </c>
      <c r="D800" s="144" t="n">
        <v>9105405093</v>
      </c>
      <c r="E800" s="144" t="inlineStr">
        <is>
          <t>FLAT</t>
        </is>
      </c>
      <c r="F800" s="144" t="inlineStr">
        <is>
          <t>MM1837 NC</t>
        </is>
      </c>
      <c r="G800" s="144" t="inlineStr">
        <is>
          <t>RED PETERBILT</t>
        </is>
      </c>
      <c r="H800" s="144" t="n">
        <v>1221</v>
      </c>
      <c r="I800" s="144" t="inlineStr">
        <is>
          <t>COMMERCIAL</t>
        </is>
      </c>
    </row>
    <row r="801" ht="18" customHeight="1" s="7">
      <c r="A801" s="144" t="inlineStr">
        <is>
          <t>MCLEISH KASHIEF</t>
        </is>
      </c>
      <c r="B801" s="144" t="inlineStr">
        <is>
          <t>M242504882020 FL</t>
        </is>
      </c>
      <c r="C801" s="144" t="inlineStr">
        <is>
          <t>MB GLOBAL</t>
        </is>
      </c>
      <c r="D801" s="144" t="n">
        <v>9548515397</v>
      </c>
      <c r="E801" s="144" t="inlineStr">
        <is>
          <t>BOX</t>
        </is>
      </c>
      <c r="F801" s="144" t="inlineStr">
        <is>
          <t>3543883 IN</t>
        </is>
      </c>
      <c r="G801" s="144" t="inlineStr">
        <is>
          <t>YELLOW VOLVO</t>
        </is>
      </c>
      <c r="H801" s="144" t="n">
        <v>1221</v>
      </c>
      <c r="I801" s="144" t="inlineStr">
        <is>
          <t>COMMERCIAL</t>
        </is>
      </c>
    </row>
    <row r="802" ht="18" customHeight="1" s="7">
      <c r="A802" s="144" t="inlineStr">
        <is>
          <t>CHARLES BOYKIN</t>
        </is>
      </c>
      <c r="B802" s="144" t="inlineStr">
        <is>
          <t>7047348 AL</t>
        </is>
      </c>
      <c r="C802" s="144" t="inlineStr">
        <is>
          <t>BOYKIN TRUCKING</t>
        </is>
      </c>
      <c r="D802" s="144" t="n">
        <v>3345054516</v>
      </c>
      <c r="E802" s="144" t="inlineStr">
        <is>
          <t>FLAT</t>
        </is>
      </c>
      <c r="F802" s="144" t="inlineStr">
        <is>
          <t>1178580 AL</t>
        </is>
      </c>
      <c r="G802" s="144" t="inlineStr">
        <is>
          <t>RED PETERBILT</t>
        </is>
      </c>
      <c r="H802" s="144" t="n">
        <v>1221</v>
      </c>
      <c r="I802" s="144" t="inlineStr">
        <is>
          <t>COMMERCIAL</t>
        </is>
      </c>
    </row>
    <row r="803" ht="18" customHeight="1" s="7">
      <c r="A803" s="144" t="inlineStr">
        <is>
          <t>KERCADO SAMUEL</t>
        </is>
      </c>
      <c r="B803" s="144" t="inlineStr">
        <is>
          <t>22980926 PA</t>
        </is>
      </c>
      <c r="C803" s="144" t="inlineStr">
        <is>
          <t>CADDY</t>
        </is>
      </c>
      <c r="D803" s="144" t="n">
        <v>8148126833</v>
      </c>
      <c r="E803" s="144" t="inlineStr">
        <is>
          <t>FLAT</t>
        </is>
      </c>
      <c r="F803" s="144" t="inlineStr">
        <is>
          <t>VW1146 NC</t>
        </is>
      </c>
      <c r="G803" s="144" t="inlineStr">
        <is>
          <t>WHITE MACK</t>
        </is>
      </c>
      <c r="H803" s="144" t="n">
        <v>1221</v>
      </c>
      <c r="I803" s="144" t="inlineStr">
        <is>
          <t>COMMERCIAL</t>
        </is>
      </c>
    </row>
    <row r="804" ht="18" customHeight="1" s="7">
      <c r="A804" s="144" t="inlineStr">
        <is>
          <t>WILLIAM MCINTYRE</t>
        </is>
      </c>
      <c r="B804" s="144" t="inlineStr">
        <is>
          <t>*055613867 GA</t>
        </is>
      </c>
      <c r="C804" s="144" t="inlineStr">
        <is>
          <t>ALBANY AIR</t>
        </is>
      </c>
      <c r="D804" s="144" t="n">
        <v>2294360341</v>
      </c>
      <c r="E804" s="144" t="inlineStr">
        <is>
          <t>PU</t>
        </is>
      </c>
      <c r="F804" s="144" t="inlineStr">
        <is>
          <t>CSE7190 GA</t>
        </is>
      </c>
      <c r="G804" s="144" t="inlineStr">
        <is>
          <t>WHITE FORD</t>
        </is>
      </c>
      <c r="H804" s="144" t="n">
        <v>1210</v>
      </c>
      <c r="I804" s="144" t="inlineStr">
        <is>
          <t xml:space="preserve">CONTRACTOR </t>
        </is>
      </c>
    </row>
    <row r="805" ht="18" customHeight="1" s="7">
      <c r="A805" s="144" t="inlineStr">
        <is>
          <t>DAVID FERGUSON</t>
        </is>
      </c>
      <c r="B805" s="144" t="inlineStr">
        <is>
          <t>*049735436 GA</t>
        </is>
      </c>
      <c r="C805" s="144" t="inlineStr">
        <is>
          <t>GOV PLANET</t>
        </is>
      </c>
      <c r="D805" s="144" t="n">
        <v>2298696202</v>
      </c>
      <c r="E805" s="144" t="inlineStr">
        <is>
          <t>PU</t>
        </is>
      </c>
      <c r="F805" s="144" t="inlineStr">
        <is>
          <t>EYM551 GA</t>
        </is>
      </c>
      <c r="G805" s="144" t="inlineStr">
        <is>
          <t>GREY DODGE</t>
        </is>
      </c>
      <c r="H805" s="144" t="inlineStr">
        <is>
          <t>LOT Z58</t>
        </is>
      </c>
      <c r="I805" s="144" t="inlineStr">
        <is>
          <t xml:space="preserve">CONTRACTOR </t>
        </is>
      </c>
    </row>
    <row r="806" ht="18" customHeight="1" s="7">
      <c r="A806" s="144" t="inlineStr">
        <is>
          <t>VINCENT WOODMANCY</t>
        </is>
      </c>
      <c r="B806" s="144" t="inlineStr">
        <is>
          <t>*071440172 GA</t>
        </is>
      </c>
      <c r="C806" s="144" t="inlineStr">
        <is>
          <t xml:space="preserve">CURRENT EDGE </t>
        </is>
      </c>
      <c r="D806" s="144" t="n">
        <v>912414417</v>
      </c>
      <c r="E806" s="144" t="inlineStr">
        <is>
          <t>PU</t>
        </is>
      </c>
      <c r="F806" s="144" t="inlineStr">
        <is>
          <t>DTY3562 GA</t>
        </is>
      </c>
      <c r="G806" s="144" t="inlineStr">
        <is>
          <t>WHITE CHEVY</t>
        </is>
      </c>
      <c r="H806" s="144" t="inlineStr">
        <is>
          <t>SOLAR PANEL</t>
        </is>
      </c>
      <c r="I806" s="144" t="inlineStr">
        <is>
          <t xml:space="preserve">CONTRACTOR </t>
        </is>
      </c>
    </row>
    <row r="807" ht="18" customHeight="1" s="7">
      <c r="A807" s="144" t="inlineStr">
        <is>
          <t>JOSEPH WILSON</t>
        </is>
      </c>
      <c r="B807" s="144" t="inlineStr">
        <is>
          <t>*032908802 GA</t>
        </is>
      </c>
      <c r="C807" s="144" t="inlineStr">
        <is>
          <t>SCHNITZER</t>
        </is>
      </c>
      <c r="D807" s="144" t="n">
        <v>2294326255</v>
      </c>
      <c r="E807" s="144" t="inlineStr">
        <is>
          <t>DUMP</t>
        </is>
      </c>
      <c r="F807" s="144" t="inlineStr">
        <is>
          <t>EMB093 GA</t>
        </is>
      </c>
      <c r="G807" s="144" t="inlineStr">
        <is>
          <t>WHITE MACK</t>
        </is>
      </c>
      <c r="H807" s="144" t="n">
        <v>1221</v>
      </c>
      <c r="I807" s="144" t="inlineStr">
        <is>
          <t>COMMERCIAL</t>
        </is>
      </c>
    </row>
    <row r="808" ht="18" customHeight="1" s="7">
      <c r="A808" s="144" t="inlineStr">
        <is>
          <t>PAUL TOLBERT</t>
        </is>
      </c>
      <c r="B808" s="144" t="inlineStr">
        <is>
          <t>5909293 AL</t>
        </is>
      </c>
      <c r="C808" s="144" t="inlineStr">
        <is>
          <t>XEROX</t>
        </is>
      </c>
      <c r="D808" s="144" t="n">
        <v>3342960064</v>
      </c>
      <c r="E808" s="144" t="inlineStr">
        <is>
          <t>PU</t>
        </is>
      </c>
      <c r="F808" s="144" t="inlineStr">
        <is>
          <t>43C1PMT AL</t>
        </is>
      </c>
      <c r="G808" s="144" t="inlineStr">
        <is>
          <t>WHITE DODGE</t>
        </is>
      </c>
      <c r="H808" s="144" t="n">
        <v>2200</v>
      </c>
      <c r="I808" s="144" t="inlineStr">
        <is>
          <t xml:space="preserve">CONTRACTOR </t>
        </is>
      </c>
    </row>
    <row r="809" ht="18" customHeight="1" s="7">
      <c r="A809" s="144" t="inlineStr">
        <is>
          <t>CHARLES DUNN</t>
        </is>
      </c>
      <c r="B809" s="144" t="inlineStr">
        <is>
          <t>D09067169 AL</t>
        </is>
      </c>
      <c r="C809" s="144" t="inlineStr">
        <is>
          <t>XLG</t>
        </is>
      </c>
      <c r="D809" s="144" t="n">
        <v>5805149221</v>
      </c>
      <c r="E809" s="144" t="inlineStr">
        <is>
          <t>FLAT</t>
        </is>
      </c>
      <c r="F809" s="144" t="inlineStr">
        <is>
          <t>3669496 IN</t>
        </is>
      </c>
      <c r="G809" s="144" t="inlineStr">
        <is>
          <t>YELLOW KW</t>
        </is>
      </c>
      <c r="H809" s="144" t="n">
        <v>1221</v>
      </c>
      <c r="I809" s="144" t="inlineStr">
        <is>
          <t>COMMERCIAL</t>
        </is>
      </c>
    </row>
    <row r="810" ht="18" customHeight="1" s="7">
      <c r="A810" s="144" t="inlineStr">
        <is>
          <t>WILLIAM DENT</t>
        </is>
      </c>
      <c r="B810" s="144" t="inlineStr">
        <is>
          <t>*061729020 GA</t>
        </is>
      </c>
      <c r="C810" s="144" t="inlineStr">
        <is>
          <t>ESTES</t>
        </is>
      </c>
      <c r="D810" s="144" t="n">
        <v>2293438632</v>
      </c>
      <c r="E810" s="144" t="inlineStr">
        <is>
          <t>BOX</t>
        </is>
      </c>
      <c r="F810" s="144" t="inlineStr">
        <is>
          <t>3589412 IN</t>
        </is>
      </c>
      <c r="G810" s="144" t="inlineStr">
        <is>
          <t>YELLOW FL</t>
        </is>
      </c>
      <c r="H810" s="144" t="n">
        <v>1221</v>
      </c>
      <c r="I810" s="144" t="inlineStr">
        <is>
          <t>COMMERCIAL</t>
        </is>
      </c>
    </row>
    <row r="811" ht="18" customHeight="1" s="7">
      <c r="A811" s="144" t="inlineStr">
        <is>
          <t>BELEHU TADESSE</t>
        </is>
      </c>
      <c r="B811" s="144" t="inlineStr">
        <is>
          <t>22135996 TX</t>
        </is>
      </c>
      <c r="C811" s="144" t="inlineStr">
        <is>
          <t>SHIBA</t>
        </is>
      </c>
      <c r="D811" s="144" t="n">
        <v>8328635707</v>
      </c>
      <c r="E811" s="144" t="inlineStr">
        <is>
          <t>BOX</t>
        </is>
      </c>
      <c r="F811" s="144" t="inlineStr">
        <is>
          <t xml:space="preserve">P1144295 IL </t>
        </is>
      </c>
      <c r="G811" s="144" t="inlineStr">
        <is>
          <t>WHITE FL</t>
        </is>
      </c>
      <c r="H811" s="144" t="n">
        <v>1221</v>
      </c>
      <c r="I811" s="144" t="inlineStr">
        <is>
          <t>COMMERCIAL</t>
        </is>
      </c>
    </row>
    <row r="812" ht="18" customHeight="1" s="7">
      <c r="A812" s="144" t="inlineStr">
        <is>
          <t>ADARIUS DEVORSE</t>
        </is>
      </c>
      <c r="B812" s="144" t="inlineStr">
        <is>
          <t>9555169 AL</t>
        </is>
      </c>
      <c r="C812" s="144" t="inlineStr">
        <is>
          <t>J.B. HUNT</t>
        </is>
      </c>
      <c r="D812" s="144" t="n">
        <v>3347526591</v>
      </c>
      <c r="E812" s="144" t="inlineStr">
        <is>
          <t>BOX</t>
        </is>
      </c>
      <c r="F812" s="144" t="inlineStr">
        <is>
          <t>3577868 IN</t>
        </is>
      </c>
      <c r="G812" s="144" t="inlineStr">
        <is>
          <t>WHITE INTERNATIONAL</t>
        </is>
      </c>
      <c r="H812" s="144" t="n">
        <v>1331</v>
      </c>
      <c r="I812" s="144" t="inlineStr">
        <is>
          <t>COMMERCIAL</t>
        </is>
      </c>
    </row>
    <row r="813" ht="18" customHeight="1" s="7">
      <c r="A813" s="144" t="inlineStr">
        <is>
          <t>KELETA FANUEL</t>
        </is>
      </c>
      <c r="B813" s="144" t="inlineStr">
        <is>
          <t>48604966 TX</t>
        </is>
      </c>
      <c r="C813" s="144" t="inlineStr">
        <is>
          <t>BURUK LLC</t>
        </is>
      </c>
      <c r="D813" s="144" t="n">
        <v>5106901533</v>
      </c>
      <c r="E813" s="144" t="inlineStr">
        <is>
          <t>BOX</t>
        </is>
      </c>
      <c r="F813" s="144" t="inlineStr">
        <is>
          <t>7226P75 TX</t>
        </is>
      </c>
      <c r="G813" s="144" t="inlineStr">
        <is>
          <t>WHITE FL</t>
        </is>
      </c>
      <c r="H813" s="144" t="n">
        <v>1221</v>
      </c>
      <c r="I813" s="144" t="inlineStr">
        <is>
          <t>COMMERCIAL</t>
        </is>
      </c>
    </row>
    <row r="814" ht="18" customHeight="1" s="7">
      <c r="A814" s="144" t="inlineStr">
        <is>
          <t>VILLALOBOS MIGUEL</t>
        </is>
      </c>
      <c r="B814" s="144" t="inlineStr">
        <is>
          <t>*01829274 TX</t>
        </is>
      </c>
      <c r="C814" s="144" t="inlineStr">
        <is>
          <t>LANDSTAR</t>
        </is>
      </c>
      <c r="D814" s="144" t="n">
        <v>9152409883</v>
      </c>
      <c r="E814" s="144" t="inlineStr">
        <is>
          <t>BOX</t>
        </is>
      </c>
      <c r="F814" s="144" t="inlineStr">
        <is>
          <t>2874117 IN</t>
        </is>
      </c>
      <c r="G814" s="144" t="inlineStr">
        <is>
          <t>WHITE FL</t>
        </is>
      </c>
      <c r="H814" s="144" t="n">
        <v>1221</v>
      </c>
      <c r="I814" s="144" t="inlineStr">
        <is>
          <t>COMMERCIAL</t>
        </is>
      </c>
    </row>
    <row r="815" ht="18" customHeight="1" s="7">
      <c r="A815" s="144" t="inlineStr">
        <is>
          <t>TESFAY AMANUEL</t>
        </is>
      </c>
      <c r="B815" s="144" t="inlineStr">
        <is>
          <t>Y8212089 CA</t>
        </is>
      </c>
      <c r="C815" s="144" t="inlineStr">
        <is>
          <t>DRNG LOG</t>
        </is>
      </c>
      <c r="D815" s="144" t="n">
        <v>9016469200</v>
      </c>
      <c r="E815" s="144" t="inlineStr">
        <is>
          <t>BOX</t>
        </is>
      </c>
      <c r="F815" s="144" t="inlineStr">
        <is>
          <t>R542762 TX</t>
        </is>
      </c>
      <c r="G815" s="144" t="inlineStr">
        <is>
          <t>RED PETERBILT</t>
        </is>
      </c>
      <c r="H815" s="144" t="n">
        <v>1360</v>
      </c>
      <c r="I815" s="144" t="inlineStr">
        <is>
          <t>COMMERCIAL</t>
        </is>
      </c>
    </row>
    <row r="816" ht="18" customHeight="1" s="7">
      <c r="A816" s="144" t="inlineStr">
        <is>
          <t>EMORY WRIGHT</t>
        </is>
      </c>
      <c r="B816" s="144" t="inlineStr">
        <is>
          <t>*051264772 GA</t>
        </is>
      </c>
      <c r="C816" s="144" t="inlineStr">
        <is>
          <t>MCP</t>
        </is>
      </c>
      <c r="D816" s="144" t="n">
        <v>2292559199</v>
      </c>
      <c r="E816" s="144" t="inlineStr">
        <is>
          <t>PU</t>
        </is>
      </c>
      <c r="F816" s="144" t="inlineStr">
        <is>
          <t>DAQ4586 GA</t>
        </is>
      </c>
      <c r="G816" s="144" t="inlineStr">
        <is>
          <t>WHITE CHEVY</t>
        </is>
      </c>
      <c r="H816" s="144" t="n">
        <v>5400</v>
      </c>
      <c r="I816" s="144" t="inlineStr">
        <is>
          <t xml:space="preserve">CONTRACTOR </t>
        </is>
      </c>
    </row>
    <row r="817" ht="18" customHeight="1" s="7">
      <c r="A817" s="144" t="inlineStr">
        <is>
          <t>KENNETH JONES</t>
        </is>
      </c>
      <c r="B817" s="144" t="inlineStr">
        <is>
          <t>*010115736 GA</t>
        </is>
      </c>
      <c r="C817" s="144" t="inlineStr">
        <is>
          <t>COURIER EXPRESS</t>
        </is>
      </c>
      <c r="D817" s="144" t="n">
        <v>2298864144</v>
      </c>
      <c r="E817" s="144" t="inlineStr">
        <is>
          <t>VAN</t>
        </is>
      </c>
      <c r="F817" s="144" t="inlineStr">
        <is>
          <t>SHS8296 GA</t>
        </is>
      </c>
      <c r="G817" s="144" t="inlineStr">
        <is>
          <t>WHITE CHEVY</t>
        </is>
      </c>
      <c r="H817" s="144" t="inlineStr">
        <is>
          <t>HOUSING</t>
        </is>
      </c>
      <c r="I817" s="144" t="inlineStr">
        <is>
          <t xml:space="preserve">CONTRACTOR </t>
        </is>
      </c>
    </row>
    <row r="818" ht="18" customHeight="1" s="7">
      <c r="A818" s="144" t="inlineStr">
        <is>
          <t>JOE JONES JR</t>
        </is>
      </c>
      <c r="B818" s="144" t="inlineStr">
        <is>
          <t>*054290114 GA</t>
        </is>
      </c>
      <c r="C818" s="144" t="inlineStr">
        <is>
          <t>COURIER EXPRESS</t>
        </is>
      </c>
      <c r="D818" s="144" t="n">
        <v>2294188080</v>
      </c>
      <c r="E818" s="144" t="inlineStr">
        <is>
          <t>VAN</t>
        </is>
      </c>
      <c r="F818" s="144" t="inlineStr">
        <is>
          <t>SHS8296 GA</t>
        </is>
      </c>
      <c r="G818" s="144" t="inlineStr">
        <is>
          <t>WHITE CHEVY</t>
        </is>
      </c>
      <c r="H818" s="144" t="inlineStr">
        <is>
          <t>HOUSING</t>
        </is>
      </c>
      <c r="I818" s="144" t="inlineStr">
        <is>
          <t xml:space="preserve">CONTRACTOR </t>
        </is>
      </c>
    </row>
    <row r="819" ht="18" customHeight="1" s="7">
      <c r="A819" s="144" t="inlineStr">
        <is>
          <t>VILLALOBOS CECILIA</t>
        </is>
      </c>
      <c r="B819" s="144" t="inlineStr">
        <is>
          <t>40108547 TX</t>
        </is>
      </c>
      <c r="C819" s="144" t="inlineStr">
        <is>
          <t>LANDSTAR</t>
        </is>
      </c>
      <c r="D819" s="144" t="n">
        <v>9155041581</v>
      </c>
      <c r="E819" s="144" t="inlineStr">
        <is>
          <t>BOX</t>
        </is>
      </c>
      <c r="F819" s="144" t="inlineStr">
        <is>
          <t>2874117 IN</t>
        </is>
      </c>
      <c r="G819" s="144" t="inlineStr">
        <is>
          <t>WHITE FREIGHTLINER</t>
        </is>
      </c>
      <c r="H819" s="144" t="n">
        <v>1221</v>
      </c>
      <c r="I819" s="144" t="inlineStr">
        <is>
          <t>COMMERCIAL</t>
        </is>
      </c>
    </row>
    <row r="820" ht="18" customHeight="1" s="7">
      <c r="A820" s="144" t="inlineStr">
        <is>
          <t>ABERCROMBIE ADAM</t>
        </is>
      </c>
      <c r="B820" s="144" t="inlineStr">
        <is>
          <t>A162013820420 FL</t>
        </is>
      </c>
      <c r="C820" s="144" t="inlineStr">
        <is>
          <t>RUAN TRANS</t>
        </is>
      </c>
      <c r="D820" s="144" t="n">
        <v>9044442708</v>
      </c>
      <c r="E820" s="144" t="inlineStr">
        <is>
          <t>FLAT</t>
        </is>
      </c>
      <c r="F820" s="144" t="inlineStr">
        <is>
          <t>FS8995 IA</t>
        </is>
      </c>
      <c r="G820" s="144" t="inlineStr">
        <is>
          <t>YELLOW FREIGHTLINER</t>
        </is>
      </c>
      <c r="H820" s="144" t="n">
        <v>1221</v>
      </c>
      <c r="I820" s="144" t="inlineStr">
        <is>
          <t>COMMERCIAL</t>
        </is>
      </c>
    </row>
    <row r="821" ht="18" customHeight="1" s="7">
      <c r="A821" s="144" t="inlineStr">
        <is>
          <t>HERBERT TURNER</t>
        </is>
      </c>
      <c r="B821" s="144" t="inlineStr">
        <is>
          <t>*012774552 GA</t>
        </is>
      </c>
      <c r="C821" s="144" t="inlineStr">
        <is>
          <t>EXPRESS DISPOSAL</t>
        </is>
      </c>
      <c r="D821" s="144" t="n">
        <v>2293524300</v>
      </c>
      <c r="E821" s="144" t="inlineStr">
        <is>
          <t>DUMP</t>
        </is>
      </c>
      <c r="F821" s="144" t="inlineStr">
        <is>
          <t>GCX233 GA</t>
        </is>
      </c>
      <c r="G821" s="144" t="inlineStr">
        <is>
          <t>GREEN MACK</t>
        </is>
      </c>
      <c r="H821" s="144" t="inlineStr">
        <is>
          <t>BASE HOUSING</t>
        </is>
      </c>
      <c r="I821" s="144" t="inlineStr">
        <is>
          <t>COMMERCIAL</t>
        </is>
      </c>
    </row>
    <row r="822" ht="18" customHeight="1" s="7">
      <c r="A822" s="144" t="inlineStr">
        <is>
          <t>TRAVIS PETERSON</t>
        </is>
      </c>
      <c r="B822" s="144" t="inlineStr">
        <is>
          <t>899814706 GA</t>
        </is>
      </c>
      <c r="C822" s="144" t="inlineStr">
        <is>
          <t>EXPRESS DISPOSAL</t>
        </is>
      </c>
      <c r="D822" s="144" t="n">
        <v>2293524300</v>
      </c>
      <c r="E822" s="144" t="inlineStr">
        <is>
          <t>PUMP</t>
        </is>
      </c>
      <c r="F822" s="144" t="inlineStr">
        <is>
          <t>YLP831 GA</t>
        </is>
      </c>
      <c r="G822" s="144" t="inlineStr">
        <is>
          <t>WHITE FORD</t>
        </is>
      </c>
      <c r="H822" s="144" t="inlineStr">
        <is>
          <t>BASEWIDE</t>
        </is>
      </c>
      <c r="I822" s="144" t="inlineStr">
        <is>
          <t xml:space="preserve">CONTRACTOR </t>
        </is>
      </c>
    </row>
    <row r="823" ht="18" customHeight="1" s="7">
      <c r="A823" s="144" t="inlineStr">
        <is>
          <t>LARRY KING</t>
        </is>
      </c>
      <c r="B823" s="144" t="inlineStr">
        <is>
          <t>*049703142 GA</t>
        </is>
      </c>
      <c r="C823" s="21" t="inlineStr">
        <is>
          <t>AT@T</t>
        </is>
      </c>
      <c r="D823" s="144" t="n">
        <v>2296690276</v>
      </c>
      <c r="E823" s="144" t="inlineStr">
        <is>
          <t>PU</t>
        </is>
      </c>
      <c r="F823" s="144" t="inlineStr">
        <is>
          <t>YBZ801 GA</t>
        </is>
      </c>
      <c r="G823" s="144" t="inlineStr">
        <is>
          <t>WHITE DODGE</t>
        </is>
      </c>
      <c r="H823" s="144" t="n">
        <v>3500</v>
      </c>
      <c r="I823" s="144" t="inlineStr">
        <is>
          <t xml:space="preserve">CONTRACTOR </t>
        </is>
      </c>
    </row>
    <row r="824" ht="18" customHeight="1" s="7">
      <c r="A824" s="144" t="inlineStr">
        <is>
          <t>NORMAN HOOVER</t>
        </is>
      </c>
      <c r="B824" s="144" t="inlineStr">
        <is>
          <t>*051146608 GA</t>
        </is>
      </c>
      <c r="C824" s="144" t="inlineStr">
        <is>
          <t>FEDEX</t>
        </is>
      </c>
      <c r="D824" s="144" t="n">
        <v>2293471377</v>
      </c>
      <c r="E824" s="144" t="inlineStr">
        <is>
          <t>BOX</t>
        </is>
      </c>
      <c r="F824" s="144" t="inlineStr">
        <is>
          <t xml:space="preserve">C131EY GA </t>
        </is>
      </c>
      <c r="G824" s="144" t="inlineStr">
        <is>
          <t>WHITE FL</t>
        </is>
      </c>
      <c r="H824" s="144" t="n">
        <v>1221</v>
      </c>
      <c r="I824" s="144" t="inlineStr">
        <is>
          <t>COMMERCIAL</t>
        </is>
      </c>
    </row>
    <row r="825" ht="18" customHeight="1" s="7">
      <c r="A825" s="144" t="inlineStr">
        <is>
          <t>DETAVIOUS DEARISO</t>
        </is>
      </c>
      <c r="B825" s="144" t="inlineStr">
        <is>
          <t>*054289204 GA</t>
        </is>
      </c>
      <c r="C825" s="144" t="inlineStr">
        <is>
          <t>MEDIACOM</t>
        </is>
      </c>
      <c r="D825" s="144" t="n">
        <v>8457628155</v>
      </c>
      <c r="E825" s="144" t="inlineStr">
        <is>
          <t>VAN</t>
        </is>
      </c>
      <c r="F825" s="144" t="inlineStr">
        <is>
          <t>SHF2680 GA</t>
        </is>
      </c>
      <c r="G825" s="144" t="inlineStr">
        <is>
          <t>WHITE FORD</t>
        </is>
      </c>
      <c r="H825" s="144" t="n">
        <v>3500</v>
      </c>
      <c r="I825" s="144" t="inlineStr">
        <is>
          <t xml:space="preserve">CONTRACTOR </t>
        </is>
      </c>
    </row>
    <row r="826" ht="18" customHeight="1" s="7">
      <c r="A826" s="144" t="inlineStr">
        <is>
          <t>SCOTT CREECH</t>
        </is>
      </c>
      <c r="B826" s="144" t="inlineStr">
        <is>
          <t>802282962 MS</t>
        </is>
      </c>
      <c r="C826" s="144" t="inlineStr">
        <is>
          <t>LANDSTAR</t>
        </is>
      </c>
      <c r="D826" s="144" t="n">
        <v>2285960459</v>
      </c>
      <c r="E826" s="144" t="inlineStr">
        <is>
          <t>VAN</t>
        </is>
      </c>
      <c r="F826" s="144" t="inlineStr">
        <is>
          <t>1CX719 MS</t>
        </is>
      </c>
      <c r="G826" s="144" t="inlineStr">
        <is>
          <t>WHITE MERCEDES</t>
        </is>
      </c>
      <c r="H826" s="144" t="n">
        <v>1221</v>
      </c>
      <c r="I826" s="144" t="inlineStr">
        <is>
          <t xml:space="preserve">CONTRACTOR </t>
        </is>
      </c>
    </row>
    <row r="827" ht="18" customHeight="1" s="7">
      <c r="A827" s="144" t="inlineStr">
        <is>
          <t xml:space="preserve">ELZIE FRANKS </t>
        </is>
      </c>
      <c r="B827" s="144" t="inlineStr">
        <is>
          <t>*060426568 GA</t>
        </is>
      </c>
      <c r="C827" s="144" t="inlineStr">
        <is>
          <t>SHORT PAULK</t>
        </is>
      </c>
      <c r="D827" s="144" t="n">
        <v>2292067929</v>
      </c>
      <c r="E827" s="144" t="inlineStr">
        <is>
          <t>PU</t>
        </is>
      </c>
      <c r="F827" s="144" t="inlineStr">
        <is>
          <t>SGU9405 GA</t>
        </is>
      </c>
      <c r="G827" s="144" t="inlineStr">
        <is>
          <t>WHITE GMC</t>
        </is>
      </c>
      <c r="H827" s="144" t="n">
        <v>1330</v>
      </c>
      <c r="I827" s="144" t="inlineStr">
        <is>
          <t xml:space="preserve">CONTRACTOR </t>
        </is>
      </c>
    </row>
    <row r="828" ht="18" customHeight="1" s="7">
      <c r="A828" s="144" t="inlineStr">
        <is>
          <t>JONES BAUCOM</t>
        </is>
      </c>
      <c r="B828" s="144" t="inlineStr">
        <is>
          <t>*061539197 GA</t>
        </is>
      </c>
      <c r="C828" s="144" t="inlineStr">
        <is>
          <t>SAFEAIRE</t>
        </is>
      </c>
      <c r="D828" s="144" t="n">
        <v>2298693638</v>
      </c>
      <c r="E828" s="144" t="inlineStr">
        <is>
          <t>PU</t>
        </is>
      </c>
      <c r="F828" s="144" t="inlineStr">
        <is>
          <t>RJY4926 GA</t>
        </is>
      </c>
      <c r="G828" s="144" t="inlineStr">
        <is>
          <t>WHITE FORD</t>
        </is>
      </c>
      <c r="H828" s="144" t="n">
        <v>2215</v>
      </c>
      <c r="I828" s="144" t="inlineStr">
        <is>
          <t xml:space="preserve">CONTRACTOR </t>
        </is>
      </c>
    </row>
    <row r="829" ht="18" customHeight="1" s="7">
      <c r="A829" s="144" t="inlineStr">
        <is>
          <t>ALBERT COCKRILL</t>
        </is>
      </c>
      <c r="B829" s="144" t="inlineStr">
        <is>
          <t>*053847494 GA</t>
        </is>
      </c>
      <c r="C829" s="144" t="inlineStr">
        <is>
          <t>CULLIGAN</t>
        </is>
      </c>
      <c r="D829" s="144" t="n">
        <v>2299240461</v>
      </c>
      <c r="E829" s="144" t="inlineStr">
        <is>
          <t>PU</t>
        </is>
      </c>
      <c r="F829" s="144" t="inlineStr">
        <is>
          <t>BZ17MW FL</t>
        </is>
      </c>
      <c r="G829" s="144" t="inlineStr">
        <is>
          <t>WHITE FORD</t>
        </is>
      </c>
      <c r="H829" s="144" t="n">
        <v>1330</v>
      </c>
      <c r="I829" s="144" t="inlineStr">
        <is>
          <t xml:space="preserve">CONTRACTOR </t>
        </is>
      </c>
    </row>
    <row r="830" ht="18" customHeight="1" s="7">
      <c r="A830" s="144" t="inlineStr">
        <is>
          <t>DEVIN BOYKIN</t>
        </is>
      </c>
      <c r="B830" s="144" t="inlineStr">
        <is>
          <t>*000036568805 NC</t>
        </is>
      </c>
      <c r="C830" s="144" t="inlineStr">
        <is>
          <t>W.S ROBINSON</t>
        </is>
      </c>
      <c r="D830" s="144" t="n">
        <v>9102830249</v>
      </c>
      <c r="E830" s="144" t="inlineStr">
        <is>
          <t>BOX</t>
        </is>
      </c>
      <c r="F830" s="144" t="inlineStr">
        <is>
          <t>NM6673 NC</t>
        </is>
      </c>
      <c r="G830" s="144" t="inlineStr">
        <is>
          <t>BLACK PETERBILT</t>
        </is>
      </c>
      <c r="H830" s="144" t="n">
        <v>1221</v>
      </c>
      <c r="I830" s="144" t="inlineStr">
        <is>
          <t>COMMERCIAL</t>
        </is>
      </c>
    </row>
    <row r="831" ht="18" customHeight="1" s="7">
      <c r="A831" s="144" t="inlineStr">
        <is>
          <t>CASEY CAMPBELL</t>
        </is>
      </c>
      <c r="B831" s="144" t="inlineStr">
        <is>
          <t>*000025420290 NC</t>
        </is>
      </c>
      <c r="C831" s="144" t="inlineStr">
        <is>
          <t>WORLD CLASS</t>
        </is>
      </c>
      <c r="D831" s="144" t="n">
        <v>3363825976</v>
      </c>
      <c r="E831" s="144" t="inlineStr">
        <is>
          <t>BOX</t>
        </is>
      </c>
      <c r="F831" s="144" t="inlineStr">
        <is>
          <t>3605633 IN</t>
        </is>
      </c>
      <c r="G831" s="144" t="inlineStr">
        <is>
          <t>WHITE KW</t>
        </is>
      </c>
      <c r="H831" s="144" t="n">
        <v>1221</v>
      </c>
      <c r="I831" s="144" t="inlineStr">
        <is>
          <t>COMMERCIAL</t>
        </is>
      </c>
    </row>
    <row r="832" ht="18" customHeight="1" s="7">
      <c r="A832" s="144" t="inlineStr">
        <is>
          <t>JONATHAN YOUNG</t>
        </is>
      </c>
      <c r="B832" s="144" t="inlineStr">
        <is>
          <t>*000038925703 NC</t>
        </is>
      </c>
      <c r="C832" s="144" t="inlineStr">
        <is>
          <t>W.S ROBINSON</t>
        </is>
      </c>
      <c r="D832" s="144" t="n">
        <v>9102343758</v>
      </c>
      <c r="E832" s="144" t="inlineStr">
        <is>
          <t>BOX</t>
        </is>
      </c>
      <c r="F832" s="144" t="inlineStr">
        <is>
          <t>VV2502 NC</t>
        </is>
      </c>
      <c r="G832" s="144" t="inlineStr">
        <is>
          <t>BLACK PETERBILT</t>
        </is>
      </c>
      <c r="H832" s="144" t="n">
        <v>1221</v>
      </c>
      <c r="I832" s="144" t="inlineStr">
        <is>
          <t>COMMERCIAL</t>
        </is>
      </c>
    </row>
    <row r="833" ht="18" customHeight="1" s="7">
      <c r="A833" s="144" t="inlineStr">
        <is>
          <t>RHONDA VANDUZEN</t>
        </is>
      </c>
      <c r="B833" s="144" t="inlineStr">
        <is>
          <t>37634739 AL</t>
        </is>
      </c>
      <c r="C833" s="144" t="inlineStr">
        <is>
          <t>LANDSTAR</t>
        </is>
      </c>
      <c r="D833" s="144" t="n">
        <v>25626644309</v>
      </c>
      <c r="E833" s="144" t="inlineStr">
        <is>
          <t>BOX</t>
        </is>
      </c>
      <c r="F833" s="144" t="inlineStr">
        <is>
          <t>3236318 IN</t>
        </is>
      </c>
      <c r="G833" s="144" t="inlineStr">
        <is>
          <t>WHITE FL</t>
        </is>
      </c>
      <c r="H833" s="144" t="n">
        <v>1221</v>
      </c>
      <c r="I833" s="144" t="inlineStr">
        <is>
          <t>COMMERCIAL</t>
        </is>
      </c>
    </row>
    <row r="834" ht="18" customHeight="1" s="7">
      <c r="A834" s="144" t="inlineStr">
        <is>
          <t>BARTLEY JONATHON</t>
        </is>
      </c>
      <c r="B834" s="144" t="inlineStr">
        <is>
          <t>*055430574 GA</t>
        </is>
      </c>
      <c r="C834" s="144" t="inlineStr">
        <is>
          <t>GEORGIA POWER</t>
        </is>
      </c>
      <c r="D834" s="144" t="n">
        <v>2293643768</v>
      </c>
      <c r="E834" s="144" t="inlineStr">
        <is>
          <t>PU</t>
        </is>
      </c>
      <c r="F834" s="144" t="inlineStr">
        <is>
          <t>RRV4142 GA</t>
        </is>
      </c>
      <c r="G834" s="144" t="inlineStr">
        <is>
          <t>WHITE FORD</t>
        </is>
      </c>
      <c r="H834" s="144" t="inlineStr">
        <is>
          <t>SOLAR PANEL</t>
        </is>
      </c>
      <c r="I834" s="144" t="inlineStr">
        <is>
          <t xml:space="preserve">CONTRACTOR </t>
        </is>
      </c>
    </row>
    <row r="835" ht="18" customHeight="1" s="7">
      <c r="A835" s="144" t="inlineStr">
        <is>
          <t>LARRY JACKSON</t>
        </is>
      </c>
      <c r="B835" s="144" t="inlineStr">
        <is>
          <t>*051018259 GA</t>
        </is>
      </c>
      <c r="C835" s="144" t="inlineStr">
        <is>
          <t>CITY OF ALBANY</t>
        </is>
      </c>
      <c r="D835" s="144" t="n">
        <v>2293642590</v>
      </c>
      <c r="E835" s="144" t="inlineStr">
        <is>
          <t>PU</t>
        </is>
      </c>
      <c r="F835" s="144" t="inlineStr">
        <is>
          <t>GV8897Q GA</t>
        </is>
      </c>
      <c r="G835" s="144" t="inlineStr">
        <is>
          <t>WHITE FORD</t>
        </is>
      </c>
      <c r="H835" s="144" t="n">
        <v>1221</v>
      </c>
      <c r="I835" s="144" t="inlineStr">
        <is>
          <t xml:space="preserve">CONTRACTOR </t>
        </is>
      </c>
    </row>
    <row r="836" ht="18" customHeight="1" s="7">
      <c r="A836" s="144" t="inlineStr">
        <is>
          <t>MITCHELL CLARENCE</t>
        </is>
      </c>
      <c r="B836" s="144" t="inlineStr">
        <is>
          <t>*054243765 GA</t>
        </is>
      </c>
      <c r="C836" s="144" t="inlineStr">
        <is>
          <t>CITY OF ALBANY</t>
        </is>
      </c>
      <c r="D836" s="144" t="n">
        <v>2294623375</v>
      </c>
      <c r="E836" s="144" t="inlineStr">
        <is>
          <t>BOX</t>
        </is>
      </c>
      <c r="F836" s="144" t="inlineStr">
        <is>
          <t>GV2548Q GA</t>
        </is>
      </c>
      <c r="G836" s="144" t="inlineStr">
        <is>
          <t>WHITE KW</t>
        </is>
      </c>
      <c r="H836" s="144" t="n">
        <v>1221</v>
      </c>
      <c r="I836" s="144" t="inlineStr">
        <is>
          <t>COMMERCIAL</t>
        </is>
      </c>
    </row>
    <row r="837" ht="18" customHeight="1" s="7">
      <c r="A837" s="144" t="inlineStr">
        <is>
          <t>MELVIN OFFICE JR</t>
        </is>
      </c>
      <c r="B837" s="144" t="inlineStr">
        <is>
          <t>*049932842 GA</t>
        </is>
      </c>
      <c r="C837" s="144" t="inlineStr">
        <is>
          <t>CITY OF ALBANY</t>
        </is>
      </c>
      <c r="D837" s="144" t="n">
        <v>2294992610</v>
      </c>
      <c r="E837" s="144" t="inlineStr">
        <is>
          <t>PU</t>
        </is>
      </c>
      <c r="F837" s="144" t="inlineStr">
        <is>
          <t>GV3741D GA</t>
        </is>
      </c>
      <c r="G837" s="144" t="inlineStr">
        <is>
          <t>WHITE FORD</t>
        </is>
      </c>
      <c r="H837" s="144" t="n">
        <v>1221</v>
      </c>
      <c r="I837" s="144" t="inlineStr">
        <is>
          <t xml:space="preserve">CONTRACTOR </t>
        </is>
      </c>
    </row>
    <row r="838" ht="18" customHeight="1" s="7">
      <c r="A838" s="144" t="inlineStr">
        <is>
          <t>TYWAUN MOORE</t>
        </is>
      </c>
      <c r="B838" s="144" t="inlineStr">
        <is>
          <t xml:space="preserve">*000034755716 NC </t>
        </is>
      </c>
      <c r="C838" s="144" t="inlineStr">
        <is>
          <t>W.S ROBINSON</t>
        </is>
      </c>
      <c r="D838" s="144" t="n">
        <v>9102830249</v>
      </c>
      <c r="E838" s="144" t="inlineStr">
        <is>
          <t>BOX</t>
        </is>
      </c>
      <c r="F838" s="144" t="inlineStr">
        <is>
          <t>VV1190 NC</t>
        </is>
      </c>
      <c r="G838" s="144" t="inlineStr">
        <is>
          <t>SILVER KW</t>
        </is>
      </c>
      <c r="H838" s="144" t="n">
        <v>1221</v>
      </c>
      <c r="I838" s="144" t="inlineStr">
        <is>
          <t>COMMERCIAL</t>
        </is>
      </c>
    </row>
    <row r="839" ht="18" customHeight="1" s="7">
      <c r="A839" s="144" t="inlineStr">
        <is>
          <t>CHARLES SUGGS</t>
        </is>
      </c>
      <c r="B839" s="144" t="inlineStr">
        <is>
          <t>S631736269000 FL</t>
        </is>
      </c>
      <c r="C839" s="144" t="inlineStr">
        <is>
          <t>GREEN VALLEY TRAN</t>
        </is>
      </c>
      <c r="D839" s="144" t="n">
        <v>9102616640</v>
      </c>
      <c r="E839" s="144" t="inlineStr">
        <is>
          <t>BOX</t>
        </is>
      </c>
      <c r="F839" s="144" t="inlineStr">
        <is>
          <t>R3039HY TN</t>
        </is>
      </c>
      <c r="G839" s="144" t="inlineStr">
        <is>
          <t>BLUE VOLVO</t>
        </is>
      </c>
      <c r="H839" s="144" t="n">
        <v>1221</v>
      </c>
      <c r="I839" s="144" t="inlineStr">
        <is>
          <t>COMMERCIAL</t>
        </is>
      </c>
    </row>
    <row r="840" ht="18" customHeight="1" s="7">
      <c r="A840" s="144" t="inlineStr">
        <is>
          <t>EDWARD SHIPPEY</t>
        </is>
      </c>
      <c r="B840" s="144" t="inlineStr">
        <is>
          <t>*0827498027 GA</t>
        </is>
      </c>
      <c r="C840" s="144" t="inlineStr">
        <is>
          <t>CITY OF ALBANY</t>
        </is>
      </c>
      <c r="D840" s="144" t="n">
        <v>2293102069</v>
      </c>
      <c r="E840" s="144" t="inlineStr">
        <is>
          <t>PU</t>
        </is>
      </c>
      <c r="F840" s="144" t="inlineStr">
        <is>
          <t>GV4411T GA</t>
        </is>
      </c>
      <c r="G840" s="144" t="inlineStr">
        <is>
          <t>WHITE FORD</t>
        </is>
      </c>
      <c r="H840" s="144" t="inlineStr">
        <is>
          <t>WATER TANK</t>
        </is>
      </c>
      <c r="I840" s="144" t="inlineStr">
        <is>
          <t>COMMERCIAL</t>
        </is>
      </c>
    </row>
    <row r="841" ht="18" customHeight="1" s="7">
      <c r="A841" s="144" t="inlineStr">
        <is>
          <t>RANDALL THOMPSON</t>
        </is>
      </c>
      <c r="B841" s="144" t="inlineStr">
        <is>
          <t>*049319773 GA</t>
        </is>
      </c>
      <c r="C841" s="144" t="inlineStr">
        <is>
          <t>ABMERE</t>
        </is>
      </c>
      <c r="D841" s="144" t="n">
        <v>2295833949</v>
      </c>
      <c r="E841" s="144" t="inlineStr">
        <is>
          <t>BOX</t>
        </is>
      </c>
      <c r="F841" s="144" t="inlineStr">
        <is>
          <t>C7388B GA</t>
        </is>
      </c>
      <c r="G841" s="144" t="inlineStr">
        <is>
          <t>SILVER FREIGHTLINER</t>
        </is>
      </c>
      <c r="H841" s="144" t="n">
        <v>1221</v>
      </c>
      <c r="I841" s="144" t="inlineStr">
        <is>
          <t>COMMERCIAL</t>
        </is>
      </c>
    </row>
    <row r="842" ht="18" customHeight="1" s="7">
      <c r="A842" s="144" t="inlineStr">
        <is>
          <t>DONALD WARREN</t>
        </is>
      </c>
      <c r="B842" s="144" t="inlineStr">
        <is>
          <t>*057102975 GA</t>
        </is>
      </c>
      <c r="C842" s="144" t="inlineStr">
        <is>
          <t>GEORGIA POWER</t>
        </is>
      </c>
      <c r="D842" s="144" t="n">
        <v>2292026636</v>
      </c>
      <c r="E842" s="144" t="inlineStr">
        <is>
          <t>PU</t>
        </is>
      </c>
      <c r="F842" s="144" t="inlineStr">
        <is>
          <t>CRV5953 GA</t>
        </is>
      </c>
      <c r="G842" s="144" t="inlineStr">
        <is>
          <t>WHITE FORD</t>
        </is>
      </c>
      <c r="H842" s="144" t="inlineStr">
        <is>
          <t>SUBSTATION</t>
        </is>
      </c>
      <c r="I842" s="144" t="inlineStr">
        <is>
          <t xml:space="preserve">CONTRACTOR </t>
        </is>
      </c>
    </row>
    <row r="843" ht="18" customHeight="1" s="7">
      <c r="A843" s="144" t="inlineStr">
        <is>
          <t>CHANCEY NAILS</t>
        </is>
      </c>
      <c r="B843" s="144" t="inlineStr">
        <is>
          <t>*055794371 GA</t>
        </is>
      </c>
      <c r="C843" s="144" t="inlineStr">
        <is>
          <t>DIRECT SCAFFOLD</t>
        </is>
      </c>
      <c r="D843" s="144" t="n">
        <v>4703644619</v>
      </c>
      <c r="E843" s="144" t="inlineStr">
        <is>
          <t>PU</t>
        </is>
      </c>
      <c r="F843" s="144" t="inlineStr">
        <is>
          <t>SEA7034 GA</t>
        </is>
      </c>
      <c r="G843" s="144" t="inlineStr">
        <is>
          <t>WHITE FORD</t>
        </is>
      </c>
      <c r="H843" s="144" t="inlineStr">
        <is>
          <t>BASEWIDE</t>
        </is>
      </c>
      <c r="I843" s="144" t="inlineStr">
        <is>
          <t xml:space="preserve">CONTRACTOR </t>
        </is>
      </c>
    </row>
    <row r="844" ht="18" customHeight="1" s="7">
      <c r="A844" s="144" t="inlineStr">
        <is>
          <t>ISMAYILOV ARIF</t>
        </is>
      </c>
      <c r="B844" s="144" t="inlineStr">
        <is>
          <t>*43296209 TX</t>
        </is>
      </c>
      <c r="C844" s="144" t="inlineStr">
        <is>
          <t>PMM</t>
        </is>
      </c>
      <c r="D844" s="144" t="n">
        <v>8326705560</v>
      </c>
      <c r="E844" s="144" t="inlineStr">
        <is>
          <t>BOX</t>
        </is>
      </c>
      <c r="F844" s="144" t="inlineStr">
        <is>
          <t>R715642 TX</t>
        </is>
      </c>
      <c r="G844" s="144" t="inlineStr">
        <is>
          <t>BLUE WESTERNSTAR</t>
        </is>
      </c>
      <c r="H844" s="144" t="n">
        <v>1221</v>
      </c>
      <c r="I844" s="144" t="inlineStr">
        <is>
          <t>COMMERCIAL</t>
        </is>
      </c>
    </row>
    <row r="845" ht="18" customHeight="1" s="7">
      <c r="A845" s="144" t="inlineStr">
        <is>
          <t xml:space="preserve">HAKIMI ELIAS </t>
        </is>
      </c>
      <c r="B845" s="144" t="inlineStr">
        <is>
          <t>*44145703 TX</t>
        </is>
      </c>
      <c r="C845" s="144" t="inlineStr">
        <is>
          <t>ENA EAGLE</t>
        </is>
      </c>
      <c r="D845" s="144" t="n">
        <v>2137134977</v>
      </c>
      <c r="E845" s="144" t="inlineStr">
        <is>
          <t>BOX</t>
        </is>
      </c>
      <c r="F845" s="144" t="inlineStr">
        <is>
          <t>R610170 TX</t>
        </is>
      </c>
      <c r="G845" s="144" t="inlineStr">
        <is>
          <t>WHITE VOLVO</t>
        </is>
      </c>
      <c r="H845" s="144" t="n">
        <v>1221</v>
      </c>
      <c r="I845" s="144" t="inlineStr">
        <is>
          <t>COMMERCIAL</t>
        </is>
      </c>
    </row>
    <row r="846" ht="18" customHeight="1" s="7">
      <c r="A846" s="144" t="inlineStr">
        <is>
          <t>JASON SMITH</t>
        </is>
      </c>
      <c r="B846" s="144" t="inlineStr">
        <is>
          <t>*071814658 GA</t>
        </is>
      </c>
      <c r="C846" s="144" t="inlineStr">
        <is>
          <t>GEORGIA POWER</t>
        </is>
      </c>
      <c r="D846" s="144" t="n">
        <v>2293448412</v>
      </c>
      <c r="E846" s="144" t="inlineStr">
        <is>
          <t>PU</t>
        </is>
      </c>
      <c r="F846" s="144" t="inlineStr">
        <is>
          <t>XSA261 GA</t>
        </is>
      </c>
      <c r="G846" s="144" t="inlineStr">
        <is>
          <t>WHITE FORD</t>
        </is>
      </c>
      <c r="H846" s="144" t="inlineStr">
        <is>
          <t>SUB</t>
        </is>
      </c>
      <c r="I846" s="144" t="inlineStr">
        <is>
          <t xml:space="preserve">CONTRACTOR </t>
        </is>
      </c>
    </row>
    <row r="847" ht="18" customHeight="1" s="7">
      <c r="A847" s="144" t="inlineStr">
        <is>
          <t>MICHAEL KING</t>
        </is>
      </c>
      <c r="B847" s="144" t="inlineStr">
        <is>
          <t>*K520603802189 MI</t>
        </is>
      </c>
      <c r="C847" s="144" t="inlineStr">
        <is>
          <t>MASSMAN</t>
        </is>
      </c>
      <c r="D847" s="144" t="n">
        <v>5177957644</v>
      </c>
      <c r="E847" s="144" t="inlineStr">
        <is>
          <t>BOX</t>
        </is>
      </c>
      <c r="F847" s="144" t="inlineStr">
        <is>
          <t>RC44632 MI</t>
        </is>
      </c>
      <c r="G847" s="144" t="inlineStr">
        <is>
          <t>WHITE INTERNATIONAL</t>
        </is>
      </c>
      <c r="H847" s="144" t="n">
        <v>1221</v>
      </c>
      <c r="I847" s="144" t="inlineStr">
        <is>
          <t>COMMERCIAL</t>
        </is>
      </c>
    </row>
    <row r="848" ht="18" customHeight="1" s="7">
      <c r="A848" s="144" t="inlineStr">
        <is>
          <t>ELIJAH SHEPHERD</t>
        </is>
      </c>
      <c r="B848" s="144" t="inlineStr">
        <is>
          <t>*070987667 GA</t>
        </is>
      </c>
      <c r="C848" s="144" t="inlineStr">
        <is>
          <t xml:space="preserve">SONNYS CAR WASH </t>
        </is>
      </c>
      <c r="D848" s="144" t="n">
        <v>8889955989</v>
      </c>
      <c r="E848" s="144" t="inlineStr">
        <is>
          <t>BOX</t>
        </is>
      </c>
      <c r="F848" s="144" t="inlineStr">
        <is>
          <t>3572733 IN</t>
        </is>
      </c>
      <c r="G848" s="144" t="inlineStr">
        <is>
          <t>WHITE FREIGHTLINER</t>
        </is>
      </c>
      <c r="H848" s="144" t="inlineStr">
        <is>
          <t>HOBBY SHOP</t>
        </is>
      </c>
      <c r="I848" s="144" t="inlineStr">
        <is>
          <t>COMMERCIAL</t>
        </is>
      </c>
    </row>
    <row r="849" ht="18" customHeight="1" s="7">
      <c r="A849" s="144" t="inlineStr">
        <is>
          <t>MICHAEL MUNOZ</t>
        </is>
      </c>
      <c r="B849" s="144" t="inlineStr">
        <is>
          <t>*052526815 GA</t>
        </is>
      </c>
      <c r="C849" s="144" t="inlineStr">
        <is>
          <t>CITY OF ALBANY</t>
        </is>
      </c>
      <c r="D849" s="144" t="n">
        <v>2297596300</v>
      </c>
      <c r="E849" s="144" t="inlineStr">
        <is>
          <t>DUMP</t>
        </is>
      </c>
      <c r="F849" s="144" t="inlineStr">
        <is>
          <t>EMP261 GA</t>
        </is>
      </c>
      <c r="G849" s="144" t="inlineStr">
        <is>
          <t>WHITE MACK</t>
        </is>
      </c>
      <c r="H849" s="144" t="n">
        <v>2500</v>
      </c>
      <c r="I849" s="144" t="inlineStr">
        <is>
          <t>COMMERCIAL</t>
        </is>
      </c>
    </row>
    <row r="850" ht="18" customHeight="1" s="7">
      <c r="A850" s="144" t="inlineStr">
        <is>
          <t>BRYAN HUNTER</t>
        </is>
      </c>
      <c r="B850" s="144" t="inlineStr">
        <is>
          <t>*052063930 GA</t>
        </is>
      </c>
      <c r="C850" s="144" t="inlineStr">
        <is>
          <t>RHC</t>
        </is>
      </c>
      <c r="D850" s="144" t="n">
        <v>2297770720</v>
      </c>
      <c r="E850" s="144" t="inlineStr">
        <is>
          <t>PU</t>
        </is>
      </c>
      <c r="F850" s="144" t="inlineStr">
        <is>
          <t>RXL2320 GA</t>
        </is>
      </c>
      <c r="G850" s="144" t="inlineStr">
        <is>
          <t>WHITE FORD</t>
        </is>
      </c>
      <c r="H850" s="144" t="inlineStr">
        <is>
          <t>HOUSING</t>
        </is>
      </c>
      <c r="I850" s="144" t="inlineStr">
        <is>
          <t xml:space="preserve">CONTRACTOR </t>
        </is>
      </c>
    </row>
    <row r="851" ht="18" customHeight="1" s="7">
      <c r="A851" s="144" t="inlineStr">
        <is>
          <t>CURTIS DUKES</t>
        </is>
      </c>
      <c r="B851" s="144" t="inlineStr">
        <is>
          <t>*061068225 GA</t>
        </is>
      </c>
      <c r="C851" s="144" t="inlineStr">
        <is>
          <t xml:space="preserve">ANIX </t>
        </is>
      </c>
      <c r="D851" s="144" t="n">
        <v>2294216501</v>
      </c>
      <c r="E851" s="144" t="inlineStr">
        <is>
          <t>VAN</t>
        </is>
      </c>
      <c r="F851" s="144" t="inlineStr">
        <is>
          <t>JKHF87 FL</t>
        </is>
      </c>
      <c r="G851" s="144" t="inlineStr">
        <is>
          <t>WHITE FORD</t>
        </is>
      </c>
      <c r="H851" s="144" t="n">
        <v>5305</v>
      </c>
      <c r="I851" s="144" t="inlineStr">
        <is>
          <t xml:space="preserve">CONTRACTOR </t>
        </is>
      </c>
    </row>
    <row r="852" ht="18" customHeight="1" s="7">
      <c r="A852" s="144" t="inlineStr">
        <is>
          <t>ABRAHAM JORDAN</t>
        </is>
      </c>
      <c r="B852" s="144" t="inlineStr">
        <is>
          <t>*034871701 GA</t>
        </is>
      </c>
      <c r="C852" s="144" t="inlineStr">
        <is>
          <t>R&amp;L</t>
        </is>
      </c>
      <c r="D852" s="144" t="n">
        <v>2294491123</v>
      </c>
      <c r="E852" s="144" t="inlineStr">
        <is>
          <t>BOX</t>
        </is>
      </c>
      <c r="F852" s="144" t="inlineStr">
        <is>
          <t>330963 IN</t>
        </is>
      </c>
      <c r="G852" s="144" t="inlineStr">
        <is>
          <t>GREEN INTER</t>
        </is>
      </c>
      <c r="H852" s="144" t="n">
        <v>5400</v>
      </c>
      <c r="I852" s="144" t="inlineStr">
        <is>
          <t>COMMERCIAL</t>
        </is>
      </c>
    </row>
    <row r="853" ht="18" customHeight="1" s="7">
      <c r="A853" s="144" t="inlineStr">
        <is>
          <t>TIMOTHY HALL</t>
        </is>
      </c>
      <c r="B853" s="144" t="inlineStr">
        <is>
          <t>*058122700 GA</t>
        </is>
      </c>
      <c r="C853" s="144" t="inlineStr">
        <is>
          <t>RHC</t>
        </is>
      </c>
      <c r="D853" s="144" t="n">
        <v>2293646528</v>
      </c>
      <c r="E853" s="144" t="inlineStr">
        <is>
          <t>PU</t>
        </is>
      </c>
      <c r="F853" s="144" t="inlineStr">
        <is>
          <t>TFN6472 GA</t>
        </is>
      </c>
      <c r="G853" s="144" t="inlineStr">
        <is>
          <t>WHITE FORD</t>
        </is>
      </c>
      <c r="H853" s="144" t="inlineStr">
        <is>
          <t>HOUSING</t>
        </is>
      </c>
      <c r="I853" s="144" t="inlineStr">
        <is>
          <t xml:space="preserve">CONTRACTOR </t>
        </is>
      </c>
    </row>
    <row r="854" ht="18" customHeight="1" s="7">
      <c r="A854" s="144" t="inlineStr">
        <is>
          <t>DOFFORD CORKER JR</t>
        </is>
      </c>
      <c r="B854" s="144" t="inlineStr">
        <is>
          <t>*052531140 GA</t>
        </is>
      </c>
      <c r="C854" s="144" t="inlineStr">
        <is>
          <t>FED EX</t>
        </is>
      </c>
      <c r="D854" s="144" t="n">
        <v>2294498241</v>
      </c>
      <c r="E854" s="144" t="inlineStr">
        <is>
          <t>VAN</t>
        </is>
      </c>
      <c r="F854" s="144" t="inlineStr">
        <is>
          <t>JALI67 FL</t>
        </is>
      </c>
      <c r="G854" s="144" t="inlineStr">
        <is>
          <t>WHITE DODGE</t>
        </is>
      </c>
      <c r="H854" s="144" t="n">
        <v>1341</v>
      </c>
      <c r="I854" s="144" t="inlineStr">
        <is>
          <t xml:space="preserve">CONTRACTOR </t>
        </is>
      </c>
    </row>
    <row r="855" ht="18" customHeight="1" s="7">
      <c r="A855" s="144" t="inlineStr">
        <is>
          <t>EDGAR GREEN JR</t>
        </is>
      </c>
      <c r="B855" s="144" t="inlineStr">
        <is>
          <t>*055825779 GA</t>
        </is>
      </c>
      <c r="C855" s="144" t="inlineStr">
        <is>
          <t>EXPRESS DISPOSAL</t>
        </is>
      </c>
      <c r="D855" s="144" t="n">
        <v>2293524300</v>
      </c>
      <c r="E855" s="144" t="inlineStr">
        <is>
          <t>DUMP</t>
        </is>
      </c>
      <c r="F855" s="144" t="inlineStr">
        <is>
          <t>EP1577 GA</t>
        </is>
      </c>
      <c r="G855" s="144" t="inlineStr">
        <is>
          <t>WHITE IN</t>
        </is>
      </c>
      <c r="H855" s="144" t="inlineStr">
        <is>
          <t>BROOM BLVD</t>
        </is>
      </c>
      <c r="I855" s="144" t="inlineStr">
        <is>
          <t>COMMERCIAL</t>
        </is>
      </c>
    </row>
    <row r="856" ht="18" customHeight="1" s="7">
      <c r="A856" s="144" t="inlineStr">
        <is>
          <t>DWAYNE GREENHILL</t>
        </is>
      </c>
      <c r="B856" s="144" t="inlineStr">
        <is>
          <t>G230298782000 FL</t>
        </is>
      </c>
      <c r="C856" s="144" t="inlineStr">
        <is>
          <t>AUBREY SILVEY</t>
        </is>
      </c>
      <c r="D856" s="144" t="n">
        <v>9046555458</v>
      </c>
      <c r="E856" s="144" t="inlineStr">
        <is>
          <t>PU</t>
        </is>
      </c>
      <c r="F856" s="144" t="inlineStr">
        <is>
          <t>GCT380 GA</t>
        </is>
      </c>
      <c r="G856" s="144" t="inlineStr">
        <is>
          <t>WHITE GMC</t>
        </is>
      </c>
      <c r="H856" s="144" t="inlineStr">
        <is>
          <t>SUBSTATION</t>
        </is>
      </c>
      <c r="I856" s="144" t="inlineStr">
        <is>
          <t xml:space="preserve">CONTRACTOR </t>
        </is>
      </c>
    </row>
    <row r="857" ht="18" customHeight="1" s="7">
      <c r="A857" s="144" t="inlineStr">
        <is>
          <t>KEITH WENDWLL</t>
        </is>
      </c>
      <c r="B857" s="144" t="inlineStr">
        <is>
          <t>102772254302 MD</t>
        </is>
      </c>
      <c r="C857" s="144" t="inlineStr">
        <is>
          <t>KB TRANS</t>
        </is>
      </c>
      <c r="D857" s="144" t="n">
        <v>2404418841</v>
      </c>
      <c r="E857" s="144" t="inlineStr">
        <is>
          <t>FLAT</t>
        </is>
      </c>
      <c r="F857" s="144" t="inlineStr">
        <is>
          <t>995F73 MD</t>
        </is>
      </c>
      <c r="G857" s="144" t="inlineStr">
        <is>
          <t>ORANGE KW</t>
        </is>
      </c>
      <c r="H857" s="144" t="n">
        <v>1221</v>
      </c>
      <c r="I857" s="144" t="inlineStr">
        <is>
          <t>COMMERCIAL</t>
        </is>
      </c>
    </row>
    <row r="858" ht="18" customHeight="1" s="7">
      <c r="A858" s="144" t="inlineStr">
        <is>
          <t>CHRISTOPHER MARTIN</t>
        </is>
      </c>
      <c r="B858" s="144" t="inlineStr">
        <is>
          <t>*050396694 GA</t>
        </is>
      </c>
      <c r="C858" s="144" t="inlineStr">
        <is>
          <t>C MARTIN TRANSPORTATION</t>
        </is>
      </c>
      <c r="D858" s="144" t="n">
        <v>4045382312</v>
      </c>
      <c r="E858" s="144" t="inlineStr">
        <is>
          <t>BOX</t>
        </is>
      </c>
      <c r="F858" s="144" t="inlineStr">
        <is>
          <t>C8732ER GA</t>
        </is>
      </c>
      <c r="G858" s="144" t="inlineStr">
        <is>
          <t>BLU FREIGHTLINER</t>
        </is>
      </c>
      <c r="H858" s="144" t="n">
        <v>1221</v>
      </c>
      <c r="I858" s="144" t="inlineStr">
        <is>
          <t>COMMERCIAL</t>
        </is>
      </c>
    </row>
    <row r="859" ht="18" customHeight="1" s="7">
      <c r="A859" s="144" t="inlineStr">
        <is>
          <t xml:space="preserve">MICHAEL DUPLANTIS </t>
        </is>
      </c>
      <c r="B859" s="144" t="inlineStr">
        <is>
          <t>*D145556783310 FL</t>
        </is>
      </c>
      <c r="C859" s="144" t="inlineStr">
        <is>
          <t xml:space="preserve">CLEMENS FUEL </t>
        </is>
      </c>
      <c r="D859" s="144" t="n">
        <v>8502658881</v>
      </c>
      <c r="E859" s="144" t="inlineStr">
        <is>
          <t>PU</t>
        </is>
      </c>
      <c r="F859" s="144" t="inlineStr">
        <is>
          <t>Y672BJ FL</t>
        </is>
      </c>
      <c r="G859" s="144" t="inlineStr">
        <is>
          <t>WHT FORD</t>
        </is>
      </c>
      <c r="I859" s="144" t="inlineStr">
        <is>
          <t xml:space="preserve">CONTRACTOR </t>
        </is>
      </c>
    </row>
    <row r="860" ht="18" customHeight="1" s="7">
      <c r="A860" s="144" t="inlineStr">
        <is>
          <t>MORRIS FARMER</t>
        </is>
      </c>
      <c r="B860" s="144" t="inlineStr">
        <is>
          <t>*055928293 GA</t>
        </is>
      </c>
      <c r="C860" s="144" t="inlineStr">
        <is>
          <t>MJW CONSOLIDATED</t>
        </is>
      </c>
      <c r="D860" s="144" t="n">
        <v>9127171382</v>
      </c>
      <c r="E860" s="144" t="inlineStr">
        <is>
          <t>PU</t>
        </is>
      </c>
      <c r="F860" s="144" t="inlineStr">
        <is>
          <t>GETN08 FL</t>
        </is>
      </c>
      <c r="G860" s="144" t="inlineStr">
        <is>
          <t>WHT FORD</t>
        </is>
      </c>
      <c r="H860" s="144" t="inlineStr">
        <is>
          <t>2500 BROOM BLVD</t>
        </is>
      </c>
      <c r="I860" s="144" t="inlineStr">
        <is>
          <t xml:space="preserve">CONTRACTOR </t>
        </is>
      </c>
    </row>
    <row r="861" ht="18" customHeight="1" s="7">
      <c r="A861" s="144" t="inlineStr">
        <is>
          <t>DAVID JOHNSON</t>
        </is>
      </c>
      <c r="B861" s="144" t="inlineStr">
        <is>
          <t>23727037 PA</t>
        </is>
      </c>
      <c r="C861" s="144" t="inlineStr">
        <is>
          <t>EDOS TRUCKING</t>
        </is>
      </c>
      <c r="D861" s="144" t="n">
        <v>7176548266</v>
      </c>
      <c r="E861" s="144" t="inlineStr">
        <is>
          <t>BOX</t>
        </is>
      </c>
      <c r="F861" s="144" t="inlineStr">
        <is>
          <t>AH47497 PA</t>
        </is>
      </c>
      <c r="G861" s="144" t="inlineStr">
        <is>
          <t>BLU IN</t>
        </is>
      </c>
      <c r="H861" s="144" t="n">
        <v>1221</v>
      </c>
      <c r="I861" s="144" t="inlineStr">
        <is>
          <t>COMMERCIAL</t>
        </is>
      </c>
    </row>
    <row r="862" ht="18" customHeight="1" s="7">
      <c r="A862" s="144" t="inlineStr">
        <is>
          <t>LEONIDAS ALVAREZ</t>
        </is>
      </c>
      <c r="B862" s="144" t="inlineStr">
        <is>
          <t>*056448039 GA</t>
        </is>
      </c>
      <c r="C862" s="144" t="inlineStr">
        <is>
          <t>WATERPROOFING</t>
        </is>
      </c>
      <c r="D862" s="144" t="n">
        <v>8885174300</v>
      </c>
      <c r="E862" s="144" t="inlineStr">
        <is>
          <t>PU</t>
        </is>
      </c>
      <c r="F862" s="144" t="inlineStr">
        <is>
          <t>CMP6743 GA</t>
        </is>
      </c>
      <c r="G862" s="144" t="inlineStr">
        <is>
          <t>WHITE FORD</t>
        </is>
      </c>
      <c r="H862" s="144" t="n">
        <v>1221</v>
      </c>
      <c r="I862" s="144" t="inlineStr">
        <is>
          <t xml:space="preserve">CONTRACTOR </t>
        </is>
      </c>
    </row>
    <row r="863" ht="18" customHeight="1" s="7">
      <c r="A863" s="144" t="inlineStr">
        <is>
          <t>MALIQI ARTAN</t>
        </is>
      </c>
      <c r="B863" s="144" t="inlineStr">
        <is>
          <t>M01629172 KY</t>
        </is>
      </c>
      <c r="C863" s="144" t="inlineStr">
        <is>
          <t>EAST B&amp;H</t>
        </is>
      </c>
      <c r="D863" s="144" t="n">
        <v>5029314883</v>
      </c>
      <c r="E863" s="144" t="inlineStr">
        <is>
          <t>BOX</t>
        </is>
      </c>
      <c r="F863" s="144" t="inlineStr">
        <is>
          <t>A99316 KY</t>
        </is>
      </c>
      <c r="G863" s="144" t="inlineStr">
        <is>
          <t xml:space="preserve">RED VOLVO </t>
        </is>
      </c>
      <c r="H863" s="144" t="n">
        <v>1221</v>
      </c>
      <c r="I863" s="144" t="inlineStr">
        <is>
          <t xml:space="preserve">CONTRACTOR </t>
        </is>
      </c>
    </row>
    <row r="864" ht="18" customHeight="1" s="7">
      <c r="A864" s="144" t="inlineStr">
        <is>
          <t xml:space="preserve">SADIKOVIC ASMIR </t>
        </is>
      </c>
      <c r="B864" s="144" t="inlineStr">
        <is>
          <t>S97950554 KY</t>
        </is>
      </c>
      <c r="C864" s="144" t="inlineStr">
        <is>
          <t>TEAM A TRANSPORT</t>
        </is>
      </c>
      <c r="D864" s="144" t="n">
        <v>2703204459</v>
      </c>
      <c r="E864" s="144" t="inlineStr">
        <is>
          <t>BOX</t>
        </is>
      </c>
      <c r="F864" s="144" t="inlineStr">
        <is>
          <t>A93613 KY</t>
        </is>
      </c>
      <c r="G864" s="144" t="inlineStr">
        <is>
          <t>WHITE VOLVO</t>
        </is>
      </c>
      <c r="H864" s="144" t="n">
        <v>1221</v>
      </c>
      <c r="I864" s="144" t="inlineStr">
        <is>
          <t xml:space="preserve">CONTRACTOR </t>
        </is>
      </c>
    </row>
    <row r="865" ht="18" customHeight="1" s="7">
      <c r="A865" s="144" t="inlineStr">
        <is>
          <t>KUNWAR SINGH</t>
        </is>
      </c>
      <c r="B865" s="144" t="inlineStr">
        <is>
          <t>K17895625</t>
        </is>
      </c>
      <c r="C865" s="144" t="inlineStr">
        <is>
          <t>DAK LOGISTICS</t>
        </is>
      </c>
      <c r="D865" s="144" t="n">
        <v>8594921064</v>
      </c>
      <c r="E865" s="144" t="inlineStr">
        <is>
          <t>BOX</t>
        </is>
      </c>
      <c r="F865" s="144" t="inlineStr">
        <is>
          <t>A88958 KY</t>
        </is>
      </c>
      <c r="G865" s="144" t="inlineStr">
        <is>
          <t>BLUE KENWORTH</t>
        </is>
      </c>
      <c r="H865" s="144" t="n">
        <v>1221</v>
      </c>
      <c r="I865" s="144" t="inlineStr">
        <is>
          <t>COMMERCIAL</t>
        </is>
      </c>
    </row>
    <row r="866" ht="18" customHeight="1" s="7">
      <c r="A866" s="144" t="inlineStr">
        <is>
          <t>MANINDER SINGH</t>
        </is>
      </c>
      <c r="B866" s="144" t="inlineStr">
        <is>
          <t>9370703872 IN</t>
        </is>
      </c>
      <c r="C866" s="144" t="inlineStr">
        <is>
          <t>PAPPI TRANS</t>
        </is>
      </c>
      <c r="D866" s="144" t="n">
        <v>9179246081</v>
      </c>
      <c r="E866" s="144" t="inlineStr">
        <is>
          <t>BOX</t>
        </is>
      </c>
      <c r="F866" s="144" t="inlineStr">
        <is>
          <t>3668486 IN</t>
        </is>
      </c>
      <c r="G866" s="144" t="inlineStr">
        <is>
          <t>RED FREIGHTLINER</t>
        </is>
      </c>
      <c r="H866" s="144" t="n">
        <v>1221</v>
      </c>
      <c r="I866" s="144" t="inlineStr">
        <is>
          <t>COMMERCIAL</t>
        </is>
      </c>
    </row>
    <row r="867" ht="18" customHeight="1" s="7">
      <c r="A867" s="144" t="inlineStr">
        <is>
          <t>SUCHIL ANTONIO</t>
        </is>
      </c>
      <c r="B867" s="144" t="inlineStr">
        <is>
          <t>D6388618 CA</t>
        </is>
      </c>
      <c r="C867" s="144" t="inlineStr">
        <is>
          <t>ALFA FREIGHT</t>
        </is>
      </c>
      <c r="D867" s="144" t="n">
        <v>5108372532</v>
      </c>
      <c r="E867" s="144" t="inlineStr">
        <is>
          <t>FLAT</t>
        </is>
      </c>
      <c r="F867" s="144" t="inlineStr">
        <is>
          <t>ZP12916 CA</t>
        </is>
      </c>
      <c r="G867" s="144" t="inlineStr">
        <is>
          <t>WHITE VOLVO</t>
        </is>
      </c>
      <c r="H867" s="144" t="n">
        <v>1221</v>
      </c>
      <c r="I867" s="144" t="inlineStr">
        <is>
          <t>COMMERCIAL</t>
        </is>
      </c>
    </row>
    <row r="868" ht="18" customHeight="1" s="7">
      <c r="A868" s="144" t="inlineStr">
        <is>
          <t>KHALFANI DALY</t>
        </is>
      </c>
      <c r="B868" s="144" t="inlineStr">
        <is>
          <t>D25005418 KY</t>
        </is>
      </c>
      <c r="C868" s="144" t="inlineStr">
        <is>
          <t xml:space="preserve">STEEL FACTOR </t>
        </is>
      </c>
      <c r="D868" s="144" t="n">
        <v>9312418134</v>
      </c>
      <c r="E868" s="144" t="inlineStr">
        <is>
          <t>BOX</t>
        </is>
      </c>
      <c r="F868" s="144" t="inlineStr">
        <is>
          <t>A98558 KY</t>
        </is>
      </c>
      <c r="G868" s="144" t="inlineStr">
        <is>
          <t>BLACK KENWORTH</t>
        </is>
      </c>
      <c r="H868" s="144" t="n">
        <v>1221</v>
      </c>
      <c r="I868" s="144" t="inlineStr">
        <is>
          <t>COMMERCIAL</t>
        </is>
      </c>
    </row>
    <row r="869" ht="18" customHeight="1" s="7">
      <c r="A869" s="144" t="inlineStr">
        <is>
          <t>GIANNI MADURO</t>
        </is>
      </c>
      <c r="B869" s="144" t="inlineStr">
        <is>
          <t>*072020727 GA</t>
        </is>
      </c>
      <c r="C869" s="144" t="inlineStr">
        <is>
          <t>48 LOGISTICS</t>
        </is>
      </c>
      <c r="D869" s="144" t="n">
        <v>4709131221</v>
      </c>
      <c r="E869" s="144" t="inlineStr">
        <is>
          <t>BOX</t>
        </is>
      </c>
      <c r="F869" s="144" t="inlineStr">
        <is>
          <t>C299EX GA</t>
        </is>
      </c>
      <c r="G869" s="144" t="inlineStr">
        <is>
          <t>WHITE HINO</t>
        </is>
      </c>
      <c r="H869" s="144" t="n">
        <v>1221</v>
      </c>
      <c r="I869" s="144" t="inlineStr">
        <is>
          <t>COMMERCIAL</t>
        </is>
      </c>
    </row>
    <row r="870" ht="18" customHeight="1" s="7">
      <c r="A870" s="144" t="inlineStr">
        <is>
          <t>JOHNNY BROWN</t>
        </is>
      </c>
      <c r="B870" s="144" t="inlineStr">
        <is>
          <t>*056314141 GA</t>
        </is>
      </c>
      <c r="C870" s="144" t="inlineStr">
        <is>
          <t>ESTES</t>
        </is>
      </c>
      <c r="D870" s="144" t="n">
        <v>2295208547</v>
      </c>
      <c r="E870" s="144" t="inlineStr">
        <is>
          <t>BOX</t>
        </is>
      </c>
      <c r="F870" s="144" t="inlineStr">
        <is>
          <t>3584372 IN</t>
        </is>
      </c>
      <c r="G870" s="144" t="inlineStr">
        <is>
          <t>WHITE FREIGHTLINER</t>
        </is>
      </c>
      <c r="H870" s="144" t="n">
        <v>1221</v>
      </c>
      <c r="I870" s="144" t="inlineStr">
        <is>
          <t>COMMERCIAL</t>
        </is>
      </c>
    </row>
    <row r="871" ht="18" customHeight="1" s="7">
      <c r="A871" s="144" t="inlineStr">
        <is>
          <t>RODRIQUEZ EMORY</t>
        </is>
      </c>
      <c r="B871" s="144" t="inlineStr">
        <is>
          <t>*051526764 GA</t>
        </is>
      </c>
      <c r="C871" s="144" t="inlineStr">
        <is>
          <t>MB GLOBAL</t>
        </is>
      </c>
      <c r="D871" s="144" t="n">
        <v>4782332424</v>
      </c>
      <c r="E871" s="144" t="inlineStr">
        <is>
          <t>BOX</t>
        </is>
      </c>
      <c r="F871" s="144" t="inlineStr">
        <is>
          <t>3116799 IN</t>
        </is>
      </c>
      <c r="G871" s="144" t="inlineStr">
        <is>
          <t>WHITE FREIGHTLINER</t>
        </is>
      </c>
      <c r="H871" s="144" t="n">
        <v>1221</v>
      </c>
      <c r="I871" s="144" t="inlineStr">
        <is>
          <t>COMMERCIAL</t>
        </is>
      </c>
    </row>
    <row r="872" ht="18" customHeight="1" s="7">
      <c r="A872" s="144" t="inlineStr">
        <is>
          <t xml:space="preserve">FARID TURGAEV </t>
        </is>
      </c>
      <c r="B872" s="144" t="inlineStr">
        <is>
          <t>VL804545 OH</t>
        </is>
      </c>
      <c r="C872" s="144" t="inlineStr">
        <is>
          <t>URGUT</t>
        </is>
      </c>
      <c r="D872" s="144" t="n">
        <v>3473555018</v>
      </c>
      <c r="E872" s="144" t="inlineStr">
        <is>
          <t>BOX</t>
        </is>
      </c>
      <c r="F872" s="144" t="inlineStr">
        <is>
          <t>AH34416 PA</t>
        </is>
      </c>
      <c r="G872" s="144" t="inlineStr">
        <is>
          <t>BLACK FREIGHT</t>
        </is>
      </c>
      <c r="H872" s="144" t="n">
        <v>1221</v>
      </c>
      <c r="I872" s="144" t="inlineStr">
        <is>
          <t>COMMERCIAL</t>
        </is>
      </c>
    </row>
    <row r="873" ht="18" customHeight="1" s="7">
      <c r="A873" s="144" t="inlineStr">
        <is>
          <t>DANIEL DEVANTE'</t>
        </is>
      </c>
      <c r="B873" s="144" t="inlineStr">
        <is>
          <t>*054318112 GA</t>
        </is>
      </c>
      <c r="C873" s="144" t="inlineStr">
        <is>
          <t>CINTAS</t>
        </is>
      </c>
      <c r="D873" s="144" t="n">
        <v>2293386601</v>
      </c>
      <c r="E873" s="144" t="inlineStr">
        <is>
          <t>BOX</t>
        </is>
      </c>
      <c r="F873" s="144" t="inlineStr">
        <is>
          <t>WEN534 GA</t>
        </is>
      </c>
      <c r="G873" s="144" t="inlineStr">
        <is>
          <t>WHITE FREIGHTLINER</t>
        </is>
      </c>
      <c r="H873" s="144" t="inlineStr">
        <is>
          <t>HOUSING</t>
        </is>
      </c>
      <c r="I873" s="144" t="inlineStr">
        <is>
          <t xml:space="preserve">CONTRACTOR </t>
        </is>
      </c>
    </row>
    <row r="874" ht="18" customHeight="1" s="7">
      <c r="A874" s="144" t="inlineStr">
        <is>
          <t>RYAN AIKEN</t>
        </is>
      </c>
      <c r="B874" s="144" t="inlineStr">
        <is>
          <t>*000038729165 NC</t>
        </is>
      </c>
      <c r="C874" s="144" t="inlineStr">
        <is>
          <t>BF PRIME</t>
        </is>
      </c>
      <c r="D874" s="144" t="n">
        <v>2012734295</v>
      </c>
      <c r="E874" s="144" t="inlineStr">
        <is>
          <t>BOX</t>
        </is>
      </c>
      <c r="F874" s="144" t="inlineStr">
        <is>
          <t>P1262705 IL</t>
        </is>
      </c>
      <c r="G874" s="144" t="inlineStr">
        <is>
          <t>WHITE VOLVO</t>
        </is>
      </c>
      <c r="H874" s="144" t="n">
        <v>1221</v>
      </c>
      <c r="I874" s="144" t="inlineStr">
        <is>
          <t>COMMERCIAL</t>
        </is>
      </c>
    </row>
    <row r="875" ht="18" customHeight="1" s="7">
      <c r="A875" s="144" t="inlineStr">
        <is>
          <t>ALVIN DAY JR</t>
        </is>
      </c>
      <c r="B875" s="144" t="inlineStr">
        <is>
          <t>*056220445 GA</t>
        </is>
      </c>
      <c r="C875" s="144" t="inlineStr">
        <is>
          <t>SPARTAN NASH</t>
        </is>
      </c>
      <c r="D875" s="144" t="n">
        <v>7069877403</v>
      </c>
      <c r="E875" s="144" t="inlineStr">
        <is>
          <t>BOX</t>
        </is>
      </c>
      <c r="F875" s="144" t="inlineStr">
        <is>
          <t>420445 NE</t>
        </is>
      </c>
      <c r="G875" s="144" t="inlineStr">
        <is>
          <t>WHITE INTERNATIONAL</t>
        </is>
      </c>
      <c r="H875" s="144" t="n">
        <v>7501</v>
      </c>
      <c r="I875" s="144" t="inlineStr">
        <is>
          <t>COMMERCIAL</t>
        </is>
      </c>
    </row>
    <row r="876" ht="18" customHeight="1" s="7">
      <c r="A876" s="144" t="inlineStr">
        <is>
          <t>JOE AUMILLER</t>
        </is>
      </c>
      <c r="B876" s="144" t="inlineStr">
        <is>
          <t>17228727 PA</t>
        </is>
      </c>
      <c r="C876" s="144" t="inlineStr">
        <is>
          <t>LANDSTAR</t>
        </is>
      </c>
      <c r="D876" s="144" t="n">
        <v>7173630432</v>
      </c>
      <c r="E876" s="144" t="inlineStr">
        <is>
          <t>BOX</t>
        </is>
      </c>
      <c r="F876" s="144" t="inlineStr">
        <is>
          <t>2509214 IN</t>
        </is>
      </c>
      <c r="G876" s="144" t="inlineStr">
        <is>
          <t>TAN KW</t>
        </is>
      </c>
      <c r="H876" s="144" t="n">
        <v>1221</v>
      </c>
      <c r="I876" s="144" t="inlineStr">
        <is>
          <t>COMMERCIAL</t>
        </is>
      </c>
    </row>
    <row r="877" ht="18" customHeight="1" s="7">
      <c r="A877" s="144" t="inlineStr">
        <is>
          <t>JESUS MONTES DE OCA</t>
        </is>
      </c>
      <c r="B877" s="144" t="inlineStr">
        <is>
          <t>M532422690880 FL</t>
        </is>
      </c>
      <c r="C877" s="144" t="inlineStr">
        <is>
          <t>LANDSTAR</t>
        </is>
      </c>
      <c r="D877" s="144" t="n">
        <v>2393229730</v>
      </c>
      <c r="E877" s="144" t="inlineStr">
        <is>
          <t>BOX</t>
        </is>
      </c>
      <c r="F877" s="144" t="inlineStr">
        <is>
          <t>M3615512 IN</t>
        </is>
      </c>
      <c r="G877" s="144" t="inlineStr">
        <is>
          <t>WHITE PETERBILT</t>
        </is>
      </c>
      <c r="H877" s="144" t="n">
        <v>1230</v>
      </c>
      <c r="I877" s="144" t="inlineStr">
        <is>
          <t>COMMERCIAL</t>
        </is>
      </c>
    </row>
    <row r="878" ht="18" customHeight="1" s="7">
      <c r="A878" s="144" t="inlineStr">
        <is>
          <t>FLOYD WOODRUFF</t>
        </is>
      </c>
      <c r="B878" s="144" t="inlineStr">
        <is>
          <t>W244449640000 FL</t>
        </is>
      </c>
      <c r="C878" s="144" t="inlineStr">
        <is>
          <t>AMERICAN TRACK</t>
        </is>
      </c>
      <c r="D878" s="144" t="n">
        <v>8133520304</v>
      </c>
      <c r="E878" s="144" t="inlineStr">
        <is>
          <t>PU</t>
        </is>
      </c>
      <c r="F878" s="144" t="inlineStr">
        <is>
          <t>RST7141 TX</t>
        </is>
      </c>
      <c r="G878" s="144" t="inlineStr">
        <is>
          <t>WHITE DODGE</t>
        </is>
      </c>
      <c r="H878" s="144" t="n">
        <v>1210</v>
      </c>
      <c r="I878" s="144" t="inlineStr">
        <is>
          <t xml:space="preserve">CONTRACTOR </t>
        </is>
      </c>
    </row>
    <row r="879" ht="18" customHeight="1" s="7">
      <c r="A879" s="144" t="inlineStr">
        <is>
          <t>ABDI ALINUR</t>
        </is>
      </c>
      <c r="B879" s="144" t="inlineStr">
        <is>
          <t>*054662380 GA</t>
        </is>
      </c>
      <c r="C879" s="144" t="inlineStr">
        <is>
          <t>CENTRAL</t>
        </is>
      </c>
      <c r="D879" s="144" t="n">
        <v>4043722887</v>
      </c>
      <c r="E879" s="144" t="inlineStr">
        <is>
          <t>BOX</t>
        </is>
      </c>
      <c r="F879" s="144" t="inlineStr">
        <is>
          <t>C218EA GA</t>
        </is>
      </c>
      <c r="G879" s="144" t="inlineStr">
        <is>
          <t>WHITE FREIGHTLINER</t>
        </is>
      </c>
      <c r="H879" s="144" t="n">
        <v>1221</v>
      </c>
      <c r="I879" s="144" t="inlineStr">
        <is>
          <t>COMMERCIAL</t>
        </is>
      </c>
    </row>
    <row r="880" ht="18" customHeight="1" s="7">
      <c r="A880" s="144" t="inlineStr">
        <is>
          <t>DELAVALLADE BRIAN</t>
        </is>
      </c>
      <c r="B880" s="144" t="inlineStr">
        <is>
          <t>D241898212000 FL</t>
        </is>
      </c>
      <c r="C880" s="144" t="inlineStr">
        <is>
          <t>MB GLOBAL</t>
        </is>
      </c>
      <c r="D880" s="144" t="n">
        <v>8505724808</v>
      </c>
      <c r="E880" s="144" t="inlineStr">
        <is>
          <t>BOX</t>
        </is>
      </c>
      <c r="F880" s="144" t="inlineStr">
        <is>
          <t>3328443 IN</t>
        </is>
      </c>
      <c r="G880" s="144" t="inlineStr">
        <is>
          <t>WHITE FL</t>
        </is>
      </c>
      <c r="H880" s="144" t="n">
        <v>1221</v>
      </c>
      <c r="I880" s="144" t="inlineStr">
        <is>
          <t>COMMERCIAL</t>
        </is>
      </c>
    </row>
    <row r="881" ht="18" customHeight="1" s="7">
      <c r="A881" s="144" t="inlineStr">
        <is>
          <t>HUSSEIN OSMAN</t>
        </is>
      </c>
      <c r="B881" s="144" t="inlineStr">
        <is>
          <t>132799313 MN</t>
        </is>
      </c>
      <c r="C881" s="144" t="inlineStr">
        <is>
          <t>SHINE TRANS</t>
        </is>
      </c>
      <c r="D881" s="144" t="n">
        <v>6124588968</v>
      </c>
      <c r="E881" s="144" t="inlineStr">
        <is>
          <t>BOX</t>
        </is>
      </c>
      <c r="F881" s="144" t="inlineStr">
        <is>
          <t>PZB4133 MN</t>
        </is>
      </c>
      <c r="G881" s="144" t="inlineStr">
        <is>
          <t>WHITE FREIGHTLINER</t>
        </is>
      </c>
      <c r="H881" s="144" t="n">
        <v>1221</v>
      </c>
      <c r="I881" s="144" t="inlineStr">
        <is>
          <t>COMMERCIAL</t>
        </is>
      </c>
    </row>
    <row r="882" ht="18" customHeight="1" s="7">
      <c r="A882" s="144" t="inlineStr">
        <is>
          <t>CERAPHIN CLAYDE</t>
        </is>
      </c>
      <c r="B882" s="144" t="inlineStr">
        <is>
          <t>C615100851240 FL</t>
        </is>
      </c>
      <c r="C882" s="144" t="inlineStr">
        <is>
          <t>381 LOGISTICS</t>
        </is>
      </c>
      <c r="D882" s="144" t="n">
        <v>5618534948</v>
      </c>
      <c r="E882" s="144" t="inlineStr">
        <is>
          <t>BOX</t>
        </is>
      </c>
      <c r="F882" s="144" t="inlineStr">
        <is>
          <t>P1227490  IL</t>
        </is>
      </c>
      <c r="G882" s="144" t="inlineStr">
        <is>
          <t>SILVER FREIGHTLINER</t>
        </is>
      </c>
      <c r="H882" s="144" t="n">
        <v>1221</v>
      </c>
      <c r="I882" s="144" t="inlineStr">
        <is>
          <t>COMMERCIAL</t>
        </is>
      </c>
    </row>
    <row r="883" ht="18" customHeight="1" s="7">
      <c r="A883" s="144" t="inlineStr">
        <is>
          <t>GONCALVES ALMEIDA</t>
        </is>
      </c>
      <c r="B883" s="144" t="inlineStr">
        <is>
          <t>F1615536 CA</t>
        </is>
      </c>
      <c r="C883" s="144" t="inlineStr">
        <is>
          <t>ICLF TRUCKING</t>
        </is>
      </c>
      <c r="D883" s="144" t="n">
        <v>5624059368</v>
      </c>
      <c r="E883" s="144" t="inlineStr">
        <is>
          <t>BOX</t>
        </is>
      </c>
      <c r="F883" s="144" t="inlineStr">
        <is>
          <t>ZP43745 CA</t>
        </is>
      </c>
      <c r="G883" s="144" t="inlineStr">
        <is>
          <t>WHITE FL</t>
        </is>
      </c>
      <c r="H883" s="144" t="n">
        <v>1230</v>
      </c>
      <c r="I883" s="144" t="inlineStr">
        <is>
          <t>COMMERCIAL</t>
        </is>
      </c>
    </row>
    <row r="884" ht="18" customHeight="1" s="7">
      <c r="A884" s="144" t="inlineStr">
        <is>
          <t>BARBER KING</t>
        </is>
      </c>
      <c r="B884" s="144" t="inlineStr">
        <is>
          <t>*055313100 GA</t>
        </is>
      </c>
      <c r="C884" s="144" t="inlineStr">
        <is>
          <t>AAA</t>
        </is>
      </c>
      <c r="D884" s="144" t="n">
        <v>2294362624</v>
      </c>
      <c r="E884" s="144" t="inlineStr">
        <is>
          <t>DUMP</t>
        </is>
      </c>
      <c r="F884" s="144" t="inlineStr">
        <is>
          <t>GMK519 GA</t>
        </is>
      </c>
      <c r="G884" s="144" t="inlineStr">
        <is>
          <t>WHITE KENWORTH</t>
        </is>
      </c>
      <c r="H884" s="144" t="n">
        <v>5400</v>
      </c>
      <c r="I884" s="144" t="inlineStr">
        <is>
          <t>COMMERCIAL</t>
        </is>
      </c>
    </row>
    <row r="885" ht="18" customHeight="1" s="7">
      <c r="A885" s="144" t="inlineStr">
        <is>
          <t>VICTOR RUTLEDGE</t>
        </is>
      </c>
      <c r="B885" s="144" t="inlineStr">
        <is>
          <t>543393 AL</t>
        </is>
      </c>
      <c r="C885" s="144" t="inlineStr">
        <is>
          <t>ROYALTY ONE</t>
        </is>
      </c>
      <c r="D885" s="144" t="n">
        <v>3345056077</v>
      </c>
      <c r="E885" s="144" t="inlineStr">
        <is>
          <t>BOX</t>
        </is>
      </c>
      <c r="F885" s="144" t="inlineStr">
        <is>
          <t>003876287 GA</t>
        </is>
      </c>
      <c r="G885" s="144" t="inlineStr">
        <is>
          <t>WHITE FL</t>
        </is>
      </c>
      <c r="H885" s="144" t="n">
        <v>1221</v>
      </c>
      <c r="I885" s="144" t="inlineStr">
        <is>
          <t>COMMERCIAL</t>
        </is>
      </c>
    </row>
    <row r="886" ht="18" customHeight="1" s="7">
      <c r="A886" s="144" t="inlineStr">
        <is>
          <t>GARY GULLEY</t>
        </is>
      </c>
      <c r="B886" s="144" t="inlineStr">
        <is>
          <t>G400284642620 FL</t>
        </is>
      </c>
      <c r="C886" s="144" t="inlineStr">
        <is>
          <t>LEX FREIGHT</t>
        </is>
      </c>
      <c r="D886" s="144" t="n">
        <v>8136975741</v>
      </c>
      <c r="E886" s="144" t="inlineStr">
        <is>
          <t>BOX</t>
        </is>
      </c>
      <c r="F886" s="144" t="inlineStr">
        <is>
          <t>P1259818 IL</t>
        </is>
      </c>
      <c r="G886" s="144" t="inlineStr">
        <is>
          <t>RED FL</t>
        </is>
      </c>
      <c r="H886" s="144" t="n">
        <v>1221</v>
      </c>
      <c r="I886" s="144" t="inlineStr">
        <is>
          <t>COMMERCIAL</t>
        </is>
      </c>
    </row>
    <row r="887" ht="18" customHeight="1" s="7">
      <c r="A887" s="144" t="inlineStr">
        <is>
          <t>JAVORIS ISABELL</t>
        </is>
      </c>
      <c r="B887" s="144" t="inlineStr">
        <is>
          <t>*052552449 GA</t>
        </is>
      </c>
      <c r="C887" s="144" t="inlineStr">
        <is>
          <t>BADWOLF</t>
        </is>
      </c>
      <c r="D887" s="144" t="n">
        <v>6784125757</v>
      </c>
      <c r="E887" s="144" t="inlineStr">
        <is>
          <t>BOX</t>
        </is>
      </c>
      <c r="F887" s="144" t="inlineStr">
        <is>
          <t>XVC902 GA</t>
        </is>
      </c>
      <c r="G887" s="144" t="inlineStr">
        <is>
          <t>WHITE FREIGHTLINER</t>
        </is>
      </c>
      <c r="H887" s="144" t="n">
        <v>1331</v>
      </c>
      <c r="I887" s="144" t="inlineStr">
        <is>
          <t>COMMERCIAL</t>
        </is>
      </c>
    </row>
    <row r="888" ht="18" customHeight="1" s="7">
      <c r="A888" s="144" t="inlineStr">
        <is>
          <t>SEDDOR WISDOM</t>
        </is>
      </c>
      <c r="B888" s="144" t="inlineStr">
        <is>
          <t>S21277880011842 NJ</t>
        </is>
      </c>
      <c r="C888" s="144" t="inlineStr">
        <is>
          <t>LLG CARGO</t>
        </is>
      </c>
      <c r="D888" s="144" t="n">
        <v>6095405450</v>
      </c>
      <c r="E888" s="144" t="inlineStr">
        <is>
          <t>BOX</t>
        </is>
      </c>
      <c r="F888" s="144" t="inlineStr">
        <is>
          <t>AH59436 PA</t>
        </is>
      </c>
      <c r="G888" s="144" t="inlineStr">
        <is>
          <t>GREY FREIGHTLINER</t>
        </is>
      </c>
      <c r="H888" s="144" t="n">
        <v>1221</v>
      </c>
      <c r="I888" s="144" t="inlineStr">
        <is>
          <t>COMMERCIAL</t>
        </is>
      </c>
    </row>
    <row r="889" ht="18" customHeight="1" s="7">
      <c r="A889" s="144" t="inlineStr">
        <is>
          <t>WILLIE OWENS</t>
        </is>
      </c>
      <c r="B889" s="144" t="inlineStr">
        <is>
          <t>*053897684 GA</t>
        </is>
      </c>
      <c r="C889" s="144" t="inlineStr">
        <is>
          <t>BLAIR VEAZEY</t>
        </is>
      </c>
      <c r="D889" s="144" t="n">
        <v>2297899074</v>
      </c>
      <c r="E889" s="144" t="inlineStr">
        <is>
          <t>BOX</t>
        </is>
      </c>
      <c r="F889" s="144" t="inlineStr">
        <is>
          <t>C829EY GA</t>
        </is>
      </c>
      <c r="G889" s="144" t="inlineStr">
        <is>
          <t>BLUE KENWORTH</t>
        </is>
      </c>
      <c r="H889" s="144" t="n">
        <v>1221</v>
      </c>
      <c r="I889" s="144" t="inlineStr">
        <is>
          <t>COMMERCIAL</t>
        </is>
      </c>
    </row>
    <row r="890" ht="18" customHeight="1" s="7">
      <c r="A890" s="144" t="inlineStr">
        <is>
          <t>THEADORA THOMAS</t>
        </is>
      </c>
      <c r="B890" s="144" t="inlineStr">
        <is>
          <t>*055808714 GA</t>
        </is>
      </c>
      <c r="C890" s="144" t="inlineStr">
        <is>
          <t>ESTES</t>
        </is>
      </c>
      <c r="D890" s="144" t="n">
        <v>2293260340</v>
      </c>
      <c r="E890" s="144" t="inlineStr">
        <is>
          <t>BOX</t>
        </is>
      </c>
      <c r="F890" s="144" t="inlineStr">
        <is>
          <t>3586234 IN</t>
        </is>
      </c>
      <c r="G890" s="144" t="inlineStr">
        <is>
          <t>YELLOW KENWORTH</t>
        </is>
      </c>
      <c r="H890" s="144" t="n">
        <v>1221</v>
      </c>
      <c r="I890" s="144" t="inlineStr">
        <is>
          <t>COMMERCIAL</t>
        </is>
      </c>
    </row>
    <row r="891" ht="18" customHeight="1" s="7">
      <c r="A891" s="144" t="inlineStr">
        <is>
          <t>DAVIS WAYNE</t>
        </is>
      </c>
      <c r="B891" s="144" t="inlineStr">
        <is>
          <t>T21106060 TN</t>
        </is>
      </c>
      <c r="C891" s="144" t="inlineStr">
        <is>
          <t>TRC</t>
        </is>
      </c>
      <c r="D891" s="144" t="n">
        <v>2768619444</v>
      </c>
      <c r="E891" s="144" t="inlineStr">
        <is>
          <t>BOX</t>
        </is>
      </c>
      <c r="F891" s="144" t="inlineStr">
        <is>
          <t>U4028HY TN</t>
        </is>
      </c>
      <c r="G891" s="144" t="inlineStr">
        <is>
          <t>WHITE PETERBILT</t>
        </is>
      </c>
      <c r="H891" s="144" t="n">
        <v>1221</v>
      </c>
      <c r="I891" s="144" t="inlineStr">
        <is>
          <t>COMMERCIAL</t>
        </is>
      </c>
    </row>
    <row r="892" ht="18" customHeight="1" s="7">
      <c r="A892" s="144" t="inlineStr">
        <is>
          <t>CHIDAWANYIKA STEWART</t>
        </is>
      </c>
      <c r="B892" s="144" t="inlineStr">
        <is>
          <t>48130811 TX</t>
        </is>
      </c>
      <c r="C892" s="144" t="inlineStr">
        <is>
          <t>D&amp;B TRANS</t>
        </is>
      </c>
      <c r="D892" s="144" t="n">
        <v>6304120038</v>
      </c>
      <c r="E892" s="144" t="inlineStr">
        <is>
          <t>BOX</t>
        </is>
      </c>
      <c r="F892" s="144" t="inlineStr">
        <is>
          <t>P1227792 IL</t>
        </is>
      </c>
      <c r="G892" s="144" t="inlineStr">
        <is>
          <t xml:space="preserve">BLACK </t>
        </is>
      </c>
      <c r="H892" s="144" t="n">
        <v>1221</v>
      </c>
      <c r="I892" s="144" t="inlineStr">
        <is>
          <t>COMMERCIAL</t>
        </is>
      </c>
    </row>
    <row r="893" ht="18" customHeight="1" s="7">
      <c r="A893" s="144" t="inlineStr">
        <is>
          <t>BHATIA SHINDA</t>
        </is>
      </c>
      <c r="B893" s="144" t="inlineStr">
        <is>
          <t>9370124812 IN</t>
        </is>
      </c>
      <c r="C893" s="144" t="inlineStr">
        <is>
          <t>SUN MOON CARRIERS</t>
        </is>
      </c>
      <c r="D893" s="144" t="n">
        <v>3175369000</v>
      </c>
      <c r="E893" s="144" t="inlineStr">
        <is>
          <t>BOX</t>
        </is>
      </c>
      <c r="F893" s="144" t="inlineStr">
        <is>
          <t>3414948 IN</t>
        </is>
      </c>
      <c r="G893" s="144" t="inlineStr">
        <is>
          <t>RED KENWORTH</t>
        </is>
      </c>
      <c r="H893" s="144" t="n">
        <v>1221</v>
      </c>
      <c r="I893" s="144" t="inlineStr">
        <is>
          <t>COMMERCIAL</t>
        </is>
      </c>
    </row>
    <row r="894" ht="18" customHeight="1" s="7">
      <c r="A894" s="144" t="inlineStr">
        <is>
          <t>SCOTT DEARBORN</t>
        </is>
      </c>
      <c r="B894" s="144" t="inlineStr">
        <is>
          <t>NHL13034485 NH</t>
        </is>
      </c>
      <c r="C894" s="144" t="inlineStr">
        <is>
          <t>AS HIGHWAY</t>
        </is>
      </c>
      <c r="D894" s="144" t="n">
        <v>6032350159</v>
      </c>
      <c r="E894" s="144" t="inlineStr">
        <is>
          <t>BOX</t>
        </is>
      </c>
      <c r="F894" s="144" t="inlineStr">
        <is>
          <t>P1284110 IL</t>
        </is>
      </c>
      <c r="G894" s="144" t="inlineStr">
        <is>
          <t>BLACK PETERBILT</t>
        </is>
      </c>
      <c r="H894" s="144" t="n">
        <v>1351</v>
      </c>
      <c r="I894" s="144" t="inlineStr">
        <is>
          <t>COMMERCIAL</t>
        </is>
      </c>
    </row>
    <row r="895" ht="18" customHeight="1" s="7">
      <c r="A895" s="144" t="inlineStr">
        <is>
          <t>ROBERT  MAZINGO</t>
        </is>
      </c>
      <c r="B895" s="144" t="inlineStr">
        <is>
          <t>MD10274537481 MD</t>
        </is>
      </c>
      <c r="C895" s="144" t="inlineStr">
        <is>
          <t>LANDSTAR INWAY</t>
        </is>
      </c>
      <c r="D895" s="144" t="n">
        <v>4439383238</v>
      </c>
      <c r="E895" s="144" t="inlineStr">
        <is>
          <t>FLAT</t>
        </is>
      </c>
      <c r="F895" s="144" t="inlineStr">
        <is>
          <t>3795227 IN</t>
        </is>
      </c>
      <c r="G895" s="144" t="inlineStr">
        <is>
          <t>WHITE PETERBILT</t>
        </is>
      </c>
      <c r="H895" s="144" t="n">
        <v>1221</v>
      </c>
      <c r="I895" s="144" t="inlineStr">
        <is>
          <t>COMMERCIAL</t>
        </is>
      </c>
    </row>
    <row r="896" ht="18" customHeight="1" s="7">
      <c r="A896" s="144" t="inlineStr">
        <is>
          <t>KENDALL JOHNSON</t>
        </is>
      </c>
      <c r="B896" s="144" t="inlineStr">
        <is>
          <t>34143132 TX</t>
        </is>
      </c>
      <c r="C896" s="144" t="inlineStr">
        <is>
          <t>GREEN VALLEY TRAN</t>
        </is>
      </c>
      <c r="D896" s="144" t="n">
        <v>8177294282</v>
      </c>
      <c r="E896" s="144" t="inlineStr">
        <is>
          <t>FLAT</t>
        </is>
      </c>
      <c r="F896" s="144" t="inlineStr">
        <is>
          <t>T6722HY TN</t>
        </is>
      </c>
      <c r="G896" s="144" t="inlineStr">
        <is>
          <t>SILVER WEASTERNSTAR</t>
        </is>
      </c>
      <c r="H896" s="144" t="n">
        <v>1221</v>
      </c>
      <c r="I896" s="144" t="inlineStr">
        <is>
          <t>COMMERCIAL</t>
        </is>
      </c>
    </row>
    <row r="897" ht="18" customHeight="1" s="7">
      <c r="A897" s="144" t="inlineStr">
        <is>
          <t>DIAVONTE BROWN</t>
        </is>
      </c>
      <c r="B897" s="144" t="inlineStr">
        <is>
          <t>B650 161941040 FL</t>
        </is>
      </c>
      <c r="C897" s="144" t="inlineStr">
        <is>
          <t>ONE FOR ALL</t>
        </is>
      </c>
      <c r="D897" s="144" t="n">
        <v>8505184341</v>
      </c>
      <c r="E897" s="144" t="inlineStr">
        <is>
          <t>BOX</t>
        </is>
      </c>
      <c r="F897" s="144" t="inlineStr">
        <is>
          <t>56EDHS4 FL</t>
        </is>
      </c>
      <c r="G897" s="144" t="inlineStr">
        <is>
          <t>WHITE HINO</t>
        </is>
      </c>
      <c r="H897" s="144" t="inlineStr">
        <is>
          <t>HOUSING</t>
        </is>
      </c>
      <c r="I897" s="144" t="inlineStr">
        <is>
          <t>COMMERCIAL</t>
        </is>
      </c>
    </row>
    <row r="898" ht="18" customHeight="1" s="7">
      <c r="A898" s="144" t="inlineStr">
        <is>
          <t>JOSHUA MORRIS</t>
        </is>
      </c>
      <c r="B898" s="144" t="inlineStr">
        <is>
          <t>M620422983450 FL</t>
        </is>
      </c>
      <c r="C898" s="144" t="inlineStr">
        <is>
          <t>GATEWAY CONT</t>
        </is>
      </c>
      <c r="D898" s="144" t="n">
        <v>9043884799</v>
      </c>
      <c r="E898" s="144" t="inlineStr">
        <is>
          <t>PU</t>
        </is>
      </c>
      <c r="F898" s="144" t="inlineStr">
        <is>
          <t>NSSX20 FL</t>
        </is>
      </c>
      <c r="G898" s="144" t="inlineStr">
        <is>
          <t>WHITE FORD</t>
        </is>
      </c>
      <c r="H898" s="144" t="n">
        <v>7130</v>
      </c>
      <c r="I898" s="144" t="inlineStr">
        <is>
          <t xml:space="preserve">CONTRACTOR </t>
        </is>
      </c>
    </row>
    <row r="899" ht="18" customHeight="1" s="7">
      <c r="A899" s="144" t="inlineStr">
        <is>
          <t>JUSTIN SWIFT</t>
        </is>
      </c>
      <c r="B899" s="144" t="inlineStr">
        <is>
          <t>1698795 DE</t>
        </is>
      </c>
      <c r="C899" s="144" t="inlineStr">
        <is>
          <t>IMAGINATION PLACE</t>
        </is>
      </c>
      <c r="D899" s="144" t="n">
        <v>3025225067</v>
      </c>
      <c r="E899" s="144" t="inlineStr">
        <is>
          <t>VAN</t>
        </is>
      </c>
      <c r="F899" s="144" t="inlineStr">
        <is>
          <t>CL99642 DE</t>
        </is>
      </c>
      <c r="G899" s="144" t="inlineStr">
        <is>
          <t>BLUE DODGE</t>
        </is>
      </c>
      <c r="H899" s="144" t="n">
        <v>1221</v>
      </c>
      <c r="I899" s="144" t="inlineStr">
        <is>
          <t xml:space="preserve">CONTRACTOR </t>
        </is>
      </c>
    </row>
    <row r="900" ht="18" customHeight="1" s="7">
      <c r="A900" s="144" t="inlineStr">
        <is>
          <t>RONALD BOWERS</t>
        </is>
      </c>
      <c r="B900" s="144" t="inlineStr">
        <is>
          <t>*052754349 GA</t>
        </is>
      </c>
      <c r="C900" s="144" t="inlineStr">
        <is>
          <t>CITY OF ALBANY</t>
        </is>
      </c>
      <c r="D900" s="144" t="n">
        <v>2298090487</v>
      </c>
      <c r="E900" s="144" t="inlineStr">
        <is>
          <t>PU</t>
        </is>
      </c>
      <c r="F900" s="144" t="inlineStr">
        <is>
          <t>GV8230F GA</t>
        </is>
      </c>
      <c r="G900" s="144" t="inlineStr">
        <is>
          <t>WHITE DODGE</t>
        </is>
      </c>
      <c r="H900" s="144" t="inlineStr">
        <is>
          <t>HOUSING</t>
        </is>
      </c>
      <c r="I900" s="144" t="inlineStr">
        <is>
          <t xml:space="preserve">CONTRACTOR </t>
        </is>
      </c>
    </row>
    <row r="901" ht="18" customHeight="1" s="7">
      <c r="A901" s="144" t="inlineStr">
        <is>
          <t>HERNAN SUEN</t>
        </is>
      </c>
      <c r="B901" s="144" t="inlineStr">
        <is>
          <t>S563320731280 FL</t>
        </is>
      </c>
      <c r="C901" s="144" t="inlineStr">
        <is>
          <t xml:space="preserve">CAPO </t>
        </is>
      </c>
      <c r="D901" s="144" t="n">
        <v>7863068102</v>
      </c>
      <c r="E901" s="144" t="inlineStr">
        <is>
          <t>BOX</t>
        </is>
      </c>
      <c r="F901" s="144" t="inlineStr">
        <is>
          <t>XA454C FL</t>
        </is>
      </c>
      <c r="G901" s="144" t="inlineStr">
        <is>
          <t>WHITE INTERNATIONAL</t>
        </is>
      </c>
      <c r="H901" s="144" t="n">
        <v>1221</v>
      </c>
      <c r="I901" s="144" t="inlineStr">
        <is>
          <t>COMMERCIAL</t>
        </is>
      </c>
    </row>
    <row r="902" ht="18" customHeight="1" s="7">
      <c r="A902" s="144" t="inlineStr">
        <is>
          <t>BARRY THOMPSON</t>
        </is>
      </c>
      <c r="B902" s="144" t="inlineStr">
        <is>
          <t>5404744 AL</t>
        </is>
      </c>
      <c r="C902" s="144" t="inlineStr">
        <is>
          <t>MONDELEZ GLOBAL</t>
        </is>
      </c>
      <c r="D902" s="144" t="n">
        <v>3347905369</v>
      </c>
      <c r="E902" s="144" t="inlineStr">
        <is>
          <t>BOX</t>
        </is>
      </c>
      <c r="F902" s="144" t="inlineStr">
        <is>
          <t>2637297 IN</t>
        </is>
      </c>
      <c r="G902" s="144" t="inlineStr">
        <is>
          <t>WHITE FREIGHTLINER</t>
        </is>
      </c>
      <c r="H902" s="144" t="n">
        <v>7501</v>
      </c>
      <c r="I902" s="144" t="inlineStr">
        <is>
          <t>COMMERCIAL</t>
        </is>
      </c>
    </row>
    <row r="903" ht="18" customHeight="1" s="7">
      <c r="A903" s="144" t="inlineStr">
        <is>
          <t>ELLANYA RICKEY</t>
        </is>
      </c>
      <c r="B903" s="144" t="inlineStr">
        <is>
          <t>R200213707263 FL</t>
        </is>
      </c>
      <c r="C903" s="144" t="inlineStr">
        <is>
          <t>DTI</t>
        </is>
      </c>
      <c r="D903" s="144" t="n">
        <v>2396712363</v>
      </c>
      <c r="E903" s="144" t="inlineStr">
        <is>
          <t>BOX</t>
        </is>
      </c>
      <c r="F903" s="144" t="inlineStr">
        <is>
          <t>P1134146 IL</t>
        </is>
      </c>
      <c r="G903" s="144" t="inlineStr">
        <is>
          <t>BLUE VOLVO</t>
        </is>
      </c>
      <c r="H903" s="144" t="n">
        <v>1221</v>
      </c>
      <c r="I903" s="144" t="inlineStr">
        <is>
          <t>COMMERCIAL</t>
        </is>
      </c>
    </row>
    <row r="904" ht="18" customHeight="1" s="7">
      <c r="A904" s="144" t="inlineStr">
        <is>
          <t>LEE BROWN JR</t>
        </is>
      </c>
      <c r="B904" s="144" t="inlineStr">
        <is>
          <t>*054153082 GA</t>
        </is>
      </c>
      <c r="C904" s="144" t="inlineStr">
        <is>
          <t xml:space="preserve">ALBANY BEVERAGE </t>
        </is>
      </c>
      <c r="D904" s="144" t="n">
        <v>2293762095</v>
      </c>
      <c r="E904" s="144" t="inlineStr">
        <is>
          <t>VAN</t>
        </is>
      </c>
      <c r="F904" s="144" t="inlineStr">
        <is>
          <t>CWB7097 GA</t>
        </is>
      </c>
      <c r="G904" s="144" t="inlineStr">
        <is>
          <t>WHITE CHEVY</t>
        </is>
      </c>
      <c r="H904" s="144" t="inlineStr">
        <is>
          <t>COMMISSARY</t>
        </is>
      </c>
      <c r="I904" s="144" t="inlineStr">
        <is>
          <t xml:space="preserve">CONTRACTOR </t>
        </is>
      </c>
    </row>
    <row r="905" ht="18" customHeight="1" s="7">
      <c r="A905" s="144" t="inlineStr">
        <is>
          <t>VERNON GARLAND</t>
        </is>
      </c>
      <c r="B905" s="144" t="inlineStr">
        <is>
          <t>F037486 WV</t>
        </is>
      </c>
      <c r="C905" s="144" t="inlineStr">
        <is>
          <t>JOHANSENS TRANS</t>
        </is>
      </c>
      <c r="D905" s="144" t="n">
        <v>9312371418</v>
      </c>
      <c r="E905" s="144" t="inlineStr">
        <is>
          <t>FLAT</t>
        </is>
      </c>
      <c r="F905" s="144" t="inlineStr">
        <is>
          <t>XE216G FL</t>
        </is>
      </c>
      <c r="G905" s="144" t="inlineStr">
        <is>
          <t>RED PETERBILT</t>
        </is>
      </c>
      <c r="H905" s="144" t="n">
        <v>1221</v>
      </c>
      <c r="I905" s="144" t="inlineStr">
        <is>
          <t>COMMERCIAL</t>
        </is>
      </c>
    </row>
    <row r="906" ht="18" customHeight="1" s="7">
      <c r="A906" s="144" t="inlineStr">
        <is>
          <t>CHARLES HILL</t>
        </is>
      </c>
      <c r="B906" s="144" t="inlineStr">
        <is>
          <t>*028959623 GA</t>
        </is>
      </c>
      <c r="C906" s="144" t="inlineStr">
        <is>
          <t>FEDEX</t>
        </is>
      </c>
      <c r="D906" s="144" t="n">
        <v>2293194227</v>
      </c>
      <c r="E906" s="144" t="inlineStr">
        <is>
          <t>BOX</t>
        </is>
      </c>
      <c r="F906" s="144" t="inlineStr">
        <is>
          <t>3714407 IN</t>
        </is>
      </c>
      <c r="G906" s="144" t="inlineStr">
        <is>
          <t>WHITE PETERBILT</t>
        </is>
      </c>
      <c r="H906" s="144" t="n">
        <v>1221</v>
      </c>
      <c r="I906" s="144" t="inlineStr">
        <is>
          <t>COMMERCIAL</t>
        </is>
      </c>
    </row>
    <row r="907" ht="18" customHeight="1" s="7">
      <c r="A907" s="144" t="inlineStr">
        <is>
          <t>KENNETH KING</t>
        </is>
      </c>
      <c r="B907" s="144" t="inlineStr">
        <is>
          <t>*052154410 GA</t>
        </is>
      </c>
      <c r="C907" s="144" t="inlineStr">
        <is>
          <t>ABMERE</t>
        </is>
      </c>
      <c r="D907" s="144" t="n">
        <v>2293212728</v>
      </c>
      <c r="E907" s="144" t="inlineStr">
        <is>
          <t>BOX</t>
        </is>
      </c>
      <c r="F907" s="144" t="inlineStr">
        <is>
          <t>C8346A GA</t>
        </is>
      </c>
      <c r="G907" s="144" t="inlineStr">
        <is>
          <t>WHITE FREIGHTLINER</t>
        </is>
      </c>
      <c r="H907" s="144" t="n">
        <v>1221</v>
      </c>
      <c r="I907" s="144" t="inlineStr">
        <is>
          <t>COMMERCIAL</t>
        </is>
      </c>
    </row>
    <row r="908" ht="18" customHeight="1" s="7">
      <c r="A908" s="144" t="inlineStr">
        <is>
          <t>MUSSIE MUSGUN</t>
        </is>
      </c>
      <c r="B908" s="144" t="inlineStr">
        <is>
          <t>*000033685324 NC</t>
        </is>
      </c>
      <c r="C908" s="144" t="inlineStr">
        <is>
          <t>DTP TRUCKING</t>
        </is>
      </c>
      <c r="D908" s="144" t="n">
        <v>7042012618</v>
      </c>
      <c r="E908" s="144" t="inlineStr">
        <is>
          <t>BOX</t>
        </is>
      </c>
      <c r="F908" s="144" t="inlineStr">
        <is>
          <t>MN7935 NC</t>
        </is>
      </c>
      <c r="G908" s="144" t="inlineStr">
        <is>
          <t>BLUE FREIGHTLINER</t>
        </is>
      </c>
      <c r="H908" s="144" t="n">
        <v>1221</v>
      </c>
      <c r="I908" s="144" t="inlineStr">
        <is>
          <t>COMMERCIAL</t>
        </is>
      </c>
    </row>
    <row r="909" ht="18" customHeight="1" s="7">
      <c r="A909" s="144" t="inlineStr">
        <is>
          <t>JOE SMITH</t>
        </is>
      </c>
      <c r="B909" s="144" t="inlineStr">
        <is>
          <t>*026426440 GA</t>
        </is>
      </c>
      <c r="C909" s="144" t="inlineStr">
        <is>
          <t>CONCRETE ENTERP</t>
        </is>
      </c>
      <c r="D909" s="144" t="n">
        <v>2298881904</v>
      </c>
      <c r="E909" s="144" t="inlineStr">
        <is>
          <t>FLAT</t>
        </is>
      </c>
      <c r="F909" s="144" t="inlineStr">
        <is>
          <t>P721CE GA</t>
        </is>
      </c>
      <c r="G909" s="144" t="inlineStr">
        <is>
          <t>GREEN MACK</t>
        </is>
      </c>
      <c r="H909" s="144" t="n">
        <v>7450</v>
      </c>
      <c r="I909" s="144" t="inlineStr">
        <is>
          <t>COMMERCIAL</t>
        </is>
      </c>
    </row>
    <row r="910" ht="18" customHeight="1" s="7">
      <c r="A910" s="144" t="inlineStr">
        <is>
          <t>GLASSER CARLTON</t>
        </is>
      </c>
      <c r="B910" s="144" t="inlineStr">
        <is>
          <t>WDL4Z741053B WA</t>
        </is>
      </c>
      <c r="C910" s="144" t="inlineStr">
        <is>
          <t>LANDSTAR</t>
        </is>
      </c>
      <c r="D910" s="144" t="n">
        <v>5038818795</v>
      </c>
      <c r="E910" s="144" t="inlineStr">
        <is>
          <t>BOX</t>
        </is>
      </c>
      <c r="F910" s="144" t="inlineStr">
        <is>
          <t>2389212 IN</t>
        </is>
      </c>
      <c r="G910" s="144" t="inlineStr">
        <is>
          <t>WHITE FREIGHTLINER</t>
        </is>
      </c>
      <c r="H910" s="144" t="n">
        <v>1221</v>
      </c>
      <c r="I910" s="144" t="inlineStr">
        <is>
          <t>COMMERCIAL</t>
        </is>
      </c>
    </row>
    <row r="911" ht="18" customHeight="1" s="7">
      <c r="A911" s="144" t="inlineStr">
        <is>
          <t>HAMMOND MAGNUS</t>
        </is>
      </c>
      <c r="B911" s="144" t="inlineStr">
        <is>
          <t>T61363991 VA</t>
        </is>
      </c>
      <c r="C911" s="144" t="inlineStr">
        <is>
          <t>SSL TRUCKING</t>
        </is>
      </c>
      <c r="D911" s="144" t="n">
        <v>5082156012</v>
      </c>
      <c r="E911" s="144" t="inlineStr">
        <is>
          <t>BOX</t>
        </is>
      </c>
      <c r="F911" s="144" t="inlineStr">
        <is>
          <t>PXC3040 OH</t>
        </is>
      </c>
      <c r="G911" s="144" t="inlineStr">
        <is>
          <t>BLUE FREIGHTLINER</t>
        </is>
      </c>
      <c r="H911" s="144" t="n">
        <v>1221</v>
      </c>
      <c r="I911" s="144" t="inlineStr">
        <is>
          <t>COMMERCIAL</t>
        </is>
      </c>
    </row>
    <row r="912" ht="18" customHeight="1" s="7">
      <c r="A912" s="144" t="inlineStr">
        <is>
          <t>AKEEM ALSTON</t>
        </is>
      </c>
      <c r="B912" s="144" t="inlineStr">
        <is>
          <t>*070294605 GA</t>
        </is>
      </c>
      <c r="C912" s="144" t="inlineStr">
        <is>
          <t>CIVI EXPRESS</t>
        </is>
      </c>
      <c r="D912" s="144" t="n">
        <v>4844671997</v>
      </c>
      <c r="E912" s="144" t="inlineStr">
        <is>
          <t>BOX</t>
        </is>
      </c>
      <c r="F912" s="144" t="inlineStr">
        <is>
          <t>A97391 KY</t>
        </is>
      </c>
      <c r="G912" s="144" t="inlineStr">
        <is>
          <t>RED VOLVO</t>
        </is>
      </c>
      <c r="H912" s="144" t="n">
        <v>1221</v>
      </c>
      <c r="I912" s="144" t="inlineStr">
        <is>
          <t>COMMERCIAL</t>
        </is>
      </c>
    </row>
    <row r="913" ht="18" customHeight="1" s="7">
      <c r="A913" s="144" t="inlineStr">
        <is>
          <t>LASHER JASON</t>
        </is>
      </c>
      <c r="B913" s="144" t="inlineStr">
        <is>
          <t>802875200 MS</t>
        </is>
      </c>
      <c r="C913" s="144" t="inlineStr">
        <is>
          <t>ZENITH</t>
        </is>
      </c>
      <c r="D913" s="144" t="n">
        <v>7123092452</v>
      </c>
      <c r="E913" s="144" t="inlineStr">
        <is>
          <t>BOX</t>
        </is>
      </c>
      <c r="F913" s="144" t="inlineStr">
        <is>
          <t>P1124304 IL</t>
        </is>
      </c>
      <c r="G913" s="144" t="inlineStr">
        <is>
          <t>WHITE KENWORTH</t>
        </is>
      </c>
      <c r="H913" s="144" t="n">
        <v>1221</v>
      </c>
      <c r="I913" s="144" t="inlineStr">
        <is>
          <t>COMMERCIAL</t>
        </is>
      </c>
    </row>
    <row r="914" ht="18" customHeight="1" s="7">
      <c r="A914" s="144" t="inlineStr">
        <is>
          <t>NEUPANE HARI</t>
        </is>
      </c>
      <c r="B914" s="144" t="inlineStr">
        <is>
          <t>N08791582 KY</t>
        </is>
      </c>
      <c r="C914" s="144" t="inlineStr">
        <is>
          <t>2A TRUCKING</t>
        </is>
      </c>
      <c r="D914" s="144" t="n">
        <v>5023450403</v>
      </c>
      <c r="E914" s="144" t="inlineStr">
        <is>
          <t>BOX</t>
        </is>
      </c>
      <c r="F914" s="144" t="inlineStr">
        <is>
          <t>37615PF NY</t>
        </is>
      </c>
      <c r="G914" s="144" t="inlineStr">
        <is>
          <t>WHITE FREIGHTLINER</t>
        </is>
      </c>
      <c r="H914" s="144" t="n">
        <v>1221</v>
      </c>
      <c r="I914" s="144" t="inlineStr">
        <is>
          <t>COMMERCIAL</t>
        </is>
      </c>
    </row>
    <row r="915" ht="18" customHeight="1" s="7">
      <c r="A915" s="144" t="inlineStr">
        <is>
          <t>CHRISTOPER SMITH</t>
        </is>
      </c>
      <c r="B915" s="144" t="inlineStr">
        <is>
          <t>*049670571 GA</t>
        </is>
      </c>
      <c r="C915" s="144" t="inlineStr">
        <is>
          <t xml:space="preserve">DHL </t>
        </is>
      </c>
      <c r="D915" s="144" t="n">
        <v>2293430509</v>
      </c>
      <c r="E915" s="144" t="inlineStr">
        <is>
          <t>VAN</t>
        </is>
      </c>
      <c r="F915" s="144" t="inlineStr">
        <is>
          <t>91348ND NY</t>
        </is>
      </c>
      <c r="G915" s="144" t="inlineStr">
        <is>
          <t>YELLOW CHEVY</t>
        </is>
      </c>
      <c r="H915" s="144" t="n">
        <v>1221</v>
      </c>
      <c r="I915" s="144" t="inlineStr">
        <is>
          <t xml:space="preserve">CONTRACTOR </t>
        </is>
      </c>
    </row>
    <row r="916" ht="18" customHeight="1" s="7">
      <c r="A916" s="144" t="inlineStr">
        <is>
          <t>JOHN CONGER</t>
        </is>
      </c>
      <c r="B916" s="144" t="inlineStr">
        <is>
          <t>7239540 AL</t>
        </is>
      </c>
      <c r="C916" s="144" t="inlineStr">
        <is>
          <t>BLUE RHINO</t>
        </is>
      </c>
      <c r="D916" s="144" t="n">
        <v>3344681726</v>
      </c>
      <c r="E916" s="144" t="inlineStr">
        <is>
          <t>BOX</t>
        </is>
      </c>
      <c r="F916" s="144" t="inlineStr">
        <is>
          <t>83830X WI</t>
        </is>
      </c>
      <c r="G916" s="144" t="inlineStr">
        <is>
          <t>BLUE KENWORTH</t>
        </is>
      </c>
      <c r="H916" s="144" t="n">
        <v>7500</v>
      </c>
      <c r="I916" s="144" t="inlineStr">
        <is>
          <t>COMMERCIAL</t>
        </is>
      </c>
    </row>
    <row r="917" ht="18" customHeight="1" s="7">
      <c r="A917" s="144" t="inlineStr">
        <is>
          <t xml:space="preserve">GATTEN PHILLIP </t>
        </is>
      </c>
      <c r="B917" s="144" t="inlineStr">
        <is>
          <t>24766480 PA</t>
        </is>
      </c>
      <c r="C917" s="144" t="inlineStr">
        <is>
          <t>WRIGHT EXPRESS</t>
        </is>
      </c>
      <c r="D917" s="144" t="n">
        <v>7177126601</v>
      </c>
      <c r="E917" s="144" t="inlineStr">
        <is>
          <t>BOX</t>
        </is>
      </c>
      <c r="F917" s="144" t="inlineStr">
        <is>
          <t>AH67056 PA</t>
        </is>
      </c>
      <c r="G917" s="144" t="inlineStr">
        <is>
          <t>GRAY FREIGHT</t>
        </is>
      </c>
      <c r="H917" s="144" t="n">
        <v>1221</v>
      </c>
      <c r="I917" s="144" t="inlineStr">
        <is>
          <t>COMMERCIAL</t>
        </is>
      </c>
    </row>
    <row r="918" ht="18" customHeight="1" s="7">
      <c r="A918" s="144" t="inlineStr">
        <is>
          <t xml:space="preserve">STEVEN JOHNSTON </t>
        </is>
      </c>
      <c r="B918" s="144" t="inlineStr">
        <is>
          <t>51493480 TX</t>
        </is>
      </c>
      <c r="C918" s="144" t="inlineStr">
        <is>
          <t>ADMIRAL MERCHANTS</t>
        </is>
      </c>
      <c r="D918" s="144" t="n">
        <v>9062211541</v>
      </c>
      <c r="E918" s="144" t="inlineStr">
        <is>
          <t>FLAT</t>
        </is>
      </c>
      <c r="F918" s="144" t="inlineStr">
        <is>
          <t>PZA7643 MN</t>
        </is>
      </c>
      <c r="G918" s="144" t="inlineStr">
        <is>
          <t>WHITE WESTERN STAR</t>
        </is>
      </c>
      <c r="H918" s="144" t="n">
        <v>1221</v>
      </c>
      <c r="I918" s="144" t="inlineStr">
        <is>
          <t>COMMERCIAL</t>
        </is>
      </c>
    </row>
    <row r="919" ht="18" customHeight="1" s="7">
      <c r="A919" s="144" t="inlineStr">
        <is>
          <t>CHRIS RIDDLE</t>
        </is>
      </c>
      <c r="B919" s="144" t="inlineStr">
        <is>
          <t>7751853 AK</t>
        </is>
      </c>
      <c r="C919" s="144" t="inlineStr">
        <is>
          <t>ADMIRAL MERCHANTS</t>
        </is>
      </c>
      <c r="D919" s="144" t="n">
        <v>9072021155</v>
      </c>
      <c r="E919" s="144" t="inlineStr">
        <is>
          <t>FLAT</t>
        </is>
      </c>
      <c r="F919" s="144" t="inlineStr">
        <is>
          <t>PA25830 MT</t>
        </is>
      </c>
      <c r="G919" s="144" t="inlineStr">
        <is>
          <t>WHITE PETERBILT</t>
        </is>
      </c>
      <c r="H919" s="144" t="n">
        <v>1221</v>
      </c>
      <c r="I919" s="144" t="inlineStr">
        <is>
          <t>COMMERCIAL</t>
        </is>
      </c>
    </row>
    <row r="920" ht="18" customHeight="1" s="7">
      <c r="A920" s="144" t="inlineStr">
        <is>
          <t>ALTON WILLIAMS</t>
        </is>
      </c>
      <c r="B920" s="144" t="inlineStr">
        <is>
          <t>*058463213 GA</t>
        </is>
      </c>
      <c r="C920" s="144" t="inlineStr">
        <is>
          <t>GEORGIA POWER</t>
        </is>
      </c>
      <c r="D920" s="144" t="n">
        <v>2293649127</v>
      </c>
      <c r="E920" s="144" t="inlineStr">
        <is>
          <t>PU</t>
        </is>
      </c>
      <c r="F920" s="144" t="inlineStr">
        <is>
          <t>RYD0874 GA</t>
        </is>
      </c>
      <c r="G920" s="144" t="inlineStr">
        <is>
          <t>WHITE FORD</t>
        </is>
      </c>
      <c r="H920" s="144" t="n">
        <v>5400</v>
      </c>
      <c r="I920" s="144" t="inlineStr">
        <is>
          <t xml:space="preserve">CONTRACTOR </t>
        </is>
      </c>
    </row>
    <row r="921" ht="18" customHeight="1" s="7">
      <c r="A921" s="144" t="inlineStr">
        <is>
          <t>DANGLEON BROWN</t>
        </is>
      </c>
      <c r="B921" s="144" t="inlineStr">
        <is>
          <t>*054057925 GA</t>
        </is>
      </c>
      <c r="C921" s="144" t="inlineStr">
        <is>
          <t>GEORGIA CROWN</t>
        </is>
      </c>
      <c r="D921" s="144" t="n">
        <v>2293435722</v>
      </c>
      <c r="E921" s="144" t="inlineStr">
        <is>
          <t>BOX</t>
        </is>
      </c>
      <c r="F921" s="144" t="inlineStr">
        <is>
          <t>XMZ676 GA</t>
        </is>
      </c>
      <c r="G921" s="144" t="inlineStr">
        <is>
          <t>WHITE KENWORTH</t>
        </is>
      </c>
      <c r="H921" s="144" t="inlineStr">
        <is>
          <t>COMMISSARY</t>
        </is>
      </c>
      <c r="I921" s="144" t="inlineStr">
        <is>
          <t>COMMERCIAL</t>
        </is>
      </c>
    </row>
    <row r="922" ht="18" customHeight="1" s="7">
      <c r="A922" s="144" t="inlineStr">
        <is>
          <t>AL HURLEY</t>
        </is>
      </c>
      <c r="B922" s="144" t="inlineStr">
        <is>
          <t>*051485941 GA</t>
        </is>
      </c>
      <c r="C922" s="144" t="inlineStr">
        <is>
          <t>GEORGIA CROWN</t>
        </is>
      </c>
      <c r="D922" s="144" t="n">
        <v>2298151488</v>
      </c>
      <c r="E922" s="144" t="inlineStr">
        <is>
          <t>VAN</t>
        </is>
      </c>
      <c r="F922" s="144" t="inlineStr">
        <is>
          <t>CLZ3095 GA</t>
        </is>
      </c>
      <c r="G922" s="144" t="inlineStr">
        <is>
          <t>WHITE FORD</t>
        </is>
      </c>
      <c r="H922" s="144" t="inlineStr">
        <is>
          <t>COMMISSARY</t>
        </is>
      </c>
      <c r="I922" s="144" t="inlineStr">
        <is>
          <t>COMMERCIAL</t>
        </is>
      </c>
    </row>
    <row r="923" ht="18" customHeight="1" s="7">
      <c r="A923" s="144" t="inlineStr">
        <is>
          <t>MURSAL FARAH</t>
        </is>
      </c>
      <c r="B923" s="144" t="inlineStr">
        <is>
          <t>H13460575 NE</t>
        </is>
      </c>
      <c r="C923" s="144" t="inlineStr">
        <is>
          <t>NIKO</t>
        </is>
      </c>
      <c r="D923" s="144" t="n">
        <v>8103608245</v>
      </c>
      <c r="E923" s="144" t="inlineStr">
        <is>
          <t>BOX</t>
        </is>
      </c>
      <c r="F923" s="144" t="inlineStr">
        <is>
          <t>P1228980 IL</t>
        </is>
      </c>
      <c r="G923" s="144" t="inlineStr">
        <is>
          <t>WHITE KENWORTH</t>
        </is>
      </c>
      <c r="H923" s="144" t="n">
        <v>1221</v>
      </c>
      <c r="I923" s="144" t="inlineStr">
        <is>
          <t>COMMERCIAL</t>
        </is>
      </c>
    </row>
    <row r="924" ht="18" customHeight="1" s="7">
      <c r="A924" s="144" t="inlineStr">
        <is>
          <t>THOMAS PITTMAN</t>
        </is>
      </c>
      <c r="B924" s="144" t="inlineStr">
        <is>
          <t>P355832754170 FL</t>
        </is>
      </c>
      <c r="C924" s="144" t="inlineStr">
        <is>
          <t>PITMAN TRANS</t>
        </is>
      </c>
      <c r="D924" s="144" t="n">
        <v>9546656361</v>
      </c>
      <c r="E924" s="144" t="inlineStr">
        <is>
          <t>BOX</t>
        </is>
      </c>
      <c r="F924" s="144" t="inlineStr">
        <is>
          <t>XE590P FL</t>
        </is>
      </c>
      <c r="G924" s="144" t="inlineStr">
        <is>
          <t>BLACK FREIGHTLINER</t>
        </is>
      </c>
      <c r="H924" s="144" t="n">
        <v>1221</v>
      </c>
      <c r="I924" s="144" t="inlineStr">
        <is>
          <t>COMMERCIAL</t>
        </is>
      </c>
    </row>
    <row r="925" ht="18" customHeight="1" s="7">
      <c r="A925" s="144" t="inlineStr">
        <is>
          <t>FRANKLIN BOND</t>
        </is>
      </c>
      <c r="B925" s="144" t="inlineStr">
        <is>
          <t>B93247697 KY</t>
        </is>
      </c>
      <c r="C925" s="144" t="inlineStr">
        <is>
          <t xml:space="preserve">STEEL FACTOR </t>
        </is>
      </c>
      <c r="D925" s="144" t="n">
        <v>8599481923</v>
      </c>
      <c r="E925" s="144" t="inlineStr">
        <is>
          <t>BOX</t>
        </is>
      </c>
      <c r="F925" s="144" t="inlineStr">
        <is>
          <t>A99023 KY</t>
        </is>
      </c>
      <c r="G925" s="144" t="inlineStr">
        <is>
          <t>WHITE INTERNATIONAL</t>
        </is>
      </c>
      <c r="H925" s="144" t="n">
        <v>1221</v>
      </c>
      <c r="I925" s="144" t="inlineStr">
        <is>
          <t>COMMERCIAL</t>
        </is>
      </c>
    </row>
    <row r="926" ht="18" customHeight="1" s="7">
      <c r="A926" s="144" t="inlineStr">
        <is>
          <t xml:space="preserve">GARCIA HILARIO </t>
        </is>
      </c>
      <c r="B926" s="144" t="inlineStr">
        <is>
          <t>000022356712 NC</t>
        </is>
      </c>
      <c r="C926" s="144" t="inlineStr">
        <is>
          <t xml:space="preserve">JUNIOR </t>
        </is>
      </c>
      <c r="D926" s="144" t="n">
        <v>9803370056</v>
      </c>
      <c r="E926" s="144" t="inlineStr">
        <is>
          <t>FLAT</t>
        </is>
      </c>
      <c r="F926" s="144" t="inlineStr">
        <is>
          <t>TE5472  NC</t>
        </is>
      </c>
      <c r="G926" s="144" t="inlineStr">
        <is>
          <t>WHITE KENWORTH</t>
        </is>
      </c>
      <c r="H926" s="144" t="n">
        <v>1221</v>
      </c>
      <c r="I926" s="144" t="inlineStr">
        <is>
          <t>COMMERCIAL</t>
        </is>
      </c>
    </row>
    <row r="927" ht="18" customHeight="1" s="7">
      <c r="A927" s="144" t="inlineStr">
        <is>
          <t>JERAD HORTON</t>
        </is>
      </c>
      <c r="B927" s="144" t="inlineStr">
        <is>
          <t>*051938829 GA</t>
        </is>
      </c>
      <c r="C927" s="144" t="inlineStr">
        <is>
          <t>COFFEE CO SO</t>
        </is>
      </c>
      <c r="D927" s="144" t="n">
        <v>9123817684</v>
      </c>
      <c r="E927" s="144" t="inlineStr">
        <is>
          <t>PU</t>
        </is>
      </c>
      <c r="F927" s="144" t="inlineStr">
        <is>
          <t>GV603GA</t>
        </is>
      </c>
      <c r="G927" s="144" t="inlineStr">
        <is>
          <t>BLACK FORD</t>
        </is>
      </c>
      <c r="H927" s="144" t="n">
        <v>1360</v>
      </c>
      <c r="I927" s="144" t="inlineStr">
        <is>
          <t xml:space="preserve">CONTRACTOR </t>
        </is>
      </c>
    </row>
    <row r="928" ht="18" customHeight="1" s="7">
      <c r="A928" s="144" t="inlineStr">
        <is>
          <t>JIM HALL</t>
        </is>
      </c>
      <c r="B928" s="144" t="inlineStr">
        <is>
          <t>*054607846 GA</t>
        </is>
      </c>
      <c r="C928" s="144" t="inlineStr">
        <is>
          <t>HALL N ASSETES</t>
        </is>
      </c>
      <c r="D928" s="144" t="n">
        <v>2293649608</v>
      </c>
      <c r="E928" s="144" t="inlineStr">
        <is>
          <t>FLAT</t>
        </is>
      </c>
      <c r="F928" s="144" t="inlineStr">
        <is>
          <t>XPR598 GA</t>
        </is>
      </c>
      <c r="G928" s="144" t="inlineStr">
        <is>
          <t>WHITE IZUSU</t>
        </is>
      </c>
      <c r="H928" s="144" t="inlineStr">
        <is>
          <t>HOBBY SHOP</t>
        </is>
      </c>
      <c r="I928" s="144" t="inlineStr">
        <is>
          <t xml:space="preserve">CONTRACTOR </t>
        </is>
      </c>
    </row>
    <row r="929" ht="18" customHeight="1" s="7">
      <c r="A929" s="144" t="inlineStr">
        <is>
          <t>STANAKZAI AZIZULLAH</t>
        </is>
      </c>
      <c r="B929" s="144" t="inlineStr">
        <is>
          <t>*000034789575 NC</t>
        </is>
      </c>
      <c r="C929" s="144" t="inlineStr">
        <is>
          <t>ZEE LOGISTICS</t>
        </is>
      </c>
      <c r="D929" s="144" t="n">
        <v>9195970363</v>
      </c>
      <c r="E929" s="144" t="inlineStr">
        <is>
          <t>FLAT</t>
        </is>
      </c>
      <c r="F929" s="144" t="inlineStr">
        <is>
          <t>VV9097B NC</t>
        </is>
      </c>
      <c r="G929" s="144" t="inlineStr">
        <is>
          <t>WHITE FL</t>
        </is>
      </c>
      <c r="H929" s="144" t="n">
        <v>1221</v>
      </c>
      <c r="I929" s="144" t="inlineStr">
        <is>
          <t>COMMERCIAL</t>
        </is>
      </c>
    </row>
    <row r="930" ht="18" customHeight="1" s="7">
      <c r="A930" s="144" t="inlineStr">
        <is>
          <t>SONORA VICTORIANO</t>
        </is>
      </c>
      <c r="B930" s="144" t="inlineStr">
        <is>
          <t>V082712701 OK</t>
        </is>
      </c>
      <c r="C930" s="144" t="inlineStr">
        <is>
          <t>A&amp;M</t>
        </is>
      </c>
      <c r="D930" s="144" t="n">
        <v>5303912043</v>
      </c>
      <c r="E930" s="144" t="inlineStr">
        <is>
          <t>BOX</t>
        </is>
      </c>
      <c r="F930" s="144" t="inlineStr">
        <is>
          <t>3LL664 OK</t>
        </is>
      </c>
      <c r="G930" s="144" t="inlineStr">
        <is>
          <t>WHITE PETERBILT</t>
        </is>
      </c>
      <c r="H930" s="144" t="n">
        <v>1221</v>
      </c>
      <c r="I930" s="144" t="inlineStr">
        <is>
          <t>COMMERCIAL</t>
        </is>
      </c>
    </row>
    <row r="931" ht="18" customHeight="1" s="7">
      <c r="A931" s="144" t="inlineStr">
        <is>
          <t>HUMPHREY JESSE JR</t>
        </is>
      </c>
      <c r="B931" s="144" t="inlineStr">
        <is>
          <t>T64288361 VA</t>
        </is>
      </c>
      <c r="C931" s="144" t="inlineStr">
        <is>
          <t>PLAY HARD BALL</t>
        </is>
      </c>
      <c r="D931" s="144" t="n">
        <v>8047152517</v>
      </c>
      <c r="E931" s="144" t="inlineStr">
        <is>
          <t>FLAT</t>
        </is>
      </c>
      <c r="F931" s="144" t="inlineStr">
        <is>
          <t>3641812 IN</t>
        </is>
      </c>
      <c r="G931" s="144" t="inlineStr">
        <is>
          <t>GREEN PETER</t>
        </is>
      </c>
      <c r="H931" s="144" t="n">
        <v>1221</v>
      </c>
      <c r="I931" s="144" t="inlineStr">
        <is>
          <t>COMMERCIAL</t>
        </is>
      </c>
    </row>
    <row r="932" ht="18" customHeight="1" s="7">
      <c r="A932" s="144" t="inlineStr">
        <is>
          <t>ETIENNE MARC</t>
        </is>
      </c>
      <c r="B932" s="144" t="inlineStr">
        <is>
          <t>E350540790440 FL</t>
        </is>
      </c>
      <c r="C932" s="144" t="inlineStr">
        <is>
          <t>3E TRUCKING</t>
        </is>
      </c>
      <c r="D932" s="144" t="n">
        <v>3214608687</v>
      </c>
      <c r="E932" s="144" t="inlineStr">
        <is>
          <t>BOX</t>
        </is>
      </c>
      <c r="F932" s="144" t="inlineStr">
        <is>
          <t>DF77BP FL</t>
        </is>
      </c>
      <c r="G932" s="144" t="inlineStr">
        <is>
          <t>WHITE VOLVO</t>
        </is>
      </c>
      <c r="H932" s="144" t="n">
        <v>1221</v>
      </c>
      <c r="I932" s="144" t="inlineStr">
        <is>
          <t>COMMERCIAL</t>
        </is>
      </c>
    </row>
    <row r="933" ht="18" customHeight="1" s="7">
      <c r="A933" s="144" t="inlineStr">
        <is>
          <t>ALMOFTI NART</t>
        </is>
      </c>
      <c r="B933" s="144" t="inlineStr">
        <is>
          <t>147037121 TN</t>
        </is>
      </c>
      <c r="C933" s="144" t="inlineStr">
        <is>
          <t>E TRANSPORT</t>
        </is>
      </c>
      <c r="D933" s="144" t="n">
        <v>6264356155</v>
      </c>
      <c r="E933" s="144" t="inlineStr">
        <is>
          <t>BOX</t>
        </is>
      </c>
      <c r="F933" s="144" t="inlineStr">
        <is>
          <t>L3598HY TEN</t>
        </is>
      </c>
      <c r="G933" s="144" t="inlineStr">
        <is>
          <t>GREY FL</t>
        </is>
      </c>
      <c r="H933" s="144" t="n">
        <v>1221</v>
      </c>
      <c r="I933" s="144" t="inlineStr">
        <is>
          <t>COMMERCIAL</t>
        </is>
      </c>
    </row>
    <row r="934" ht="18" customHeight="1" s="7">
      <c r="A934" s="144" t="inlineStr">
        <is>
          <t>CARRION BELLIARD</t>
        </is>
      </c>
      <c r="B934" s="144" t="inlineStr">
        <is>
          <t>802803189 TN</t>
        </is>
      </c>
      <c r="C934" s="144" t="inlineStr">
        <is>
          <t>RDE LLC</t>
        </is>
      </c>
      <c r="D934" s="144" t="n">
        <v>6622022037</v>
      </c>
      <c r="E934" s="144" t="inlineStr">
        <is>
          <t>BOX</t>
        </is>
      </c>
      <c r="F934" s="144" t="inlineStr">
        <is>
          <t>P5453HT TEN</t>
        </is>
      </c>
      <c r="G934" s="144" t="inlineStr">
        <is>
          <t>RED VOLVO</t>
        </is>
      </c>
      <c r="H934" s="144" t="n">
        <v>1221</v>
      </c>
      <c r="I934" s="144" t="inlineStr">
        <is>
          <t>COMMERCIAL</t>
        </is>
      </c>
    </row>
    <row r="935" ht="18" customHeight="1" s="7">
      <c r="A935" s="144" t="inlineStr">
        <is>
          <t>DOYT BROWN</t>
        </is>
      </c>
      <c r="B935" s="144" t="inlineStr">
        <is>
          <t>*054203752 GA</t>
        </is>
      </c>
      <c r="C935" s="144" t="inlineStr">
        <is>
          <t>WETHERALD</t>
        </is>
      </c>
      <c r="D935" s="144" t="n">
        <v>2293494924</v>
      </c>
      <c r="E935" s="144" t="inlineStr">
        <is>
          <t>PU</t>
        </is>
      </c>
      <c r="F935" s="144" t="inlineStr">
        <is>
          <t>BNX9240 GA</t>
        </is>
      </c>
      <c r="G935" s="144" t="inlineStr">
        <is>
          <t>SILVER FORD</t>
        </is>
      </c>
      <c r="H935" s="144" t="n">
        <v>1210</v>
      </c>
      <c r="I935" s="144" t="inlineStr">
        <is>
          <t xml:space="preserve">CONTRACTOR </t>
        </is>
      </c>
    </row>
    <row r="936" ht="18" customHeight="1" s="7">
      <c r="A936" s="144" t="inlineStr">
        <is>
          <t>SCUDERI  DOREEN</t>
        </is>
      </c>
      <c r="B936" s="144" t="inlineStr">
        <is>
          <t>S36017873718 FL</t>
        </is>
      </c>
      <c r="C936" s="144" t="inlineStr">
        <is>
          <t>LANDSTAR</t>
        </is>
      </c>
      <c r="D936" s="144" t="n">
        <v>5613796771</v>
      </c>
      <c r="E936" s="144" t="inlineStr">
        <is>
          <t>BOX</t>
        </is>
      </c>
      <c r="F936" s="144" t="inlineStr">
        <is>
          <t>3411093 IN</t>
        </is>
      </c>
      <c r="G936" s="144" t="inlineStr">
        <is>
          <t>WHITE FL</t>
        </is>
      </c>
      <c r="H936" s="144" t="n">
        <v>1221</v>
      </c>
      <c r="I936" s="144" t="inlineStr">
        <is>
          <t>COMMERCIAL</t>
        </is>
      </c>
    </row>
    <row r="937" ht="18" customHeight="1" s="7">
      <c r="A937" s="144" t="inlineStr">
        <is>
          <t>CALEB ALLGOOD</t>
        </is>
      </c>
      <c r="B937" s="144" t="inlineStr">
        <is>
          <t>8714099 AL</t>
        </is>
      </c>
      <c r="C937" s="144" t="inlineStr">
        <is>
          <t>JB HUNT</t>
        </is>
      </c>
      <c r="D937" s="144" t="n">
        <v>3345960693</v>
      </c>
      <c r="E937" s="144" t="inlineStr">
        <is>
          <t>BOX</t>
        </is>
      </c>
      <c r="F937" s="144" t="inlineStr">
        <is>
          <t>3202437 IN</t>
        </is>
      </c>
      <c r="G937" s="144" t="inlineStr">
        <is>
          <t>WHITE IN</t>
        </is>
      </c>
      <c r="H937" s="144" t="n">
        <v>1330</v>
      </c>
      <c r="I937" s="144" t="inlineStr">
        <is>
          <t>COMMERCIAL</t>
        </is>
      </c>
    </row>
    <row r="938" ht="18" customHeight="1" s="7">
      <c r="A938" s="144" t="inlineStr">
        <is>
          <t>CALLEJAS SANCHEZ</t>
        </is>
      </c>
      <c r="B938" s="144" t="inlineStr">
        <is>
          <t>C422000852200 FL</t>
        </is>
      </c>
      <c r="C938" s="144" t="inlineStr">
        <is>
          <t xml:space="preserve">NEXT DAY FREIGHT </t>
        </is>
      </c>
      <c r="D938" s="144" t="n">
        <v>8134512321</v>
      </c>
      <c r="E938" s="144" t="inlineStr">
        <is>
          <t>BOX</t>
        </is>
      </c>
      <c r="F938" s="144" t="inlineStr">
        <is>
          <t>XE120C FL</t>
        </is>
      </c>
      <c r="G938" s="144" t="inlineStr">
        <is>
          <t>WHITE FL</t>
        </is>
      </c>
      <c r="H938" s="144" t="n">
        <v>1221</v>
      </c>
      <c r="I938" s="144" t="inlineStr">
        <is>
          <t>COMMERCIAL</t>
        </is>
      </c>
    </row>
    <row r="939" ht="18" customHeight="1" s="7">
      <c r="A939" s="144" t="inlineStr">
        <is>
          <t>ERIKA PERMENTER</t>
        </is>
      </c>
      <c r="B939" s="144" t="inlineStr">
        <is>
          <t>*061420659 GA</t>
        </is>
      </c>
      <c r="C939" s="144" t="inlineStr">
        <is>
          <t>ADMIRAL MERCHANTS</t>
        </is>
      </c>
      <c r="D939" s="144" t="n">
        <v>3012662262</v>
      </c>
      <c r="E939" s="144" t="inlineStr">
        <is>
          <t>FLAT</t>
        </is>
      </c>
      <c r="F939" s="144" t="inlineStr">
        <is>
          <t>C652ER GA</t>
        </is>
      </c>
      <c r="G939" s="144" t="inlineStr">
        <is>
          <t>BLACK FREIGHT</t>
        </is>
      </c>
      <c r="H939" s="144" t="n">
        <v>1221</v>
      </c>
      <c r="I939" s="144" t="inlineStr">
        <is>
          <t>COMMERCIAL</t>
        </is>
      </c>
    </row>
    <row r="940" ht="18" customHeight="1" s="7">
      <c r="A940" s="144" t="inlineStr">
        <is>
          <t>DONALD SHUFF</t>
        </is>
      </c>
      <c r="B940" s="144" t="inlineStr">
        <is>
          <t>10040246 AL</t>
        </is>
      </c>
      <c r="C940" s="144" t="inlineStr">
        <is>
          <t>DONZALES TRUCKING</t>
        </is>
      </c>
      <c r="D940" s="144" t="n">
        <v>3364506489</v>
      </c>
      <c r="E940" s="144" t="inlineStr">
        <is>
          <t>BOX</t>
        </is>
      </c>
      <c r="F940" s="144" t="inlineStr">
        <is>
          <t>1172865 AL</t>
        </is>
      </c>
      <c r="G940" s="144" t="inlineStr">
        <is>
          <t>WHITE FREIGHTLINER</t>
        </is>
      </c>
      <c r="H940" s="144" t="n">
        <v>2293</v>
      </c>
      <c r="I940" s="144" t="inlineStr">
        <is>
          <t>COMMERCIAL</t>
        </is>
      </c>
    </row>
    <row r="941" ht="18" customHeight="1" s="7">
      <c r="A941" s="144" t="inlineStr">
        <is>
          <t xml:space="preserve">KENNETH WILLIAMS </t>
        </is>
      </c>
      <c r="B941" s="144" t="inlineStr">
        <is>
          <t>*054281035 GA</t>
        </is>
      </c>
      <c r="C941" s="144" t="inlineStr">
        <is>
          <t>EXPRESS DISPOSAL</t>
        </is>
      </c>
      <c r="D941" s="144" t="n">
        <v>2293524300</v>
      </c>
      <c r="E941" s="144" t="inlineStr">
        <is>
          <t>PU</t>
        </is>
      </c>
      <c r="F941" s="144" t="inlineStr">
        <is>
          <t>SEW0287 GA</t>
        </is>
      </c>
      <c r="G941" s="144" t="inlineStr">
        <is>
          <t>WHITE FORD</t>
        </is>
      </c>
      <c r="H941" s="144" t="n">
        <v>1221</v>
      </c>
      <c r="I941" s="144" t="inlineStr">
        <is>
          <t xml:space="preserve">CONTRACTOR </t>
        </is>
      </c>
    </row>
    <row r="942" ht="18" customHeight="1" s="7">
      <c r="A942" s="144" t="inlineStr">
        <is>
          <t>PITTMAN DAWSON</t>
        </is>
      </c>
      <c r="B942" s="144" t="inlineStr">
        <is>
          <t>*013276745 GA</t>
        </is>
      </c>
      <c r="C942" s="144" t="inlineStr">
        <is>
          <t xml:space="preserve">VAUGHN </t>
        </is>
      </c>
      <c r="D942" s="144" t="n">
        <v>9123819229</v>
      </c>
      <c r="E942" s="144" t="inlineStr">
        <is>
          <t>PU</t>
        </is>
      </c>
      <c r="F942" s="144" t="inlineStr">
        <is>
          <t>BQG8322 GA</t>
        </is>
      </c>
      <c r="G942" s="144" t="inlineStr">
        <is>
          <t>WHITE FORD</t>
        </is>
      </c>
      <c r="H942" s="144" t="n">
        <v>7360</v>
      </c>
      <c r="I942" s="144" t="inlineStr">
        <is>
          <t xml:space="preserve">CONTRACTOR </t>
        </is>
      </c>
    </row>
    <row r="943" ht="18" customHeight="1" s="7">
      <c r="A943" s="144" t="inlineStr">
        <is>
          <t>MARK RIGDON</t>
        </is>
      </c>
      <c r="B943" s="144" t="inlineStr">
        <is>
          <t>*050476307 GA</t>
        </is>
      </c>
      <c r="C943" s="144" t="inlineStr">
        <is>
          <t>ABF</t>
        </is>
      </c>
      <c r="D943" s="144" t="n">
        <v>2295606217</v>
      </c>
      <c r="E943" s="144" t="inlineStr">
        <is>
          <t>BOX</t>
        </is>
      </c>
      <c r="F943" s="144" t="inlineStr">
        <is>
          <t>3HC004 OK</t>
        </is>
      </c>
      <c r="G943" s="144" t="inlineStr">
        <is>
          <t>GREEN MACK</t>
        </is>
      </c>
      <c r="H943" s="144" t="n">
        <v>1221</v>
      </c>
      <c r="I943" s="144" t="inlineStr">
        <is>
          <t>COMMERCIAL</t>
        </is>
      </c>
    </row>
    <row r="944" ht="18" customHeight="1" s="7">
      <c r="A944" s="144" t="inlineStr">
        <is>
          <t>CHRISTOPHER BROWN</t>
        </is>
      </c>
      <c r="B944" s="144" t="inlineStr">
        <is>
          <t>B650102893430 FL</t>
        </is>
      </c>
      <c r="C944" s="144" t="inlineStr">
        <is>
          <t xml:space="preserve">KLB </t>
        </is>
      </c>
      <c r="D944" s="144" t="n">
        <v>8507286519</v>
      </c>
      <c r="E944" s="144" t="inlineStr">
        <is>
          <t>BOX</t>
        </is>
      </c>
      <c r="F944" s="144" t="inlineStr">
        <is>
          <t>R533444 TX</t>
        </is>
      </c>
      <c r="G944" s="144" t="inlineStr">
        <is>
          <t>RED FREGHT</t>
        </is>
      </c>
      <c r="H944" s="144" t="n">
        <v>7501</v>
      </c>
      <c r="I944" s="144" t="inlineStr">
        <is>
          <t>COMMERCIAL</t>
        </is>
      </c>
    </row>
    <row r="945" ht="18" customHeight="1" s="7">
      <c r="A945" s="144" t="inlineStr">
        <is>
          <t>BRAIN MOORE</t>
        </is>
      </c>
      <c r="B945" s="144" t="inlineStr">
        <is>
          <t>*062133565 GA</t>
        </is>
      </c>
      <c r="C945" s="144" t="inlineStr">
        <is>
          <t xml:space="preserve">COLEMAN </t>
        </is>
      </c>
      <c r="D945" s="144" t="n">
        <v>2534571177</v>
      </c>
      <c r="E945" s="144" t="inlineStr">
        <is>
          <t>BOX</t>
        </is>
      </c>
      <c r="F945" s="144" t="inlineStr">
        <is>
          <t>1211225 AL</t>
        </is>
      </c>
      <c r="G945" s="144" t="inlineStr">
        <is>
          <t>WHITE HINO</t>
        </is>
      </c>
      <c r="H945" s="144" t="inlineStr">
        <is>
          <t>HOUSING</t>
        </is>
      </c>
      <c r="I945" s="144" t="inlineStr">
        <is>
          <t>COMMERCIAL</t>
        </is>
      </c>
    </row>
    <row r="946" ht="18" customHeight="1" s="7">
      <c r="A946" s="144" t="inlineStr">
        <is>
          <t xml:space="preserve">STEVEN MILLS </t>
        </is>
      </c>
      <c r="B946" s="144" t="inlineStr">
        <is>
          <t>*056995380 GA</t>
        </is>
      </c>
      <c r="C946" s="144" t="inlineStr">
        <is>
          <t>ESTES</t>
        </is>
      </c>
      <c r="D946" s="144" t="n">
        <v>2296012900</v>
      </c>
      <c r="E946" s="144" t="inlineStr">
        <is>
          <t>BOX</t>
        </is>
      </c>
      <c r="F946" s="144" t="inlineStr">
        <is>
          <t>3682499 IN</t>
        </is>
      </c>
      <c r="G946" s="144" t="inlineStr">
        <is>
          <t>YELLOW FREIGHTLINER</t>
        </is>
      </c>
      <c r="H946" s="144" t="n">
        <v>1221</v>
      </c>
      <c r="I946" s="144" t="inlineStr">
        <is>
          <t>COMMERCIAL</t>
        </is>
      </c>
    </row>
    <row r="947" ht="18" customHeight="1" s="7">
      <c r="A947" s="144" t="inlineStr">
        <is>
          <t>JAMES GORDON</t>
        </is>
      </c>
      <c r="B947" s="144" t="inlineStr">
        <is>
          <t>*059440130 GA</t>
        </is>
      </c>
      <c r="C947" s="144" t="inlineStr">
        <is>
          <t>POOL GEEKS</t>
        </is>
      </c>
      <c r="D947" s="144" t="n">
        <v>2294990820</v>
      </c>
      <c r="E947" s="144" t="inlineStr">
        <is>
          <t>PU</t>
        </is>
      </c>
      <c r="F947" s="144" t="inlineStr">
        <is>
          <t>SHY3280 GA</t>
        </is>
      </c>
      <c r="G947" s="144" t="inlineStr">
        <is>
          <t>WHITE FORD</t>
        </is>
      </c>
      <c r="H947" s="144" t="inlineStr">
        <is>
          <t>HOUSING</t>
        </is>
      </c>
      <c r="I947" s="144" t="inlineStr">
        <is>
          <t xml:space="preserve">CONTRACTOR </t>
        </is>
      </c>
    </row>
    <row r="948" ht="18" customHeight="1" s="7">
      <c r="A948" s="144" t="inlineStr">
        <is>
          <t>THOMAS TERRY</t>
        </is>
      </c>
      <c r="B948" s="144" t="inlineStr">
        <is>
          <t>T520804684550 FL</t>
        </is>
      </c>
      <c r="C948" s="144" t="inlineStr">
        <is>
          <t>VERITIV</t>
        </is>
      </c>
      <c r="D948" s="144" t="n">
        <v>8506617176</v>
      </c>
      <c r="E948" s="144" t="inlineStr">
        <is>
          <t>BOX</t>
        </is>
      </c>
      <c r="F948" s="144" t="inlineStr">
        <is>
          <t>73604X WI</t>
        </is>
      </c>
      <c r="G948" s="144" t="inlineStr">
        <is>
          <t>WHT FREIGHT</t>
        </is>
      </c>
      <c r="H948" s="144" t="inlineStr">
        <is>
          <t>POWERWORKS</t>
        </is>
      </c>
      <c r="I948" s="144" t="inlineStr">
        <is>
          <t>COMMERCIAL</t>
        </is>
      </c>
    </row>
    <row r="949" ht="18" customHeight="1" s="7">
      <c r="A949" s="144" t="inlineStr">
        <is>
          <t>RODGERS MICHAEL</t>
        </is>
      </c>
      <c r="B949" s="144" t="inlineStr">
        <is>
          <t>*057371789 GA</t>
        </is>
      </c>
      <c r="C949" s="144" t="inlineStr">
        <is>
          <t>CONCRETE ENTERP</t>
        </is>
      </c>
      <c r="D949" s="144" t="n">
        <v>2298881904</v>
      </c>
      <c r="E949" s="144" t="inlineStr">
        <is>
          <t>DUMP</t>
        </is>
      </c>
      <c r="F949" s="144" t="inlineStr">
        <is>
          <t>GHQ358 GA</t>
        </is>
      </c>
      <c r="G949" s="144" t="inlineStr">
        <is>
          <t>WHT FREIGHT</t>
        </is>
      </c>
      <c r="H949" s="144" t="n">
        <v>5305</v>
      </c>
      <c r="I949" s="144" t="inlineStr">
        <is>
          <t>COMMERCIAL</t>
        </is>
      </c>
    </row>
    <row r="950" ht="18" customHeight="1" s="7">
      <c r="A950" s="144" t="inlineStr">
        <is>
          <t>ERIC PACE</t>
        </is>
      </c>
      <c r="B950" s="144" t="inlineStr">
        <is>
          <t>*054851071 GA</t>
        </is>
      </c>
      <c r="C950" s="144" t="inlineStr">
        <is>
          <t>ESTES</t>
        </is>
      </c>
      <c r="D950" s="144" t="n">
        <v>2294140100</v>
      </c>
      <c r="E950" s="144" t="inlineStr">
        <is>
          <t>BOX</t>
        </is>
      </c>
      <c r="F950" s="144" t="inlineStr">
        <is>
          <t>3584143 IN</t>
        </is>
      </c>
      <c r="G950" s="144" t="inlineStr">
        <is>
          <t>WHT FREIGHT</t>
        </is>
      </c>
      <c r="H950" s="144" t="n">
        <v>1221</v>
      </c>
      <c r="I950" s="144" t="inlineStr">
        <is>
          <t>COMMERCIAL</t>
        </is>
      </c>
    </row>
    <row r="951" ht="18" customHeight="1" s="7">
      <c r="A951" s="144" t="inlineStr">
        <is>
          <t>DERREK WHITE</t>
        </is>
      </c>
      <c r="B951" s="144" t="inlineStr">
        <is>
          <t>*0234874804 GA</t>
        </is>
      </c>
      <c r="C951" s="144" t="inlineStr">
        <is>
          <t>SOUTHEASTERN FREIGHT</t>
        </is>
      </c>
      <c r="D951" s="144" t="n">
        <v>2298863325</v>
      </c>
      <c r="E951" s="144" t="inlineStr">
        <is>
          <t>BOX</t>
        </is>
      </c>
      <c r="F951" s="144" t="inlineStr">
        <is>
          <t>P4750HY TN</t>
        </is>
      </c>
      <c r="G951" s="144" t="inlineStr">
        <is>
          <t>RED VOLVO</t>
        </is>
      </c>
      <c r="H951" s="144" t="n">
        <v>1221</v>
      </c>
      <c r="I951" s="144" t="inlineStr">
        <is>
          <t>COMMERCIAL</t>
        </is>
      </c>
    </row>
    <row r="952" ht="18" customHeight="1" s="7">
      <c r="A952" s="144" t="inlineStr">
        <is>
          <t>RICHARD VAN EPS</t>
        </is>
      </c>
      <c r="B952" s="144" t="inlineStr">
        <is>
          <t>*049676518 GA</t>
        </is>
      </c>
      <c r="C952" s="144" t="inlineStr">
        <is>
          <t>MCLANE</t>
        </is>
      </c>
      <c r="D952" s="144" t="n">
        <v>7707564263</v>
      </c>
      <c r="E952" s="144" t="inlineStr">
        <is>
          <t>BOX</t>
        </is>
      </c>
      <c r="F952" s="144" t="inlineStr">
        <is>
          <t>P966237 IL</t>
        </is>
      </c>
      <c r="G952" s="144" t="inlineStr">
        <is>
          <t>WHITE FL</t>
        </is>
      </c>
      <c r="H952" s="144" t="n">
        <v>7501</v>
      </c>
      <c r="I952" s="144" t="inlineStr">
        <is>
          <t>COMMERCIAL</t>
        </is>
      </c>
    </row>
    <row r="953" ht="18" customHeight="1" s="7">
      <c r="A953" s="144" t="inlineStr">
        <is>
          <t>WALTON WHITE</t>
        </is>
      </c>
      <c r="B953" s="144" t="inlineStr">
        <is>
          <t>*054110775 GA</t>
        </is>
      </c>
      <c r="C953" s="144" t="inlineStr">
        <is>
          <t>YANCEY RENTALS</t>
        </is>
      </c>
      <c r="D953" s="144" t="n">
        <v>2298949083</v>
      </c>
      <c r="E953" s="144" t="inlineStr">
        <is>
          <t>FLAT</t>
        </is>
      </c>
      <c r="F953" s="144" t="inlineStr">
        <is>
          <t xml:space="preserve">YDX793 GA </t>
        </is>
      </c>
      <c r="G953" s="144" t="inlineStr">
        <is>
          <t>WHITE IN</t>
        </is>
      </c>
      <c r="H953" s="144" t="n">
        <v>7108</v>
      </c>
      <c r="I953" s="144" t="inlineStr">
        <is>
          <t>COMMERCIAL</t>
        </is>
      </c>
    </row>
    <row r="954" ht="18" customHeight="1" s="7">
      <c r="A954" s="144" t="inlineStr">
        <is>
          <t>Lay Nent Tar EH</t>
        </is>
      </c>
      <c r="B954" s="144" t="inlineStr">
        <is>
          <t>*24025743 TX</t>
        </is>
      </c>
      <c r="C954" s="144" t="inlineStr">
        <is>
          <t>Empire National</t>
        </is>
      </c>
      <c r="D954" s="144" t="n">
        <v>8063826541</v>
      </c>
      <c r="E954" s="144" t="inlineStr">
        <is>
          <t>Van</t>
        </is>
      </c>
      <c r="F954" s="144" t="inlineStr">
        <is>
          <t>KHS5761 OH</t>
        </is>
      </c>
      <c r="G954" s="144" t="inlineStr">
        <is>
          <t>WHITE MERCEDES</t>
        </is>
      </c>
      <c r="H954" s="144" t="n">
        <v>7106</v>
      </c>
      <c r="I954" s="144" t="inlineStr">
        <is>
          <t xml:space="preserve">CONTRACTOR </t>
        </is>
      </c>
    </row>
    <row r="955" ht="18" customHeight="1" s="7">
      <c r="A955" s="144" t="inlineStr">
        <is>
          <t>Pierre Bird</t>
        </is>
      </c>
      <c r="B955" s="144" t="inlineStr">
        <is>
          <t>*60676159 GA</t>
        </is>
      </c>
      <c r="C955" s="144" t="inlineStr">
        <is>
          <t>BETTER WAY TRANS</t>
        </is>
      </c>
      <c r="D955" s="144" t="n">
        <v>994212401</v>
      </c>
      <c r="E955" s="144" t="inlineStr">
        <is>
          <t>VAN</t>
        </is>
      </c>
      <c r="F955" s="144" t="inlineStr">
        <is>
          <t>ZAP347 GA</t>
        </is>
      </c>
      <c r="G955" s="144" t="inlineStr">
        <is>
          <t>WHITE INTERNATIONAL</t>
        </is>
      </c>
      <c r="H955" s="144" t="inlineStr">
        <is>
          <t>HOUSING</t>
        </is>
      </c>
      <c r="I955" s="144" t="inlineStr">
        <is>
          <t xml:space="preserve">CONTRACTOR </t>
        </is>
      </c>
    </row>
    <row r="956" ht="18" customHeight="1" s="7">
      <c r="A956" s="144" t="inlineStr">
        <is>
          <t>BABADJANOV SHUKHART</t>
        </is>
      </c>
      <c r="B956" s="144" t="inlineStr">
        <is>
          <t>*TP013806 TX</t>
        </is>
      </c>
      <c r="C956" s="144" t="inlineStr">
        <is>
          <t>SOLEJON EXPRESS</t>
        </is>
      </c>
      <c r="D956" s="144" t="n">
        <v>5138285666</v>
      </c>
      <c r="E956" s="144" t="inlineStr">
        <is>
          <t>PU</t>
        </is>
      </c>
      <c r="F956" s="144" t="inlineStr">
        <is>
          <t>PWN5002 OH</t>
        </is>
      </c>
      <c r="G956" s="144" t="inlineStr">
        <is>
          <t>GREY VOLVO</t>
        </is>
      </c>
      <c r="H956" s="144" t="n">
        <v>1221</v>
      </c>
      <c r="I956" s="144" t="inlineStr">
        <is>
          <t>COMMERCIAL</t>
        </is>
      </c>
    </row>
    <row r="957" ht="18" customHeight="1" s="7">
      <c r="A957" s="144" t="inlineStr">
        <is>
          <t>RONALD JONES</t>
        </is>
      </c>
      <c r="B957" s="144" t="inlineStr">
        <is>
          <t>*J374603260000 FL</t>
        </is>
      </c>
      <c r="C957" s="144" t="inlineStr">
        <is>
          <t>FEDEX</t>
        </is>
      </c>
      <c r="D957" s="144" t="inlineStr">
        <is>
          <t>1800GOFEX</t>
        </is>
      </c>
      <c r="E957" s="144" t="inlineStr">
        <is>
          <t>BOX</t>
        </is>
      </c>
      <c r="F957" s="144" t="inlineStr">
        <is>
          <t>C905HT TN</t>
        </is>
      </c>
      <c r="G957" s="144" t="inlineStr">
        <is>
          <t>FREIGHTLINER</t>
        </is>
      </c>
      <c r="H957" s="144" t="n">
        <v>1221</v>
      </c>
      <c r="I957" s="144" t="inlineStr">
        <is>
          <t>COMMERCIAL</t>
        </is>
      </c>
    </row>
    <row r="958" ht="18" customHeight="1" s="7">
      <c r="A958" s="144" t="inlineStr">
        <is>
          <t>ABEDI YUNUSI</t>
        </is>
      </c>
      <c r="B958" s="144" t="inlineStr">
        <is>
          <t>*41981588 TX</t>
        </is>
      </c>
      <c r="C958" s="144" t="inlineStr">
        <is>
          <t>JUKES</t>
        </is>
      </c>
      <c r="D958" s="144" t="n">
        <v>4694638475</v>
      </c>
      <c r="E958" s="144" t="inlineStr">
        <is>
          <t>BOX</t>
        </is>
      </c>
      <c r="F958" s="144" t="inlineStr">
        <is>
          <t>K180769 TX</t>
        </is>
      </c>
      <c r="G958" s="144" t="inlineStr">
        <is>
          <t>FERIGHTLINER</t>
        </is>
      </c>
      <c r="H958" s="144" t="n">
        <v>1221</v>
      </c>
      <c r="I958" s="144" t="inlineStr">
        <is>
          <t xml:space="preserve">CONTRACTOR </t>
        </is>
      </c>
    </row>
    <row r="959" ht="18" customHeight="1" s="7">
      <c r="A959" s="144" t="inlineStr">
        <is>
          <t>MATTHEW PRESCOTT</t>
        </is>
      </c>
      <c r="B959" s="144" t="inlineStr">
        <is>
          <t>*P221533874000 FL</t>
        </is>
      </c>
      <c r="C959" s="144" t="inlineStr">
        <is>
          <t>MJW CONSOLIDATED</t>
        </is>
      </c>
      <c r="D959" s="144" t="n">
        <v>9043499931</v>
      </c>
      <c r="E959" s="144" t="inlineStr">
        <is>
          <t>VAN</t>
        </is>
      </c>
      <c r="F959" s="144" t="inlineStr">
        <is>
          <t>JVVB23 FL</t>
        </is>
      </c>
      <c r="G959" s="144" t="inlineStr">
        <is>
          <t>FORD</t>
        </is>
      </c>
      <c r="H959" s="144" t="n">
        <v>1231</v>
      </c>
      <c r="I959" s="144" t="inlineStr">
        <is>
          <t xml:space="preserve">CONTRACTOR </t>
        </is>
      </c>
    </row>
    <row r="960" ht="18" customHeight="1" s="7">
      <c r="A960" s="144" t="inlineStr">
        <is>
          <t>ARRIN FERGUSON</t>
        </is>
      </c>
      <c r="B960" s="144" t="inlineStr">
        <is>
          <t>*055055369 GA</t>
        </is>
      </c>
      <c r="C960" s="144" t="inlineStr">
        <is>
          <t>AWEST</t>
        </is>
      </c>
      <c r="D960" s="144" t="n">
        <v>2298888347</v>
      </c>
      <c r="E960" s="144" t="inlineStr">
        <is>
          <t>PU</t>
        </is>
      </c>
      <c r="F960" s="144" t="inlineStr">
        <is>
          <t>CKM5287 GA</t>
        </is>
      </c>
      <c r="G960" s="144" t="inlineStr">
        <is>
          <t>WHITE CHEV</t>
        </is>
      </c>
      <c r="H960" s="144" t="n">
        <v>5400</v>
      </c>
      <c r="I960" s="144" t="inlineStr">
        <is>
          <t xml:space="preserve">CONTRACTOR </t>
        </is>
      </c>
    </row>
    <row r="961" ht="18" customHeight="1" s="7">
      <c r="A961" s="144" t="inlineStr">
        <is>
          <t>OZDEN RAMAZAN</t>
        </is>
      </c>
      <c r="B961" s="144" t="inlineStr">
        <is>
          <t>*WDL54RBJ413B WA</t>
        </is>
      </c>
      <c r="C961" s="144" t="inlineStr">
        <is>
          <t>STALLION LLC</t>
        </is>
      </c>
      <c r="D961" s="144" t="n">
        <v>5167128122</v>
      </c>
      <c r="E961" s="144" t="inlineStr">
        <is>
          <t>FLAT</t>
        </is>
      </c>
      <c r="F961" s="144" t="inlineStr">
        <is>
          <t>RP11628 WA</t>
        </is>
      </c>
      <c r="G961" s="144" t="inlineStr">
        <is>
          <t>RED FREIGHTLINER</t>
        </is>
      </c>
      <c r="H961" s="144" t="n">
        <v>1221</v>
      </c>
      <c r="I961" s="144" t="inlineStr">
        <is>
          <t>COMMERCIAL</t>
        </is>
      </c>
    </row>
    <row r="962" ht="18" customHeight="1" s="7">
      <c r="A962" s="144" t="inlineStr">
        <is>
          <t>GARICA MARINO</t>
        </is>
      </c>
      <c r="B962" s="144" t="inlineStr">
        <is>
          <t>*520954813 NM</t>
        </is>
      </c>
      <c r="C962" s="144" t="inlineStr">
        <is>
          <t>ONEWAYKER</t>
        </is>
      </c>
      <c r="D962" s="144" t="n">
        <v>2819084988</v>
      </c>
      <c r="E962" s="144" t="inlineStr">
        <is>
          <t>PU</t>
        </is>
      </c>
      <c r="F962" s="144" t="inlineStr">
        <is>
          <t>VGY2877 TX</t>
        </is>
      </c>
      <c r="G962" s="144" t="inlineStr">
        <is>
          <t>WHITE DODGE</t>
        </is>
      </c>
      <c r="H962" s="144" t="n">
        <v>1221</v>
      </c>
      <c r="I962" s="144" t="inlineStr">
        <is>
          <t xml:space="preserve">CONTRACTOR </t>
        </is>
      </c>
    </row>
    <row r="963" ht="18" customHeight="1" s="7">
      <c r="A963" s="144" t="inlineStr">
        <is>
          <t>HASSAN ABDIAZIZ</t>
        </is>
      </c>
      <c r="B963" s="144" t="inlineStr">
        <is>
          <t>*UH867278 OH</t>
        </is>
      </c>
      <c r="C963" s="144" t="inlineStr">
        <is>
          <t>ROYAL CARGO</t>
        </is>
      </c>
      <c r="D963" s="144" t="n">
        <v>6145898397</v>
      </c>
      <c r="E963" s="144" t="inlineStr">
        <is>
          <t>BOX</t>
        </is>
      </c>
      <c r="F963" s="144" t="inlineStr">
        <is>
          <t>PXA8341 OH</t>
        </is>
      </c>
      <c r="G963" s="144" t="inlineStr">
        <is>
          <t>WHITE FREIGHTLINER</t>
        </is>
      </c>
      <c r="H963" s="144" t="n">
        <v>1221</v>
      </c>
      <c r="I963" s="144" t="inlineStr">
        <is>
          <t>COMMERCIAL</t>
        </is>
      </c>
    </row>
    <row r="964" ht="18" customHeight="1" s="7">
      <c r="A964" s="144" t="inlineStr">
        <is>
          <t>JOSEPH WETHERELL</t>
        </is>
      </c>
      <c r="B964" s="144" t="inlineStr">
        <is>
          <t>W364481632670 FL</t>
        </is>
      </c>
      <c r="C964" s="144" t="inlineStr">
        <is>
          <t>ATD</t>
        </is>
      </c>
      <c r="D964" s="144" t="n">
        <v>8509013425</v>
      </c>
      <c r="E964" s="144" t="inlineStr">
        <is>
          <t>BOX</t>
        </is>
      </c>
      <c r="F964" s="144" t="inlineStr">
        <is>
          <t>RQZW01 FL</t>
        </is>
      </c>
      <c r="G964" s="144" t="inlineStr">
        <is>
          <t>WHITE HINO</t>
        </is>
      </c>
      <c r="H964" s="144" t="inlineStr">
        <is>
          <t>HOBBY SHOP</t>
        </is>
      </c>
      <c r="I964" s="144" t="inlineStr">
        <is>
          <t>COMMERCIAL</t>
        </is>
      </c>
    </row>
    <row r="965" ht="18" customHeight="1" s="7">
      <c r="A965" s="144" t="inlineStr">
        <is>
          <t>YASIN INCE</t>
        </is>
      </c>
      <c r="B965" s="144" t="inlineStr">
        <is>
          <t>*059376436 GA</t>
        </is>
      </c>
      <c r="C965" s="144" t="inlineStr">
        <is>
          <t>SMYRNA TRUCKING</t>
        </is>
      </c>
      <c r="D965" s="144" t="n">
        <v>4043581671</v>
      </c>
      <c r="E965" s="144" t="inlineStr">
        <is>
          <t>PU</t>
        </is>
      </c>
      <c r="F965" s="144" t="inlineStr">
        <is>
          <t>C928ET GA</t>
        </is>
      </c>
      <c r="G965" s="144" t="inlineStr">
        <is>
          <t>SILVER DODGE</t>
        </is>
      </c>
      <c r="H965" s="144" t="n">
        <v>1221</v>
      </c>
      <c r="I965" s="144" t="inlineStr">
        <is>
          <t xml:space="preserve">CONTRACTOR </t>
        </is>
      </c>
    </row>
    <row r="966" ht="18" customHeight="1" s="7">
      <c r="A966" s="144" t="inlineStr">
        <is>
          <t>VAHID HUSANOVIC</t>
        </is>
      </c>
      <c r="B966" s="144" t="inlineStr">
        <is>
          <t>5080259330 IN</t>
        </is>
      </c>
      <c r="C966" s="144" t="inlineStr">
        <is>
          <t>EDOS</t>
        </is>
      </c>
      <c r="D966" s="144" t="n">
        <v>3176052106</v>
      </c>
      <c r="E966" s="144" t="inlineStr">
        <is>
          <t>BOX</t>
        </is>
      </c>
      <c r="F966" s="144" t="inlineStr">
        <is>
          <t>2887875 IN</t>
        </is>
      </c>
      <c r="G966" s="144" t="inlineStr">
        <is>
          <t>GREEN VOLVO</t>
        </is>
      </c>
      <c r="H966" s="144" t="n">
        <v>1221</v>
      </c>
      <c r="I966" s="144" t="inlineStr">
        <is>
          <t>COMMERCIAL</t>
        </is>
      </c>
    </row>
    <row r="967" ht="18" customHeight="1" s="7">
      <c r="A967" s="144" t="inlineStr">
        <is>
          <t>ERIC KING</t>
        </is>
      </c>
      <c r="B967" s="144" t="inlineStr">
        <is>
          <t>*050751753 GA</t>
        </is>
      </c>
      <c r="C967" s="144" t="inlineStr">
        <is>
          <t>KPP</t>
        </is>
      </c>
      <c r="D967" s="144" t="n">
        <v>2293765565</v>
      </c>
      <c r="E967" s="144" t="inlineStr">
        <is>
          <t>PU</t>
        </is>
      </c>
      <c r="F967" s="144" t="inlineStr">
        <is>
          <t>C977EE GA</t>
        </is>
      </c>
      <c r="G967" s="144" t="inlineStr">
        <is>
          <t>RED DODGE</t>
        </is>
      </c>
      <c r="H967" s="144" t="n">
        <v>1330</v>
      </c>
      <c r="I967" s="144" t="inlineStr">
        <is>
          <t xml:space="preserve">CONTRACTOR </t>
        </is>
      </c>
    </row>
    <row r="968" ht="18" customHeight="1" s="7">
      <c r="A968" s="144" t="inlineStr">
        <is>
          <t>LOGAN RUSHING</t>
        </is>
      </c>
      <c r="B968" s="144" t="inlineStr">
        <is>
          <t>*000048019497 NC</t>
        </is>
      </c>
      <c r="C968" s="144" t="inlineStr">
        <is>
          <t xml:space="preserve">BENNETT </t>
        </is>
      </c>
      <c r="D968" s="144" t="n">
        <v>7042542963</v>
      </c>
      <c r="E968" s="144" t="inlineStr">
        <is>
          <t>PU</t>
        </is>
      </c>
      <c r="F968" s="144" t="inlineStr">
        <is>
          <t>VH5927 NC</t>
        </is>
      </c>
      <c r="G968" s="144" t="inlineStr">
        <is>
          <t>WHITE DODGE</t>
        </is>
      </c>
      <c r="H968" s="144" t="n">
        <v>5400</v>
      </c>
      <c r="I968" s="144" t="inlineStr">
        <is>
          <t xml:space="preserve">CONTRACTOR </t>
        </is>
      </c>
    </row>
    <row r="969" ht="18" customHeight="1" s="7">
      <c r="A969" s="144" t="inlineStr">
        <is>
          <t>CLARENCE BREWER</t>
        </is>
      </c>
      <c r="B969" s="144" t="inlineStr">
        <is>
          <t>6062485 AL</t>
        </is>
      </c>
      <c r="C969" s="144" t="inlineStr">
        <is>
          <t>ALABAMA WASHERS</t>
        </is>
      </c>
      <c r="D969" s="144" t="n">
        <v>2059900782</v>
      </c>
      <c r="E969" s="144" t="inlineStr">
        <is>
          <t>PU</t>
        </is>
      </c>
      <c r="F969" s="144" t="inlineStr">
        <is>
          <t>14A2YN8 AL</t>
        </is>
      </c>
      <c r="G969" s="144" t="inlineStr">
        <is>
          <t>WHITE FORD</t>
        </is>
      </c>
      <c r="H969" s="144" t="n">
        <v>2211</v>
      </c>
      <c r="I969" s="144" t="inlineStr">
        <is>
          <t xml:space="preserve">CONTRACTOR </t>
        </is>
      </c>
    </row>
    <row r="970" ht="18" customHeight="1" s="7">
      <c r="A970" s="144" t="inlineStr">
        <is>
          <t>NICHOLAS CARL</t>
        </is>
      </c>
      <c r="B970" s="144" t="inlineStr">
        <is>
          <t>5365976 AL</t>
        </is>
      </c>
      <c r="C970" s="144" t="inlineStr">
        <is>
          <t>ALABAMA WASHERS</t>
        </is>
      </c>
      <c r="D970" s="144" t="n">
        <v>2059900782</v>
      </c>
      <c r="E970" s="144" t="inlineStr">
        <is>
          <t>PU</t>
        </is>
      </c>
      <c r="F970" s="144" t="inlineStr">
        <is>
          <t>7328AB5 AL</t>
        </is>
      </c>
      <c r="G970" s="144" t="inlineStr">
        <is>
          <t>WHITE FORD</t>
        </is>
      </c>
      <c r="H970" s="144" t="n">
        <v>2211</v>
      </c>
      <c r="I970" s="144" t="inlineStr">
        <is>
          <t xml:space="preserve">CONTRACTOR </t>
        </is>
      </c>
    </row>
    <row r="971" ht="18" customHeight="1" s="7">
      <c r="A971" s="144" t="inlineStr">
        <is>
          <t>JOSEPH HOLLAND</t>
        </is>
      </c>
      <c r="B971" s="144" t="inlineStr">
        <is>
          <t>*049697692 GA</t>
        </is>
      </c>
      <c r="C971" s="144" t="inlineStr">
        <is>
          <t>JONES WELDING</t>
        </is>
      </c>
      <c r="D971" s="144" t="n">
        <v>2294443623</v>
      </c>
      <c r="E971" s="144" t="inlineStr">
        <is>
          <t>PU</t>
        </is>
      </c>
      <c r="F971" s="144" t="inlineStr">
        <is>
          <t>WQF565 GA</t>
        </is>
      </c>
      <c r="G971" s="144" t="inlineStr">
        <is>
          <t>WHITE FORD</t>
        </is>
      </c>
      <c r="H971" s="144" t="n">
        <v>1600</v>
      </c>
      <c r="I971" s="144" t="inlineStr">
        <is>
          <t xml:space="preserve">CONTRACTOR </t>
        </is>
      </c>
    </row>
    <row r="972" ht="18" customHeight="1" s="7">
      <c r="A972" s="144" t="inlineStr">
        <is>
          <t>GUSTAVO SHOOK</t>
        </is>
      </c>
      <c r="B972" s="144" t="inlineStr">
        <is>
          <t>36076296 TX</t>
        </is>
      </c>
      <c r="C972" s="144" t="inlineStr">
        <is>
          <t>JOE TRANSPORT</t>
        </is>
      </c>
      <c r="D972" s="144" t="n">
        <v>9566002504</v>
      </c>
      <c r="E972" s="144" t="inlineStr">
        <is>
          <t>PU</t>
        </is>
      </c>
      <c r="F972" s="144" t="inlineStr">
        <is>
          <t>RMM5873 TX</t>
        </is>
      </c>
      <c r="G972" s="144" t="inlineStr">
        <is>
          <t>RED DODGE</t>
        </is>
      </c>
      <c r="H972" s="144" t="n">
        <v>1221</v>
      </c>
      <c r="I972" s="144" t="inlineStr">
        <is>
          <t xml:space="preserve">CONTRACTOR </t>
        </is>
      </c>
    </row>
    <row r="973" ht="18" customHeight="1" s="7">
      <c r="A973" s="144" t="inlineStr">
        <is>
          <t>JAMES WORTHY</t>
        </is>
      </c>
      <c r="B973" s="144" t="inlineStr">
        <is>
          <t>*053444301 GA</t>
        </is>
      </c>
      <c r="C973" s="144" t="inlineStr">
        <is>
          <t>CENTRAL TRANS</t>
        </is>
      </c>
      <c r="D973" s="144" t="n">
        <v>2293251516</v>
      </c>
      <c r="E973" s="144" t="inlineStr">
        <is>
          <t>BOX</t>
        </is>
      </c>
      <c r="F973" s="144" t="inlineStr">
        <is>
          <t>3726488 IN</t>
        </is>
      </c>
      <c r="G973" s="144" t="inlineStr">
        <is>
          <t>YELLOW PETERBILT</t>
        </is>
      </c>
      <c r="H973" s="144" t="n">
        <v>1330</v>
      </c>
      <c r="I973" s="144" t="inlineStr">
        <is>
          <t>COMMERCIAL</t>
        </is>
      </c>
    </row>
    <row r="974" ht="18" customHeight="1" s="7">
      <c r="A974" s="144" t="inlineStr">
        <is>
          <t>HERNANDEZ DRIAN</t>
        </is>
      </c>
      <c r="B974" s="144" t="inlineStr">
        <is>
          <t>H655172023700 FL</t>
        </is>
      </c>
      <c r="C974" s="144" t="inlineStr">
        <is>
          <t>INB TRANS</t>
        </is>
      </c>
      <c r="D974" s="144" t="n">
        <v>4074194922</v>
      </c>
      <c r="E974" s="144" t="inlineStr">
        <is>
          <t>PU</t>
        </is>
      </c>
      <c r="F974" s="144" t="inlineStr">
        <is>
          <t>93EBCN FL</t>
        </is>
      </c>
      <c r="G974" s="144" t="inlineStr">
        <is>
          <t>WHITE FORD</t>
        </is>
      </c>
      <c r="H974" s="144" t="n">
        <v>1221</v>
      </c>
      <c r="I974" s="144" t="inlineStr">
        <is>
          <t xml:space="preserve">CONTRACTOR </t>
        </is>
      </c>
    </row>
    <row r="975" ht="18" customHeight="1" s="7">
      <c r="A975" s="144" t="inlineStr">
        <is>
          <t>HENRY PERRETT</t>
        </is>
      </c>
      <c r="B975" s="144" t="inlineStr">
        <is>
          <t>800125808 MS</t>
        </is>
      </c>
      <c r="C975" s="144" t="inlineStr">
        <is>
          <t>MS FORESTRY</t>
        </is>
      </c>
      <c r="D975" s="144" t="n">
        <v>6019413857</v>
      </c>
      <c r="E975" s="144" t="inlineStr">
        <is>
          <t>FLAT</t>
        </is>
      </c>
      <c r="F975" s="144" t="inlineStr">
        <is>
          <t>G90458 MS</t>
        </is>
      </c>
      <c r="G975" s="144" t="inlineStr">
        <is>
          <t>WHITE FREIGHTLINER</t>
        </is>
      </c>
      <c r="H975" s="144" t="n">
        <v>1221</v>
      </c>
      <c r="I975" s="144" t="inlineStr">
        <is>
          <t>COMMERCIAL</t>
        </is>
      </c>
    </row>
    <row r="976" ht="18" customHeight="1" s="7">
      <c r="A976" s="144" t="inlineStr">
        <is>
          <t>JOHN SANDS</t>
        </is>
      </c>
      <c r="B976" s="144" t="inlineStr">
        <is>
          <t>802494239 MS</t>
        </is>
      </c>
      <c r="C976" s="144" t="inlineStr">
        <is>
          <t>MS FORESTRY</t>
        </is>
      </c>
      <c r="D976" s="144" t="n">
        <v>6016242535</v>
      </c>
      <c r="E976" s="144" t="inlineStr">
        <is>
          <t>FLAT</t>
        </is>
      </c>
      <c r="F976" s="144" t="inlineStr">
        <is>
          <t>G78049 MS</t>
        </is>
      </c>
      <c r="G976" s="144" t="inlineStr">
        <is>
          <t>WHITE KENWORTH</t>
        </is>
      </c>
      <c r="H976" s="144" t="n">
        <v>1221</v>
      </c>
      <c r="I976" s="144" t="inlineStr">
        <is>
          <t>COMMERCIAL</t>
        </is>
      </c>
    </row>
    <row r="977" ht="18" customHeight="1" s="7">
      <c r="A977" s="144" t="inlineStr">
        <is>
          <t>KEVIN PETERKIN</t>
        </is>
      </c>
      <c r="B977" s="144" t="inlineStr">
        <is>
          <t>P362504760191 FL</t>
        </is>
      </c>
      <c r="C977" s="144" t="inlineStr">
        <is>
          <t xml:space="preserve">KLB </t>
        </is>
      </c>
      <c r="D977" s="144" t="n">
        <v>9514371721</v>
      </c>
      <c r="E977" s="144" t="inlineStr">
        <is>
          <t>BOX</t>
        </is>
      </c>
      <c r="F977" s="144" t="inlineStr">
        <is>
          <t>R704265 TX</t>
        </is>
      </c>
      <c r="G977" s="144" t="inlineStr">
        <is>
          <t>WHITE FREIGHTLINER</t>
        </is>
      </c>
      <c r="H977" s="144" t="n">
        <v>7501</v>
      </c>
      <c r="I977" s="144" t="inlineStr">
        <is>
          <t>COMMERCIAL</t>
        </is>
      </c>
    </row>
    <row r="978" ht="18" customHeight="1" s="7">
      <c r="A978" s="144" t="inlineStr">
        <is>
          <t>PATRICK WINGFIELD</t>
        </is>
      </c>
      <c r="B978" s="144" t="inlineStr">
        <is>
          <t>*049166721 GA</t>
        </is>
      </c>
      <c r="C978" s="144" t="inlineStr">
        <is>
          <t>STERICYCLE</t>
        </is>
      </c>
      <c r="D978" s="144" t="n">
        <v>2292556006</v>
      </c>
      <c r="E978" s="144" t="inlineStr">
        <is>
          <t>BOX</t>
        </is>
      </c>
      <c r="F978" s="144" t="inlineStr">
        <is>
          <t>Y131398 OR</t>
        </is>
      </c>
      <c r="G978" s="144" t="inlineStr">
        <is>
          <t>WHITE FREIGHTLINER</t>
        </is>
      </c>
      <c r="H978" s="144" t="n">
        <v>3600</v>
      </c>
      <c r="I978" s="144" t="inlineStr">
        <is>
          <t>COMMERCIAL</t>
        </is>
      </c>
    </row>
    <row r="979" ht="18" customHeight="1" s="7">
      <c r="A979" s="144" t="inlineStr">
        <is>
          <t>HANSLEY JALEN</t>
        </is>
      </c>
      <c r="B979" s="144" t="inlineStr">
        <is>
          <t>*000032940433 NC</t>
        </is>
      </c>
      <c r="C979" s="144" t="inlineStr">
        <is>
          <t xml:space="preserve">J&amp;K </t>
        </is>
      </c>
      <c r="D979" s="144" t="n">
        <v>9104707109</v>
      </c>
      <c r="E979" s="144" t="inlineStr">
        <is>
          <t>FLAT</t>
        </is>
      </c>
      <c r="F979" s="144" t="inlineStr">
        <is>
          <t>NM6678 NC</t>
        </is>
      </c>
      <c r="G979" s="144" t="inlineStr">
        <is>
          <t>RED PETERBILT</t>
        </is>
      </c>
      <c r="H979" s="144" t="n">
        <v>1221</v>
      </c>
      <c r="I979" s="144" t="inlineStr">
        <is>
          <t>COMMERCIAL</t>
        </is>
      </c>
    </row>
    <row r="980" ht="18" customHeight="1" s="7">
      <c r="A980" s="144" t="inlineStr">
        <is>
          <t>KIZZIE ROMEO</t>
        </is>
      </c>
      <c r="B980" s="144" t="inlineStr">
        <is>
          <t>*000031693431 NC</t>
        </is>
      </c>
      <c r="C980" s="144" t="inlineStr">
        <is>
          <t xml:space="preserve">J&amp;K </t>
        </is>
      </c>
      <c r="D980" s="144" t="n">
        <v>9104707109</v>
      </c>
      <c r="E980" s="144" t="inlineStr">
        <is>
          <t>FLAT</t>
        </is>
      </c>
      <c r="F980" s="144" t="inlineStr">
        <is>
          <t>VV1120 NC</t>
        </is>
      </c>
      <c r="G980" s="144" t="inlineStr">
        <is>
          <t>WHITE FREIGHTLINER</t>
        </is>
      </c>
      <c r="H980" s="144" t="n">
        <v>1221</v>
      </c>
      <c r="I980" s="144" t="inlineStr">
        <is>
          <t>COMMERCIAL</t>
        </is>
      </c>
    </row>
    <row r="981" ht="18" customHeight="1" s="7">
      <c r="A981" s="144" t="inlineStr">
        <is>
          <t>WISNESKI JONATHAN</t>
        </is>
      </c>
      <c r="B981" s="144" t="inlineStr">
        <is>
          <t>*000041034515 NC</t>
        </is>
      </c>
      <c r="C981" s="144" t="inlineStr">
        <is>
          <t>TRIPLE J</t>
        </is>
      </c>
      <c r="D981" s="144" t="n">
        <v>3156818636</v>
      </c>
      <c r="E981" s="144" t="inlineStr">
        <is>
          <t>FLAT</t>
        </is>
      </c>
      <c r="F981" s="144" t="inlineStr">
        <is>
          <t>ND8665 NC</t>
        </is>
      </c>
      <c r="G981" s="144" t="inlineStr">
        <is>
          <t>BLUE FREIGHTLINER</t>
        </is>
      </c>
      <c r="H981" s="144" t="n">
        <v>1221</v>
      </c>
      <c r="I981" s="144" t="inlineStr">
        <is>
          <t>COMMERCIAL</t>
        </is>
      </c>
    </row>
    <row r="982" ht="18" customHeight="1" s="7">
      <c r="A982" s="144" t="inlineStr">
        <is>
          <t>BRYAN RANDALL</t>
        </is>
      </c>
      <c r="B982" s="144" t="inlineStr">
        <is>
          <t>*054135402 GA</t>
        </is>
      </c>
      <c r="C982" s="144" t="inlineStr">
        <is>
          <t>EXPRESS DISPOSAL</t>
        </is>
      </c>
      <c r="D982" s="144" t="n">
        <v>2293524300</v>
      </c>
      <c r="E982" s="144" t="inlineStr">
        <is>
          <t>DUMP</t>
        </is>
      </c>
      <c r="F982" s="144" t="inlineStr">
        <is>
          <t>GHQ338 GA</t>
        </is>
      </c>
      <c r="G982" s="144" t="inlineStr">
        <is>
          <t>WHITE MACK</t>
        </is>
      </c>
      <c r="H982" s="144" t="n">
        <v>2200</v>
      </c>
      <c r="I982" s="144" t="inlineStr">
        <is>
          <t>COMMERCIAL</t>
        </is>
      </c>
    </row>
    <row r="983" ht="18" customHeight="1" s="7">
      <c r="A983" s="144" t="inlineStr">
        <is>
          <t>KURTALIC VEHBIJA</t>
        </is>
      </c>
      <c r="B983" s="144" t="inlineStr">
        <is>
          <t>33626969 PA</t>
        </is>
      </c>
      <c r="C983" s="144" t="inlineStr">
        <is>
          <t xml:space="preserve">EDO'S </t>
        </is>
      </c>
      <c r="D983" s="144" t="n">
        <v>4046423403</v>
      </c>
      <c r="E983" s="144" t="inlineStr">
        <is>
          <t>BOX</t>
        </is>
      </c>
      <c r="F983" s="144" t="inlineStr">
        <is>
          <t>AH39084 PA</t>
        </is>
      </c>
      <c r="G983" s="144" t="inlineStr">
        <is>
          <t>WHITE KW</t>
        </is>
      </c>
      <c r="H983" s="144" t="n">
        <v>1221</v>
      </c>
      <c r="I983" s="144" t="inlineStr">
        <is>
          <t>COMMERCIAL</t>
        </is>
      </c>
    </row>
    <row r="984" ht="18" customHeight="1" s="7">
      <c r="A984" s="144" t="inlineStr">
        <is>
          <t>COBIA LAMANT</t>
        </is>
      </c>
      <c r="B984" s="144" t="inlineStr">
        <is>
          <t>*000038659341 NC</t>
        </is>
      </c>
      <c r="C984" s="144" t="inlineStr">
        <is>
          <t>DONE DEAL BOYS</t>
        </is>
      </c>
      <c r="D984" s="144" t="n">
        <v>9102842687</v>
      </c>
      <c r="E984" s="144" t="inlineStr">
        <is>
          <t>FLAT</t>
        </is>
      </c>
      <c r="F984" s="144" t="inlineStr">
        <is>
          <t>MX2437 NC</t>
        </is>
      </c>
      <c r="G984" s="144" t="inlineStr">
        <is>
          <t>GREEN FREIGHTLINER</t>
        </is>
      </c>
      <c r="H984" s="144" t="n">
        <v>1221</v>
      </c>
      <c r="I984" s="144" t="inlineStr">
        <is>
          <t>COMMERCIAL</t>
        </is>
      </c>
    </row>
    <row r="985" ht="18" customHeight="1" s="7">
      <c r="A985" s="144" t="inlineStr">
        <is>
          <t>MURADOV MUSTAFA</t>
        </is>
      </c>
      <c r="B985" s="144" t="inlineStr">
        <is>
          <t>WDL16P44133B WA</t>
        </is>
      </c>
      <c r="C985" s="144" t="inlineStr">
        <is>
          <t xml:space="preserve">UFC  </t>
        </is>
      </c>
      <c r="D985" s="144" t="n">
        <v>2535536565</v>
      </c>
      <c r="E985" s="144" t="inlineStr">
        <is>
          <t>BOX</t>
        </is>
      </c>
      <c r="F985" s="144" t="inlineStr">
        <is>
          <t>RPO0359 WA</t>
        </is>
      </c>
      <c r="G985" s="144" t="inlineStr">
        <is>
          <t>BLUE VOLVO</t>
        </is>
      </c>
      <c r="H985" s="144" t="n">
        <v>1221</v>
      </c>
      <c r="I985" s="144" t="inlineStr">
        <is>
          <t>COMMERCIAL</t>
        </is>
      </c>
    </row>
    <row r="986" ht="18" customHeight="1" s="7">
      <c r="A986" s="144" t="inlineStr">
        <is>
          <t>DAWSON ERIC</t>
        </is>
      </c>
      <c r="B986" s="144" t="inlineStr">
        <is>
          <t>*053720063 GA</t>
        </is>
      </c>
      <c r="C986" s="144" t="inlineStr">
        <is>
          <t>FRITO LAYS</t>
        </is>
      </c>
      <c r="D986" s="144" t="n">
        <v>7065403671</v>
      </c>
      <c r="E986" s="144" t="inlineStr">
        <is>
          <t>BOX</t>
        </is>
      </c>
      <c r="F986" s="144" t="inlineStr">
        <is>
          <t>YEE313 GA</t>
        </is>
      </c>
      <c r="G986" s="144" t="inlineStr">
        <is>
          <t>WHITE FREIGHTLINER</t>
        </is>
      </c>
      <c r="H986" s="144" t="inlineStr">
        <is>
          <t>COMMISSARY</t>
        </is>
      </c>
      <c r="I986" s="144" t="inlineStr">
        <is>
          <t>COMMERCIAL</t>
        </is>
      </c>
    </row>
    <row r="987" ht="18" customHeight="1" s="7">
      <c r="A987" s="144" t="inlineStr">
        <is>
          <t>MURPHY CHARLES</t>
        </is>
      </c>
      <c r="B987" s="144" t="inlineStr">
        <is>
          <t>*000025098784 NC</t>
        </is>
      </c>
      <c r="C987" s="144" t="inlineStr">
        <is>
          <t xml:space="preserve">CD MURPHY </t>
        </is>
      </c>
      <c r="D987" s="144" t="n">
        <v>9107778497</v>
      </c>
      <c r="E987" s="144" t="inlineStr">
        <is>
          <t>FLAT</t>
        </is>
      </c>
      <c r="F987" s="144" t="inlineStr">
        <is>
          <t>ND9464 NC</t>
        </is>
      </c>
      <c r="G987" s="144" t="inlineStr">
        <is>
          <t>WHITE PETERBILT</t>
        </is>
      </c>
      <c r="H987" s="144" t="n">
        <v>1221</v>
      </c>
      <c r="I987" s="144" t="inlineStr">
        <is>
          <t>COMMERCIAL</t>
        </is>
      </c>
    </row>
    <row r="988" ht="18" customHeight="1" s="7">
      <c r="A988" s="144" t="inlineStr">
        <is>
          <t>ANDREZ DANIEL</t>
        </is>
      </c>
      <c r="B988" s="144" t="inlineStr">
        <is>
          <t>*000039342501 NC</t>
        </is>
      </c>
      <c r="C988" s="144" t="inlineStr">
        <is>
          <t>ANDRES TRUCKING</t>
        </is>
      </c>
      <c r="D988" s="144" t="n">
        <v>9103869721</v>
      </c>
      <c r="E988" s="144" t="inlineStr">
        <is>
          <t>FLAT</t>
        </is>
      </c>
      <c r="F988" s="144" t="inlineStr">
        <is>
          <t>VV6428 NC</t>
        </is>
      </c>
      <c r="G988" s="144" t="inlineStr">
        <is>
          <t>WHITE VOLVO</t>
        </is>
      </c>
      <c r="H988" s="144" t="n">
        <v>1221</v>
      </c>
      <c r="I988" s="144" t="inlineStr">
        <is>
          <t>COMMERCIAL</t>
        </is>
      </c>
    </row>
    <row r="989" ht="18" customHeight="1" s="7">
      <c r="A989" s="144" t="inlineStr">
        <is>
          <t>NICHOLAS FRAIZER</t>
        </is>
      </c>
      <c r="B989" s="144" t="inlineStr">
        <is>
          <t>*050727518 GA</t>
        </is>
      </c>
      <c r="C989" s="144" t="inlineStr">
        <is>
          <t>CAROLINA HAND</t>
        </is>
      </c>
      <c r="D989" s="144" t="n">
        <v>7703175864</v>
      </c>
      <c r="E989" s="144" t="inlineStr">
        <is>
          <t>VAN</t>
        </is>
      </c>
      <c r="F989" s="144" t="inlineStr">
        <is>
          <t>RYM4345 GA</t>
        </is>
      </c>
      <c r="G989" s="144" t="inlineStr">
        <is>
          <t>RED FORD</t>
        </is>
      </c>
      <c r="H989" s="144" t="n">
        <v>1600</v>
      </c>
      <c r="I989" s="144" t="inlineStr">
        <is>
          <t xml:space="preserve">CONTRACTOR </t>
        </is>
      </c>
    </row>
    <row r="990" ht="18" customHeight="1" s="7">
      <c r="A990" s="144" t="inlineStr">
        <is>
          <t>HAND DA'SHAWN</t>
        </is>
      </c>
      <c r="B990" s="144" t="inlineStr">
        <is>
          <t>*000038296041 NC</t>
        </is>
      </c>
      <c r="C990" s="144" t="inlineStr">
        <is>
          <t xml:space="preserve">C WALKER </t>
        </is>
      </c>
      <c r="D990" s="144" t="n">
        <v>9107891845</v>
      </c>
      <c r="E990" s="144" t="inlineStr">
        <is>
          <t>FLAT</t>
        </is>
      </c>
      <c r="F990" s="144" t="inlineStr">
        <is>
          <t>TD6794 NC</t>
        </is>
      </c>
      <c r="G990" s="144" t="inlineStr">
        <is>
          <t>RED WESTERN STAR</t>
        </is>
      </c>
      <c r="H990" s="144" t="n">
        <v>1221</v>
      </c>
      <c r="I990" s="144" t="inlineStr">
        <is>
          <t>COMMERCIAL</t>
        </is>
      </c>
    </row>
    <row r="991" ht="18" customHeight="1" s="7">
      <c r="A991" s="144" t="inlineStr">
        <is>
          <t>KEVIN DAVIS</t>
        </is>
      </c>
      <c r="B991" s="144" t="inlineStr">
        <is>
          <t>*052984543 GA</t>
        </is>
      </c>
      <c r="C991" s="144" t="inlineStr">
        <is>
          <t>MCA</t>
        </is>
      </c>
      <c r="D991" s="144" t="n">
        <v>8005968205</v>
      </c>
      <c r="E991" s="144" t="inlineStr">
        <is>
          <t>PU</t>
        </is>
      </c>
      <c r="F991" s="144" t="inlineStr">
        <is>
          <t>SFH9531 GA</t>
        </is>
      </c>
      <c r="G991" s="144" t="inlineStr">
        <is>
          <t>WHITE NISSAN</t>
        </is>
      </c>
      <c r="H991" s="144" t="n">
        <v>7530</v>
      </c>
      <c r="I991" s="144" t="inlineStr">
        <is>
          <t xml:space="preserve">CONTRACTOR </t>
        </is>
      </c>
    </row>
    <row r="992" ht="18" customHeight="1" s="7">
      <c r="A992" s="144" t="inlineStr">
        <is>
          <t>JAMES STONEKING</t>
        </is>
      </c>
      <c r="B992" s="144" t="inlineStr">
        <is>
          <t>A62718660 VA</t>
        </is>
      </c>
      <c r="C992" s="144" t="inlineStr">
        <is>
          <t>RCS</t>
        </is>
      </c>
      <c r="D992" s="144" t="n">
        <v>5406041497</v>
      </c>
      <c r="E992" s="144" t="inlineStr">
        <is>
          <t>FLAT</t>
        </is>
      </c>
      <c r="F992" s="144" t="inlineStr">
        <is>
          <t>43591 VA</t>
        </is>
      </c>
      <c r="G992" s="144" t="inlineStr">
        <is>
          <t>BLACK KW</t>
        </is>
      </c>
      <c r="H992" s="144" t="n">
        <v>1221</v>
      </c>
      <c r="I992" s="144" t="inlineStr">
        <is>
          <t>COMMERCIAL</t>
        </is>
      </c>
    </row>
    <row r="993" ht="18" customHeight="1" s="7">
      <c r="A993" s="144" t="inlineStr">
        <is>
          <t>DEREK GAINES</t>
        </is>
      </c>
      <c r="B993" s="144" t="inlineStr">
        <is>
          <t>*049706705 GA</t>
        </is>
      </c>
      <c r="C993" s="144" t="inlineStr">
        <is>
          <t>ABMERE</t>
        </is>
      </c>
      <c r="D993" s="144" t="n">
        <v>4079121029</v>
      </c>
      <c r="E993" s="144" t="inlineStr">
        <is>
          <t>BOX</t>
        </is>
      </c>
      <c r="F993" s="144" t="inlineStr">
        <is>
          <t>C697DE GA</t>
        </is>
      </c>
      <c r="G993" s="144" t="inlineStr">
        <is>
          <t>WHITE FREIGHTLINER</t>
        </is>
      </c>
      <c r="H993" s="144" t="n">
        <v>1221</v>
      </c>
      <c r="I993" s="144" t="inlineStr">
        <is>
          <t>COMMERCIAL</t>
        </is>
      </c>
    </row>
    <row r="994" ht="18" customHeight="1" s="7">
      <c r="A994" s="144" t="inlineStr">
        <is>
          <t>WADE HARPER</t>
        </is>
      </c>
      <c r="B994" s="144" t="inlineStr">
        <is>
          <t>*053653603 GA</t>
        </is>
      </c>
      <c r="C994" s="144" t="inlineStr">
        <is>
          <t>PPT</t>
        </is>
      </c>
      <c r="D994" s="144" t="n">
        <v>2299420278</v>
      </c>
      <c r="E994" s="144" t="inlineStr">
        <is>
          <t>FLAT</t>
        </is>
      </c>
      <c r="F994" s="144" t="inlineStr">
        <is>
          <t>YPT837 GA</t>
        </is>
      </c>
      <c r="G994" s="144" t="inlineStr">
        <is>
          <t>WHITE ISUZU</t>
        </is>
      </c>
      <c r="H994" s="144" t="n">
        <v>1221</v>
      </c>
      <c r="I994" s="144" t="inlineStr">
        <is>
          <t>COMMERCIAL</t>
        </is>
      </c>
    </row>
    <row r="995" ht="18" customHeight="1" s="7">
      <c r="A995" s="144" t="inlineStr">
        <is>
          <t>HAVIN BUTLER</t>
        </is>
      </c>
      <c r="B995" s="144" t="inlineStr">
        <is>
          <t>*058222976 GA</t>
        </is>
      </c>
      <c r="C995" s="144" t="inlineStr">
        <is>
          <t>CITY OF ALBANY</t>
        </is>
      </c>
      <c r="D995" s="144" t="n">
        <v>2293389195</v>
      </c>
      <c r="E995" s="144" t="inlineStr">
        <is>
          <t>PU</t>
        </is>
      </c>
      <c r="F995" s="144" t="inlineStr">
        <is>
          <t>GV3741D GA</t>
        </is>
      </c>
      <c r="G995" s="144" t="inlineStr">
        <is>
          <t>WHITE FORD</t>
        </is>
      </c>
      <c r="H995" s="144" t="n">
        <v>1221</v>
      </c>
      <c r="I995" s="144" t="inlineStr">
        <is>
          <t xml:space="preserve">CONTRACTOR </t>
        </is>
      </c>
    </row>
    <row r="996" ht="18" customHeight="1" s="7">
      <c r="A996" s="144" t="inlineStr">
        <is>
          <t>DESMOND SMITH</t>
        </is>
      </c>
      <c r="B996" s="144" t="inlineStr">
        <is>
          <t>*049057146 GA</t>
        </is>
      </c>
      <c r="C996" s="144" t="inlineStr">
        <is>
          <t>CITY OF ALBANY</t>
        </is>
      </c>
      <c r="D996" s="144" t="n">
        <v>2293280327</v>
      </c>
      <c r="E996" s="144" t="inlineStr">
        <is>
          <t>FLAT</t>
        </is>
      </c>
      <c r="F996" s="144" t="inlineStr">
        <is>
          <t>GV1277R GA</t>
        </is>
      </c>
      <c r="G996" s="144" t="inlineStr">
        <is>
          <t>WHITE FL</t>
        </is>
      </c>
      <c r="H996" s="144" t="n">
        <v>1221</v>
      </c>
      <c r="I996" s="144" t="inlineStr">
        <is>
          <t>COMMERCIAL</t>
        </is>
      </c>
    </row>
    <row r="997" ht="18" customHeight="1" s="7">
      <c r="A997" s="144" t="inlineStr">
        <is>
          <t>TIMMY GORDON</t>
        </is>
      </c>
      <c r="B997" s="144" t="inlineStr">
        <is>
          <t>*059463010 GA</t>
        </is>
      </c>
      <c r="C997" s="144" t="inlineStr">
        <is>
          <t>CITY OF ALBANY</t>
        </is>
      </c>
      <c r="D997" s="144" t="n">
        <v>2292557750</v>
      </c>
      <c r="E997" s="144" t="inlineStr">
        <is>
          <t>PU</t>
        </is>
      </c>
      <c r="F997" s="144" t="inlineStr">
        <is>
          <t>GV5759P GA</t>
        </is>
      </c>
      <c r="G997" s="144" t="inlineStr">
        <is>
          <t>WHITE FORD</t>
        </is>
      </c>
      <c r="H997" s="144" t="n">
        <v>1221</v>
      </c>
      <c r="I997" s="144" t="inlineStr">
        <is>
          <t>COMMERCIAL</t>
        </is>
      </c>
    </row>
    <row r="998" ht="18" customHeight="1" s="7">
      <c r="A998" s="144" t="inlineStr">
        <is>
          <t>JAMES WHITE</t>
        </is>
      </c>
      <c r="B998" s="144" t="inlineStr">
        <is>
          <t>*053335355 GA</t>
        </is>
      </c>
      <c r="C998" s="144" t="inlineStr">
        <is>
          <t>GLOBAL</t>
        </is>
      </c>
      <c r="D998" s="144" t="n">
        <v>5713199253</v>
      </c>
      <c r="E998" s="144" t="inlineStr">
        <is>
          <t>BOX</t>
        </is>
      </c>
      <c r="F998" s="144" t="inlineStr">
        <is>
          <t>YDF032 GA</t>
        </is>
      </c>
      <c r="G998" s="144" t="inlineStr">
        <is>
          <t>YELLOW INTER</t>
        </is>
      </c>
      <c r="H998" s="144" t="n">
        <v>1360</v>
      </c>
      <c r="I998" s="144" t="inlineStr">
        <is>
          <t>COMMERCIAL</t>
        </is>
      </c>
    </row>
    <row r="999" ht="18" customHeight="1" s="7">
      <c r="A999" s="144" t="inlineStr">
        <is>
          <t>DAMIAN ROGERS</t>
        </is>
      </c>
      <c r="B999" s="144" t="inlineStr">
        <is>
          <t>R610051025000 FL</t>
        </is>
      </c>
      <c r="C999" s="144" t="inlineStr">
        <is>
          <t>PAUL PATRICK</t>
        </is>
      </c>
      <c r="D999" s="144" t="n">
        <v>8506238047</v>
      </c>
      <c r="E999" s="144" t="inlineStr">
        <is>
          <t>CRANE</t>
        </is>
      </c>
      <c r="F999" s="144" t="inlineStr">
        <is>
          <t>P3872J FL</t>
        </is>
      </c>
      <c r="G999" s="144" t="inlineStr">
        <is>
          <t>WHITE FREIGHTLINER</t>
        </is>
      </c>
      <c r="H999" s="144" t="inlineStr">
        <is>
          <t>PUBLIC WORKS</t>
        </is>
      </c>
      <c r="I999" s="144" t="inlineStr">
        <is>
          <t>COMMERCIAL</t>
        </is>
      </c>
    </row>
    <row r="1000" ht="18" customHeight="1" s="7">
      <c r="A1000" s="144" t="inlineStr">
        <is>
          <t>RAI MANI</t>
        </is>
      </c>
      <c r="B1000" s="144" t="inlineStr">
        <is>
          <t>*000032280878 NC</t>
        </is>
      </c>
      <c r="C1000" s="144" t="inlineStr">
        <is>
          <t xml:space="preserve">MAXIMUM </t>
        </is>
      </c>
      <c r="D1000" s="144" t="n">
        <v>3368475905</v>
      </c>
      <c r="E1000" s="144" t="inlineStr">
        <is>
          <t>BOX</t>
        </is>
      </c>
      <c r="F1000" s="144" t="inlineStr">
        <is>
          <t>VV9199 NC</t>
        </is>
      </c>
      <c r="G1000" s="144" t="inlineStr">
        <is>
          <t>WHITE FREIGHTLINER</t>
        </is>
      </c>
      <c r="H1000" s="144" t="n">
        <v>1221</v>
      </c>
      <c r="I1000" s="144" t="inlineStr">
        <is>
          <t>COMMERCIAL</t>
        </is>
      </c>
    </row>
    <row r="1001" ht="18" customHeight="1" s="7">
      <c r="A1001" s="144" t="inlineStr">
        <is>
          <t>CEDRIC PULLINS</t>
        </is>
      </c>
      <c r="B1001" s="144" t="inlineStr">
        <is>
          <t>*052673186 GA</t>
        </is>
      </c>
      <c r="C1001" s="144" t="inlineStr">
        <is>
          <t>CITY OF ALBANY</t>
        </is>
      </c>
      <c r="D1001" s="144" t="n">
        <v>2293648932</v>
      </c>
      <c r="E1001" s="144" t="inlineStr">
        <is>
          <t>PU</t>
        </is>
      </c>
      <c r="F1001" s="144" t="inlineStr">
        <is>
          <t>GV0450A GA</t>
        </is>
      </c>
      <c r="G1001" s="144" t="inlineStr">
        <is>
          <t>WHITE FORD</t>
        </is>
      </c>
      <c r="H1001" s="144" t="n">
        <v>5500</v>
      </c>
      <c r="I1001" s="144" t="inlineStr">
        <is>
          <t xml:space="preserve">CONTRACTOR </t>
        </is>
      </c>
    </row>
    <row r="1002" ht="18" customHeight="1" s="7">
      <c r="A1002" s="144" t="inlineStr">
        <is>
          <t>JUNITOR SAINT</t>
        </is>
      </c>
      <c r="B1002" s="144" t="inlineStr">
        <is>
          <t>S531425822020</t>
        </is>
      </c>
      <c r="C1002" s="144" t="inlineStr">
        <is>
          <t>GOLDEN TOUCH</t>
        </is>
      </c>
      <c r="D1002" s="144" t="n">
        <v>7049134563</v>
      </c>
      <c r="E1002" s="144" t="inlineStr">
        <is>
          <t>BOX</t>
        </is>
      </c>
      <c r="F1002" s="144" t="inlineStr">
        <is>
          <t>3285829 IN</t>
        </is>
      </c>
      <c r="G1002" s="144" t="inlineStr">
        <is>
          <t>WHITE FREIGHTLINER</t>
        </is>
      </c>
      <c r="H1002" s="144" t="n">
        <v>1221</v>
      </c>
      <c r="I1002" s="144" t="inlineStr">
        <is>
          <t>COMMERCIAL</t>
        </is>
      </c>
    </row>
    <row r="1003" ht="18" customHeight="1" s="7">
      <c r="A1003" s="144" t="inlineStr">
        <is>
          <t>ANTHONY MURPHY</t>
        </is>
      </c>
      <c r="B1003" s="144" t="inlineStr">
        <is>
          <t>*056484399 GA</t>
        </is>
      </c>
      <c r="C1003" s="144" t="inlineStr">
        <is>
          <t>JOHNSON CONTROL</t>
        </is>
      </c>
      <c r="D1003" s="144" t="n">
        <v>2292375851</v>
      </c>
      <c r="E1003" s="144" t="inlineStr">
        <is>
          <t>VAN</t>
        </is>
      </c>
      <c r="F1003" s="144" t="inlineStr">
        <is>
          <t>CSV7031 GA</t>
        </is>
      </c>
      <c r="G1003" s="144" t="inlineStr">
        <is>
          <t>WHITE FORD</t>
        </is>
      </c>
      <c r="H1003" s="144" t="n">
        <v>7500</v>
      </c>
      <c r="I1003" s="144" t="inlineStr">
        <is>
          <t xml:space="preserve">CONTRACTOR </t>
        </is>
      </c>
    </row>
    <row r="1004" ht="18" customHeight="1" s="7">
      <c r="A1004" s="144" t="inlineStr">
        <is>
          <t>MICHAEL MCDONALD</t>
        </is>
      </c>
      <c r="B1004" s="144" t="inlineStr">
        <is>
          <t>*019445688 GA</t>
        </is>
      </c>
      <c r="C1004" s="144" t="inlineStr">
        <is>
          <t>WALTKINS BROTHERS</t>
        </is>
      </c>
      <c r="D1004" s="144" t="n">
        <v>2293858750</v>
      </c>
      <c r="E1004" s="144" t="inlineStr">
        <is>
          <t>BOX</t>
        </is>
      </c>
      <c r="F1004" s="144" t="inlineStr">
        <is>
          <t>C325EY GA</t>
        </is>
      </c>
      <c r="G1004" s="144" t="inlineStr">
        <is>
          <t>GREY FREIGHTLINER</t>
        </is>
      </c>
      <c r="H1004" s="144" t="n">
        <v>2211</v>
      </c>
      <c r="I1004" s="144" t="inlineStr">
        <is>
          <t>COMMERCIAL</t>
        </is>
      </c>
    </row>
    <row r="1005" ht="18" customHeight="1" s="7">
      <c r="A1005" s="144" t="inlineStr">
        <is>
          <t>CROITORI VITALIE</t>
        </is>
      </c>
      <c r="B1005" s="144" t="inlineStr">
        <is>
          <t>46713263 TX</t>
        </is>
      </c>
      <c r="C1005" s="144" t="inlineStr">
        <is>
          <t>LINK LOGISTICS</t>
        </is>
      </c>
      <c r="D1005" s="144" t="n">
        <v>4156103578</v>
      </c>
      <c r="E1005" s="144" t="inlineStr">
        <is>
          <t>BOX</t>
        </is>
      </c>
      <c r="F1005" s="144" t="inlineStr">
        <is>
          <t>TNG4338 TX</t>
        </is>
      </c>
      <c r="G1005" s="144" t="inlineStr">
        <is>
          <t>WHITE FORD</t>
        </is>
      </c>
      <c r="H1005" s="144" t="n">
        <v>1351</v>
      </c>
      <c r="I1005" s="144" t="inlineStr">
        <is>
          <t>COMMERCIAL</t>
        </is>
      </c>
    </row>
    <row r="1006" ht="18" customHeight="1" s="7">
      <c r="A1006" s="144" t="inlineStr">
        <is>
          <t>KEVIN MAGLOIRE</t>
        </is>
      </c>
      <c r="B1006" s="144" t="inlineStr">
        <is>
          <t>M246500870840 FL</t>
        </is>
      </c>
      <c r="C1006" s="144" t="inlineStr">
        <is>
          <t>MKARGO</t>
        </is>
      </c>
      <c r="D1006" s="144" t="n">
        <v>9548304246</v>
      </c>
      <c r="E1006" s="144" t="inlineStr">
        <is>
          <t>BOX</t>
        </is>
      </c>
      <c r="F1006" s="144" t="inlineStr">
        <is>
          <t>P1109867 IL</t>
        </is>
      </c>
      <c r="G1006" s="144" t="inlineStr">
        <is>
          <t>WHITE FREIGHTLINER</t>
        </is>
      </c>
      <c r="H1006" s="144" t="n">
        <v>1221</v>
      </c>
      <c r="I1006" s="144" t="inlineStr">
        <is>
          <t>COMMERCIAL</t>
        </is>
      </c>
    </row>
    <row r="1007" ht="18" customHeight="1" s="7">
      <c r="A1007" s="144" t="inlineStr">
        <is>
          <t>NEWGENT JOHN</t>
        </is>
      </c>
      <c r="B1007" s="144" t="inlineStr">
        <is>
          <t>*078762705 TN</t>
        </is>
      </c>
      <c r="C1007" s="144" t="inlineStr">
        <is>
          <t>LANDSTAR</t>
        </is>
      </c>
      <c r="D1007" s="144" t="n">
        <v>8658509009</v>
      </c>
      <c r="E1007" s="144" t="inlineStr">
        <is>
          <t>BOX</t>
        </is>
      </c>
      <c r="F1007" s="144" t="inlineStr">
        <is>
          <t>3236382 IN</t>
        </is>
      </c>
      <c r="G1007" s="144" t="inlineStr">
        <is>
          <t>WHITE FREIGHTLINER</t>
        </is>
      </c>
      <c r="H1007" s="144" t="n">
        <v>1221</v>
      </c>
      <c r="I1007" s="144" t="inlineStr">
        <is>
          <t>COMMERCIAL</t>
        </is>
      </c>
    </row>
    <row r="1008" ht="18" customHeight="1" s="7">
      <c r="A1008" s="144" t="inlineStr">
        <is>
          <t>LARRY OVERTON</t>
        </is>
      </c>
      <c r="B1008" s="144" t="inlineStr">
        <is>
          <t>6254505 AL</t>
        </is>
      </c>
      <c r="C1008" s="144" t="inlineStr">
        <is>
          <t>MIDNIGHT</t>
        </is>
      </c>
      <c r="D1008" s="144" t="n">
        <v>2055691495</v>
      </c>
      <c r="E1008" s="144" t="inlineStr">
        <is>
          <t>PU</t>
        </is>
      </c>
      <c r="F1008" s="144" t="inlineStr">
        <is>
          <t>61A9N AL</t>
        </is>
      </c>
      <c r="G1008" s="144" t="inlineStr">
        <is>
          <t>BLACK DODGE</t>
        </is>
      </c>
      <c r="H1008" s="144" t="n">
        <v>1221</v>
      </c>
      <c r="I1008" s="144" t="inlineStr">
        <is>
          <t xml:space="preserve">CONTRACTOR </t>
        </is>
      </c>
    </row>
    <row r="1009" ht="18" customHeight="1" s="7">
      <c r="A1009" s="144" t="inlineStr">
        <is>
          <t>TERRY CARSWELL</t>
        </is>
      </c>
      <c r="B1009" s="144" t="inlineStr">
        <is>
          <t>*055621716 GA</t>
        </is>
      </c>
      <c r="C1009" s="144" t="inlineStr">
        <is>
          <t>CARSWELL</t>
        </is>
      </c>
      <c r="D1009" s="144" t="n">
        <v>2293430924</v>
      </c>
      <c r="E1009" s="144" t="inlineStr">
        <is>
          <t>PU</t>
        </is>
      </c>
      <c r="F1009" s="144" t="inlineStr">
        <is>
          <t>RC58401 GA</t>
        </is>
      </c>
      <c r="G1009" s="144" t="inlineStr">
        <is>
          <t>BLACK FORD</t>
        </is>
      </c>
      <c r="H1009" s="144" t="n">
        <v>1210</v>
      </c>
      <c r="I1009" s="144" t="inlineStr">
        <is>
          <t xml:space="preserve">CONTRACTOR </t>
        </is>
      </c>
    </row>
    <row r="1010" ht="18" customHeight="1" s="7">
      <c r="A1010" s="144" t="inlineStr">
        <is>
          <t xml:space="preserve">POPE DENORISE </t>
        </is>
      </c>
      <c r="B1010" s="144" t="inlineStr">
        <is>
          <t>P100244753280 FL</t>
        </is>
      </c>
      <c r="C1010" s="144" t="inlineStr">
        <is>
          <t>MD</t>
        </is>
      </c>
      <c r="D1010" s="144" t="n">
        <v>7864734590</v>
      </c>
      <c r="E1010" s="144" t="inlineStr">
        <is>
          <t>BOX</t>
        </is>
      </c>
      <c r="F1010" s="144" t="inlineStr">
        <is>
          <t>P1130696 IL</t>
        </is>
      </c>
      <c r="G1010" s="144" t="inlineStr">
        <is>
          <t>GREY FL</t>
        </is>
      </c>
      <c r="H1010" s="144" t="n">
        <v>1221</v>
      </c>
      <c r="I1010" s="144" t="inlineStr">
        <is>
          <t>COMMERCIAL</t>
        </is>
      </c>
    </row>
    <row r="1011" ht="18" customHeight="1" s="7">
      <c r="A1011" s="144" t="inlineStr">
        <is>
          <t xml:space="preserve">DEXTER HOOKS </t>
        </is>
      </c>
      <c r="B1011" s="144" t="inlineStr">
        <is>
          <t>*055143083 GA</t>
        </is>
      </c>
      <c r="C1011" s="144" t="inlineStr">
        <is>
          <t>CONCRETE ENTERP</t>
        </is>
      </c>
      <c r="D1011" s="144" t="n">
        <v>229881904</v>
      </c>
      <c r="E1011" s="144" t="inlineStr">
        <is>
          <t>PUMP</t>
        </is>
      </c>
      <c r="F1011" s="144" t="inlineStr">
        <is>
          <t>GAI107 GA</t>
        </is>
      </c>
      <c r="G1011" s="144" t="inlineStr">
        <is>
          <t>GREEN MACK</t>
        </is>
      </c>
      <c r="H1011" s="144" t="n">
        <v>7450</v>
      </c>
      <c r="I1011" s="144" t="inlineStr">
        <is>
          <t>COMMERCIAL</t>
        </is>
      </c>
    </row>
    <row r="1012" ht="18" customHeight="1" s="7">
      <c r="A1012" s="144" t="inlineStr">
        <is>
          <t>JASON HINSON</t>
        </is>
      </c>
      <c r="B1012" s="144" t="inlineStr">
        <is>
          <t>10851369 AL</t>
        </is>
      </c>
      <c r="C1012" s="144" t="inlineStr">
        <is>
          <t>HINSON TRANS</t>
        </is>
      </c>
      <c r="D1012" s="144" t="n">
        <v>9366712601</v>
      </c>
      <c r="E1012" s="144" t="inlineStr">
        <is>
          <t>PU</t>
        </is>
      </c>
      <c r="F1012" s="144" t="inlineStr">
        <is>
          <t>1213111 AL</t>
        </is>
      </c>
      <c r="G1012" s="144" t="inlineStr">
        <is>
          <t>WHITE DODGE</t>
        </is>
      </c>
      <c r="H1012" s="144" t="n">
        <v>1221</v>
      </c>
      <c r="I1012" s="144" t="inlineStr">
        <is>
          <t xml:space="preserve">CONTRACTOR </t>
        </is>
      </c>
    </row>
    <row r="1013" ht="18" customHeight="1" s="7">
      <c r="A1013" s="144" t="inlineStr">
        <is>
          <t>BROWN AARON</t>
        </is>
      </c>
      <c r="B1013" s="144" t="inlineStr">
        <is>
          <t>*008083206 SC</t>
        </is>
      </c>
      <c r="C1013" s="144" t="inlineStr">
        <is>
          <t>BANKS AND SONS</t>
        </is>
      </c>
      <c r="D1013" s="144" t="n">
        <v>9192470183</v>
      </c>
      <c r="E1013" s="144" t="inlineStr">
        <is>
          <t>FLAT</t>
        </is>
      </c>
      <c r="F1013" s="144" t="inlineStr">
        <is>
          <t>MW7117 NC</t>
        </is>
      </c>
      <c r="G1013" s="144" t="inlineStr">
        <is>
          <t>RED KENWORTH</t>
        </is>
      </c>
      <c r="H1013" s="144" t="n">
        <v>1221</v>
      </c>
      <c r="I1013" s="144" t="inlineStr">
        <is>
          <t>COMMERCIAL</t>
        </is>
      </c>
    </row>
    <row r="1014" ht="18" customHeight="1" s="7">
      <c r="A1014" s="144" t="inlineStr">
        <is>
          <t>RALPH MURRAY</t>
        </is>
      </c>
      <c r="B1014" s="144" t="inlineStr">
        <is>
          <t>M600725610530 FL</t>
        </is>
      </c>
      <c r="C1014" s="144" t="inlineStr">
        <is>
          <t>CORAL LOGISTICS</t>
        </is>
      </c>
      <c r="D1014" s="144" t="n">
        <v>3862085366</v>
      </c>
      <c r="E1014" s="144" t="inlineStr">
        <is>
          <t>PU</t>
        </is>
      </c>
      <c r="F1014" s="144" t="inlineStr">
        <is>
          <t>DD77CU FL</t>
        </is>
      </c>
      <c r="G1014" s="144" t="inlineStr">
        <is>
          <t>BLACK CHEVY</t>
        </is>
      </c>
      <c r="H1014" s="144" t="n">
        <v>5400</v>
      </c>
      <c r="I1014" s="144" t="inlineStr">
        <is>
          <t xml:space="preserve">CONTRACTOR </t>
        </is>
      </c>
    </row>
    <row r="1015" ht="18" customHeight="1" s="7">
      <c r="A1015" s="144" t="inlineStr">
        <is>
          <t>VISAR SYLEJMANI</t>
        </is>
      </c>
      <c r="B1015" s="144" t="inlineStr">
        <is>
          <t xml:space="preserve">S10073437 KY </t>
        </is>
      </c>
      <c r="C1015" s="144" t="inlineStr">
        <is>
          <t>EAST B&amp;H</t>
        </is>
      </c>
      <c r="D1015" s="144" t="n">
        <v>5023450791</v>
      </c>
      <c r="E1015" s="144" t="inlineStr">
        <is>
          <t>BOX</t>
        </is>
      </c>
      <c r="F1015" s="144" t="inlineStr">
        <is>
          <t>A91686 KY</t>
        </is>
      </c>
      <c r="G1015" s="144" t="inlineStr">
        <is>
          <t>BLUE VOLVO</t>
        </is>
      </c>
      <c r="H1015" s="144" t="n">
        <v>1221</v>
      </c>
      <c r="I1015" s="144" t="inlineStr">
        <is>
          <t>COMMERCIAL</t>
        </is>
      </c>
    </row>
    <row r="1016" ht="18" customHeight="1" s="7">
      <c r="A1016" s="144" t="inlineStr">
        <is>
          <t>ANDY TORRES</t>
        </is>
      </c>
      <c r="B1016" s="144" t="inlineStr">
        <is>
          <t>T66480438607832</t>
        </is>
      </c>
      <c r="C1016" s="144" t="inlineStr">
        <is>
          <t>COVAN</t>
        </is>
      </c>
      <c r="D1016" s="144" t="n">
        <v>9732895275</v>
      </c>
      <c r="E1016" s="144" t="inlineStr">
        <is>
          <t>BOX</t>
        </is>
      </c>
      <c r="F1016" s="144" t="inlineStr">
        <is>
          <t>1176167 AL</t>
        </is>
      </c>
      <c r="G1016" s="144" t="inlineStr">
        <is>
          <t>BLUE INTERNATIONAL</t>
        </is>
      </c>
      <c r="H1016" s="144" t="inlineStr">
        <is>
          <t>HOUSING</t>
        </is>
      </c>
      <c r="I1016" s="144" t="inlineStr">
        <is>
          <t>COMMERCIAL</t>
        </is>
      </c>
    </row>
    <row r="1017" ht="18" customHeight="1" s="7">
      <c r="A1017" s="144" t="inlineStr">
        <is>
          <t xml:space="preserve">MICHAEL FORD </t>
        </is>
      </c>
      <c r="B1017" s="144" t="inlineStr">
        <is>
          <t>F93352945 KY</t>
        </is>
      </c>
      <c r="C1017" s="144" t="inlineStr">
        <is>
          <t>KC CARRIERS</t>
        </is>
      </c>
      <c r="D1017" s="144" t="n">
        <v>5022221603</v>
      </c>
      <c r="E1017" s="144" t="inlineStr">
        <is>
          <t>BOX</t>
        </is>
      </c>
      <c r="F1017" s="144" t="inlineStr">
        <is>
          <t>008961A KY</t>
        </is>
      </c>
      <c r="G1017" s="144" t="inlineStr">
        <is>
          <t>WHITE INTERNATIONAL</t>
        </is>
      </c>
      <c r="H1017" s="144" t="n">
        <v>1221</v>
      </c>
      <c r="I1017" s="144" t="inlineStr">
        <is>
          <t>COMMERCIAL</t>
        </is>
      </c>
    </row>
    <row r="1018" ht="18" customHeight="1" s="7">
      <c r="A1018" s="144" t="inlineStr">
        <is>
          <t>WILLIE SMITH</t>
        </is>
      </c>
      <c r="B1018" s="144" t="inlineStr">
        <is>
          <t>*055769863 GA</t>
        </is>
      </c>
      <c r="C1018" s="144" t="inlineStr">
        <is>
          <t>BOSWELL OIL</t>
        </is>
      </c>
      <c r="D1018" s="144" t="n">
        <v>2297333362</v>
      </c>
      <c r="E1018" s="144" t="inlineStr">
        <is>
          <t>TANK</t>
        </is>
      </c>
      <c r="F1018" s="144" t="inlineStr">
        <is>
          <t>P715CL GA</t>
        </is>
      </c>
      <c r="G1018" s="144" t="inlineStr">
        <is>
          <t>WHITE PETERBILT</t>
        </is>
      </c>
      <c r="H1018" s="144" t="n">
        <v>5400</v>
      </c>
      <c r="I1018" s="144" t="inlineStr">
        <is>
          <t>COMMERCIAL</t>
        </is>
      </c>
    </row>
    <row r="1019" ht="18" customHeight="1" s="7">
      <c r="A1019" s="144" t="inlineStr">
        <is>
          <t>BRADRICK SMITH</t>
        </is>
      </c>
      <c r="B1019" s="144" t="inlineStr">
        <is>
          <t>C4345689 CA</t>
        </is>
      </c>
      <c r="C1019" s="144" t="inlineStr">
        <is>
          <t>BILLY &amp; PIGGY TRANS</t>
        </is>
      </c>
      <c r="D1019" s="144" t="n">
        <v>7604751866</v>
      </c>
      <c r="E1019" s="144" t="inlineStr">
        <is>
          <t>BOX</t>
        </is>
      </c>
      <c r="F1019" s="144" t="inlineStr">
        <is>
          <t>ZP25622 CA</t>
        </is>
      </c>
      <c r="G1019" s="144" t="inlineStr">
        <is>
          <t>RED FREIGHTLINER</t>
        </is>
      </c>
      <c r="H1019" s="144" t="n">
        <v>1221</v>
      </c>
      <c r="I1019" s="144" t="inlineStr">
        <is>
          <t>COMMERCIAL</t>
        </is>
      </c>
    </row>
    <row r="1020" ht="18" customHeight="1" s="7">
      <c r="A1020" s="144" t="inlineStr">
        <is>
          <t>QUINCY HAYES</t>
        </is>
      </c>
      <c r="B1020" s="144" t="inlineStr">
        <is>
          <t>*056421042 GA</t>
        </is>
      </c>
      <c r="C1020" s="144" t="inlineStr">
        <is>
          <t>A1 BRANTLEY</t>
        </is>
      </c>
      <c r="D1020" s="144" t="n">
        <v>2294398123</v>
      </c>
      <c r="E1020" s="144" t="inlineStr">
        <is>
          <t>TANK</t>
        </is>
      </c>
      <c r="F1020" s="144" t="inlineStr">
        <is>
          <t>YBZ798 GA</t>
        </is>
      </c>
      <c r="G1020" s="144" t="inlineStr">
        <is>
          <t>WHITE FREIGHTLINER</t>
        </is>
      </c>
      <c r="H1020" s="144" t="inlineStr">
        <is>
          <t>BASEWIDE</t>
        </is>
      </c>
      <c r="I1020" s="144" t="inlineStr">
        <is>
          <t>COMMERCIAL</t>
        </is>
      </c>
    </row>
    <row r="1021" ht="18" customHeight="1" s="7">
      <c r="A1021" s="144" t="inlineStr">
        <is>
          <t>ZEDDY MILLER</t>
        </is>
      </c>
      <c r="B1021" s="144" t="inlineStr">
        <is>
          <t>*054952942 GA</t>
        </is>
      </c>
      <c r="C1021" s="144" t="inlineStr">
        <is>
          <t>A1 BRANTLEY</t>
        </is>
      </c>
      <c r="D1021" s="144" t="n">
        <v>2294398123</v>
      </c>
      <c r="E1021" s="144" t="inlineStr">
        <is>
          <t>PU</t>
        </is>
      </c>
      <c r="F1021" s="144" t="inlineStr">
        <is>
          <t>TDD2138 GA</t>
        </is>
      </c>
      <c r="G1021" s="144" t="inlineStr">
        <is>
          <t>GREY CHEVY</t>
        </is>
      </c>
      <c r="H1021" s="144" t="inlineStr">
        <is>
          <t>BASEWIDE</t>
        </is>
      </c>
      <c r="I1021" s="144" t="inlineStr">
        <is>
          <t>COMMERCIAL</t>
        </is>
      </c>
    </row>
    <row r="1022" ht="18" customHeight="1" s="7">
      <c r="A1022" s="144" t="inlineStr">
        <is>
          <t>JASON CALDWELL</t>
        </is>
      </c>
      <c r="B1022" s="144" t="inlineStr">
        <is>
          <t>*060487562 GA</t>
        </is>
      </c>
      <c r="C1022" s="144" t="inlineStr">
        <is>
          <t>CUMMINS SALES</t>
        </is>
      </c>
      <c r="D1022" s="144" t="n">
        <v>2298691671</v>
      </c>
      <c r="E1022" s="144" t="inlineStr">
        <is>
          <t>PU</t>
        </is>
      </c>
      <c r="F1022" s="144" t="inlineStr">
        <is>
          <t>XJL493 GA</t>
        </is>
      </c>
      <c r="G1022" s="144" t="inlineStr">
        <is>
          <t>WHITE DODGE</t>
        </is>
      </c>
      <c r="H1022" s="144" t="inlineStr">
        <is>
          <t>BASEWIDE</t>
        </is>
      </c>
      <c r="I1022" s="144" t="inlineStr">
        <is>
          <t>CONTRACTOR</t>
        </is>
      </c>
    </row>
    <row r="1023" ht="18" customHeight="1" s="7">
      <c r="A1023" s="144" t="inlineStr">
        <is>
          <t>COREY STEWART</t>
        </is>
      </c>
      <c r="B1023" s="144" t="inlineStr">
        <is>
          <t>*071606015 GA</t>
        </is>
      </c>
      <c r="C1023" s="144" t="inlineStr">
        <is>
          <t>ELEVATORS</t>
        </is>
      </c>
      <c r="D1023" s="144" t="n">
        <v>2294490516</v>
      </c>
      <c r="E1023" s="144" t="inlineStr">
        <is>
          <t>PU</t>
        </is>
      </c>
      <c r="F1023" s="144" t="inlineStr">
        <is>
          <t>CRS1861 GA</t>
        </is>
      </c>
      <c r="G1023" s="144" t="inlineStr">
        <is>
          <t xml:space="preserve">WHITE CHEVY </t>
        </is>
      </c>
      <c r="H1023" s="144" t="n">
        <v>3700</v>
      </c>
      <c r="I1023" s="144" t="inlineStr">
        <is>
          <t>COMMERCIAL</t>
        </is>
      </c>
    </row>
    <row r="1024" ht="18" customHeight="1" s="7">
      <c r="A1024" s="144" t="inlineStr">
        <is>
          <t>STEPHEN BROWN</t>
        </is>
      </c>
      <c r="B1024" s="144" t="inlineStr">
        <is>
          <t>370321378 NY</t>
        </is>
      </c>
      <c r="C1024" s="144" t="inlineStr">
        <is>
          <t>YMRA LOGISTICS</t>
        </is>
      </c>
      <c r="D1024" s="144" t="n">
        <v>5165922597</v>
      </c>
      <c r="E1024" s="144" t="inlineStr">
        <is>
          <t>BOX</t>
        </is>
      </c>
      <c r="F1024" s="144" t="inlineStr">
        <is>
          <t>15867NF NY</t>
        </is>
      </c>
      <c r="G1024" s="144" t="inlineStr">
        <is>
          <t>WHITE HINO</t>
        </is>
      </c>
      <c r="H1024" s="144" t="n">
        <v>2225</v>
      </c>
      <c r="I1024" s="144" t="inlineStr">
        <is>
          <t>COMMERCIAL</t>
        </is>
      </c>
    </row>
    <row r="1025" ht="18" customHeight="1" s="7">
      <c r="A1025" s="144" t="inlineStr">
        <is>
          <t>KATURI SMITH</t>
        </is>
      </c>
      <c r="B1025" s="144" t="inlineStr">
        <is>
          <t>*051262364 GA</t>
        </is>
      </c>
      <c r="C1025" s="144" t="inlineStr">
        <is>
          <t>CITY OF ALBANY</t>
        </is>
      </c>
      <c r="D1025" s="144" t="n">
        <v>2298945084</v>
      </c>
      <c r="E1025" s="144" t="inlineStr">
        <is>
          <t>DUMP</t>
        </is>
      </c>
      <c r="F1025" s="144" t="inlineStr">
        <is>
          <t>GV2548Q GA</t>
        </is>
      </c>
      <c r="G1025" s="144" t="inlineStr">
        <is>
          <t>WHITE KENWORTH</t>
        </is>
      </c>
      <c r="H1025" s="144" t="inlineStr">
        <is>
          <t>BASEWIDE</t>
        </is>
      </c>
      <c r="I1025" s="144" t="inlineStr">
        <is>
          <t>COMMERCIAL</t>
        </is>
      </c>
    </row>
    <row r="1026" ht="18" customHeight="1" s="7">
      <c r="A1026" s="144" t="inlineStr">
        <is>
          <t>BUCK MURRAH</t>
        </is>
      </c>
      <c r="B1026" s="144" t="inlineStr">
        <is>
          <t>*09441568 TX</t>
        </is>
      </c>
      <c r="C1026" s="144" t="inlineStr">
        <is>
          <t>YK EXPRESS</t>
        </is>
      </c>
      <c r="D1026" s="144" t="n">
        <v>9565268650</v>
      </c>
      <c r="E1026" s="144" t="inlineStr">
        <is>
          <t>FLAT</t>
        </is>
      </c>
      <c r="F1026" s="144" t="inlineStr">
        <is>
          <t>XE812S FL</t>
        </is>
      </c>
      <c r="G1026" s="144" t="inlineStr">
        <is>
          <t>BLACK FREIGHTLINER</t>
        </is>
      </c>
      <c r="H1026" s="144" t="n">
        <v>1221</v>
      </c>
      <c r="I1026" s="144" t="inlineStr">
        <is>
          <t>COMMERCIAL</t>
        </is>
      </c>
    </row>
    <row r="1027" ht="18" customHeight="1" s="7">
      <c r="A1027" s="144" t="inlineStr">
        <is>
          <t>POZO YANDY</t>
        </is>
      </c>
      <c r="B1027" s="144" t="inlineStr">
        <is>
          <t>154355499 TN</t>
        </is>
      </c>
      <c r="C1027" s="144" t="inlineStr">
        <is>
          <t>LINK LOGISTICS</t>
        </is>
      </c>
      <c r="D1027" s="144" t="n">
        <v>3473990136</v>
      </c>
      <c r="E1027" s="144" t="inlineStr">
        <is>
          <t>VAN</t>
        </is>
      </c>
      <c r="F1027" s="144" t="inlineStr">
        <is>
          <t>0UF648 TN</t>
        </is>
      </c>
      <c r="G1027" s="144" t="inlineStr">
        <is>
          <t>BLUE DODGE</t>
        </is>
      </c>
      <c r="H1027" s="144" t="n">
        <v>1221</v>
      </c>
      <c r="I1027" s="144" t="inlineStr">
        <is>
          <t xml:space="preserve">CONTRACTOR </t>
        </is>
      </c>
    </row>
    <row r="1028" ht="18" customHeight="1" s="7">
      <c r="A1028" s="144" t="inlineStr">
        <is>
          <t>QUVANTAY BURDETTE</t>
        </is>
      </c>
      <c r="B1028" s="144" t="inlineStr">
        <is>
          <t>*058253491 GA</t>
        </is>
      </c>
      <c r="C1028" s="144" t="inlineStr">
        <is>
          <t>Q&amp;B</t>
        </is>
      </c>
      <c r="D1028" s="144" t="n">
        <v>2294063401</v>
      </c>
      <c r="E1028" s="144" t="inlineStr">
        <is>
          <t>BOX</t>
        </is>
      </c>
      <c r="F1028" s="144" t="inlineStr">
        <is>
          <t>C320ES GA</t>
        </is>
      </c>
      <c r="G1028" s="144" t="inlineStr">
        <is>
          <t>WHITE INTERNATIONAL</t>
        </is>
      </c>
      <c r="H1028" s="144" t="n">
        <v>1221</v>
      </c>
      <c r="I1028" s="144" t="inlineStr">
        <is>
          <t>COMMERCIAL</t>
        </is>
      </c>
    </row>
    <row r="1029" ht="18" customHeight="1" s="7">
      <c r="A1029" s="144" t="inlineStr">
        <is>
          <t>ANDREW KEGLER</t>
        </is>
      </c>
      <c r="B1029" s="144" t="inlineStr">
        <is>
          <t>*056402071 GA</t>
        </is>
      </c>
      <c r="C1029" s="144" t="inlineStr">
        <is>
          <t>GATEWAY CONT</t>
        </is>
      </c>
      <c r="D1029" s="144" t="n">
        <v>2293430093</v>
      </c>
      <c r="E1029" s="144" t="inlineStr">
        <is>
          <t>FLAT</t>
        </is>
      </c>
      <c r="F1029" s="144" t="inlineStr">
        <is>
          <t>3787876 IN</t>
        </is>
      </c>
      <c r="G1029" s="144" t="inlineStr">
        <is>
          <t>WHITE FREIGHTLINER</t>
        </is>
      </c>
      <c r="H1029" s="144" t="n">
        <v>5300</v>
      </c>
      <c r="I1029" s="144" t="inlineStr">
        <is>
          <t>COMMERCIAL</t>
        </is>
      </c>
    </row>
    <row r="1030" ht="18" customHeight="1" s="7">
      <c r="A1030" s="144" t="inlineStr">
        <is>
          <t>DUSTIN KNIGHT</t>
        </is>
      </c>
      <c r="B1030" s="144" t="inlineStr">
        <is>
          <t>*049432411 GA</t>
        </is>
      </c>
      <c r="C1030" s="144" t="inlineStr">
        <is>
          <t>DONKEY LOGISTICS</t>
        </is>
      </c>
      <c r="D1030" s="144" t="n">
        <v>2293090511</v>
      </c>
      <c r="E1030" s="144" t="inlineStr">
        <is>
          <t>PU</t>
        </is>
      </c>
      <c r="F1030" s="144" t="inlineStr">
        <is>
          <t>C151ER GA</t>
        </is>
      </c>
      <c r="G1030" s="144" t="inlineStr">
        <is>
          <t>BLACK DODGE</t>
        </is>
      </c>
      <c r="H1030" s="144" t="n">
        <v>1221</v>
      </c>
      <c r="I1030" s="144" t="inlineStr">
        <is>
          <t xml:space="preserve">CONTRACTOR </t>
        </is>
      </c>
    </row>
    <row r="1031" ht="18" customHeight="1" s="7">
      <c r="A1031" s="144" t="inlineStr">
        <is>
          <t>ROBERT BAILEY</t>
        </is>
      </c>
      <c r="B1031" s="144" t="inlineStr">
        <is>
          <t>101595978 TN</t>
        </is>
      </c>
      <c r="C1031" s="144" t="inlineStr">
        <is>
          <t>AAA EXPRESS</t>
        </is>
      </c>
      <c r="D1031" s="144" t="n">
        <v>6155613100</v>
      </c>
      <c r="E1031" s="144" t="inlineStr">
        <is>
          <t>BOX</t>
        </is>
      </c>
      <c r="F1031" s="144" t="inlineStr">
        <is>
          <t>A90976 KY</t>
        </is>
      </c>
      <c r="G1031" s="144" t="inlineStr">
        <is>
          <t>BLACK VOLVO</t>
        </is>
      </c>
      <c r="H1031" s="144" t="n">
        <v>1221</v>
      </c>
      <c r="I1031" s="144" t="inlineStr">
        <is>
          <t>COMMERCIAL</t>
        </is>
      </c>
    </row>
    <row r="1032" ht="18" customHeight="1" s="7">
      <c r="A1032" s="144" t="inlineStr">
        <is>
          <t xml:space="preserve">ANTHONY FOREMAN </t>
        </is>
      </c>
      <c r="B1032" s="144" t="inlineStr">
        <is>
          <t>6910243 AL</t>
        </is>
      </c>
      <c r="C1032" s="144" t="inlineStr">
        <is>
          <t xml:space="preserve">WEST </t>
        </is>
      </c>
      <c r="D1032" s="144" t="n">
        <v>3347448617</v>
      </c>
      <c r="E1032" s="144" t="inlineStr">
        <is>
          <t>BOX</t>
        </is>
      </c>
      <c r="F1032" s="144" t="inlineStr">
        <is>
          <t>3690508 IN</t>
        </is>
      </c>
      <c r="G1032" s="144" t="inlineStr">
        <is>
          <t>BLUE FREIGHTLINER</t>
        </is>
      </c>
      <c r="H1032" s="144" t="n">
        <v>1221</v>
      </c>
      <c r="I1032" s="144" t="inlineStr">
        <is>
          <t>COMMERCIAL</t>
        </is>
      </c>
    </row>
    <row r="1033" ht="18" customHeight="1" s="7">
      <c r="A1033" s="144" t="inlineStr">
        <is>
          <t>LAMAR GRIFFIN</t>
        </is>
      </c>
      <c r="B1033" s="144" t="inlineStr">
        <is>
          <t>*058004593 GA</t>
        </is>
      </c>
      <c r="C1033" s="144" t="inlineStr">
        <is>
          <t>AKI LOGISTICS</t>
        </is>
      </c>
      <c r="D1033" s="144" t="n">
        <v>9453087110</v>
      </c>
      <c r="E1033" s="144" t="inlineStr">
        <is>
          <t>BOX</t>
        </is>
      </c>
      <c r="F1033" s="144" t="inlineStr">
        <is>
          <t>P1276089 IL</t>
        </is>
      </c>
      <c r="G1033" s="144" t="inlineStr">
        <is>
          <t>RED FREIGHTLINER</t>
        </is>
      </c>
      <c r="H1033" s="144" t="n">
        <v>1221</v>
      </c>
      <c r="I1033" s="144" t="inlineStr">
        <is>
          <t>COMMERCIAL</t>
        </is>
      </c>
    </row>
    <row r="1034" ht="18" customHeight="1" s="7">
      <c r="A1034" s="144" t="inlineStr">
        <is>
          <t>ALBERT SMITH</t>
        </is>
      </c>
      <c r="B1034" s="144" t="inlineStr">
        <is>
          <t>*037665948 GA</t>
        </is>
      </c>
      <c r="C1034" s="144" t="inlineStr">
        <is>
          <t>SMITH TRANSPORTATION</t>
        </is>
      </c>
      <c r="D1034" s="144" t="n">
        <v>7065876299</v>
      </c>
      <c r="E1034" s="144" t="inlineStr">
        <is>
          <t>BOX</t>
        </is>
      </c>
      <c r="F1034" s="144" t="inlineStr">
        <is>
          <t>C370EQ GA</t>
        </is>
      </c>
      <c r="G1034" s="144" t="inlineStr">
        <is>
          <t>WHITE FREIGHTLINER</t>
        </is>
      </c>
      <c r="H1034" s="144" t="n">
        <v>1221</v>
      </c>
      <c r="I1034" s="144" t="inlineStr">
        <is>
          <t>COMMERCIAL</t>
        </is>
      </c>
    </row>
    <row r="1035" ht="18" customHeight="1" s="7">
      <c r="A1035" s="144" t="inlineStr">
        <is>
          <t>JAVON REGISTER</t>
        </is>
      </c>
      <c r="B1035" s="144" t="inlineStr">
        <is>
          <t>899906267 GA</t>
        </is>
      </c>
      <c r="C1035" s="144" t="inlineStr">
        <is>
          <t xml:space="preserve">DHL </t>
        </is>
      </c>
      <c r="D1035" s="144" t="n">
        <v>2292203342</v>
      </c>
      <c r="E1035" s="144" t="inlineStr">
        <is>
          <t>VAN</t>
        </is>
      </c>
      <c r="F1035" s="144" t="inlineStr">
        <is>
          <t>26ABGK FL</t>
        </is>
      </c>
      <c r="G1035" s="144" t="inlineStr">
        <is>
          <t>YELLOW FORD</t>
        </is>
      </c>
      <c r="H1035" s="144" t="n">
        <v>1221</v>
      </c>
      <c r="I1035" s="144" t="inlineStr">
        <is>
          <t xml:space="preserve">CONTRACTOR </t>
        </is>
      </c>
    </row>
    <row r="1036" ht="18" customHeight="1" s="7">
      <c r="A1036" s="144" t="inlineStr">
        <is>
          <t>SAMUEL EMHATSION</t>
        </is>
      </c>
      <c r="B1036" s="144" t="inlineStr">
        <is>
          <t>*000046235906 NC</t>
        </is>
      </c>
      <c r="C1036" s="144" t="inlineStr">
        <is>
          <t>EZ TRANSPORT</t>
        </is>
      </c>
      <c r="D1036" s="144" t="n">
        <v>9015707474</v>
      </c>
      <c r="E1036" s="144" t="inlineStr">
        <is>
          <t>BOX</t>
        </is>
      </c>
      <c r="F1036" s="144" t="inlineStr">
        <is>
          <t>NM6070 NC</t>
        </is>
      </c>
      <c r="G1036" s="144" t="inlineStr">
        <is>
          <t>ORANGE VOLVO</t>
        </is>
      </c>
      <c r="H1036" s="144" t="n">
        <v>1221</v>
      </c>
      <c r="I1036" s="144" t="inlineStr">
        <is>
          <t>COMMERCIAL</t>
        </is>
      </c>
    </row>
    <row r="1037" ht="18" customHeight="1" s="7">
      <c r="A1037" s="144" t="inlineStr">
        <is>
          <t>SERIGNE GOUMBALA</t>
        </is>
      </c>
      <c r="B1037" s="144" t="inlineStr">
        <is>
          <t>*055216303 GA</t>
        </is>
      </c>
      <c r="C1037" s="144" t="inlineStr">
        <is>
          <t>MG GROUP</t>
        </is>
      </c>
      <c r="D1037" s="144" t="n">
        <v>4049185495</v>
      </c>
      <c r="E1037" s="144" t="inlineStr">
        <is>
          <t>BOX</t>
        </is>
      </c>
      <c r="F1037" s="144" t="inlineStr">
        <is>
          <t>P751648 SC</t>
        </is>
      </c>
      <c r="G1037" s="144" t="inlineStr">
        <is>
          <t>SILVER FREIGHTLINER</t>
        </is>
      </c>
      <c r="H1037" s="144" t="n">
        <v>1221</v>
      </c>
      <c r="I1037" s="144" t="inlineStr">
        <is>
          <t>COMMERCIAL</t>
        </is>
      </c>
    </row>
    <row r="1038" ht="18" customHeight="1" s="7">
      <c r="A1038" s="144" t="inlineStr">
        <is>
          <t>JAMARIO HUNTER</t>
        </is>
      </c>
      <c r="B1038" s="144" t="inlineStr">
        <is>
          <t>*053259825 GA</t>
        </is>
      </c>
      <c r="C1038" s="144" t="inlineStr">
        <is>
          <t>ESTES</t>
        </is>
      </c>
      <c r="D1038" s="144" t="n">
        <v>2292887933</v>
      </c>
      <c r="E1038" s="144" t="inlineStr">
        <is>
          <t>BOX</t>
        </is>
      </c>
      <c r="F1038" s="144" t="inlineStr">
        <is>
          <t>3589555 IN</t>
        </is>
      </c>
      <c r="G1038" s="144" t="inlineStr">
        <is>
          <t>YELLOW FREIGHTLINER</t>
        </is>
      </c>
      <c r="H1038" s="144" t="n">
        <v>1221</v>
      </c>
      <c r="I1038" s="144" t="inlineStr">
        <is>
          <t>COMMERCIAL</t>
        </is>
      </c>
    </row>
    <row r="1039" ht="18" customHeight="1" s="7">
      <c r="A1039" s="144" t="inlineStr">
        <is>
          <t xml:space="preserve">QUENTIN ASH </t>
        </is>
      </c>
      <c r="B1039" s="144" t="inlineStr">
        <is>
          <t>*000036180018 NC</t>
        </is>
      </c>
      <c r="C1039" s="144" t="inlineStr">
        <is>
          <t>NEOMIA FAMILY</t>
        </is>
      </c>
      <c r="D1039" s="144" t="n">
        <v>9199000888</v>
      </c>
      <c r="E1039" s="144" t="inlineStr">
        <is>
          <t>FLAT</t>
        </is>
      </c>
      <c r="F1039" s="144" t="inlineStr">
        <is>
          <t>NM8155 NC</t>
        </is>
      </c>
      <c r="G1039" s="144" t="inlineStr">
        <is>
          <t>SILVER INTERNATIONAL</t>
        </is>
      </c>
      <c r="H1039" s="144" t="n">
        <v>1221</v>
      </c>
      <c r="I1039" s="144" t="inlineStr">
        <is>
          <t>COMMERCIAL</t>
        </is>
      </c>
    </row>
    <row r="1040" ht="18" customHeight="1" s="7">
      <c r="A1040" s="144" t="inlineStr">
        <is>
          <t>BENJAMIN GRIMALDO</t>
        </is>
      </c>
      <c r="B1040" s="144" t="inlineStr">
        <is>
          <t>46113887 TX</t>
        </is>
      </c>
      <c r="C1040" s="144" t="inlineStr">
        <is>
          <t>HERMANO LLC</t>
        </is>
      </c>
      <c r="D1040" s="144" t="n">
        <v>9566199219</v>
      </c>
      <c r="E1040" s="144" t="inlineStr">
        <is>
          <t>PU</t>
        </is>
      </c>
      <c r="F1040" s="144" t="inlineStr">
        <is>
          <t>VZG1799 TX</t>
        </is>
      </c>
      <c r="G1040" s="144" t="inlineStr">
        <is>
          <t>BLACK GMC</t>
        </is>
      </c>
      <c r="H1040" s="144" t="n">
        <v>1221</v>
      </c>
      <c r="I1040" s="144" t="inlineStr">
        <is>
          <t xml:space="preserve">CONTRACTOR </t>
        </is>
      </c>
    </row>
    <row r="1041" ht="18" customHeight="1" s="7">
      <c r="A1041" s="144" t="inlineStr">
        <is>
          <t>DENNIS BLALOCK</t>
        </is>
      </c>
      <c r="B1041" s="144" t="inlineStr">
        <is>
          <t>T62321477 VA</t>
        </is>
      </c>
      <c r="C1041" s="144" t="inlineStr">
        <is>
          <t>SHERIFF</t>
        </is>
      </c>
      <c r="D1041" s="144" t="n">
        <v>2766766000</v>
      </c>
      <c r="E1041" s="144" t="inlineStr">
        <is>
          <t>PU</t>
        </is>
      </c>
      <c r="F1041" s="144" t="inlineStr">
        <is>
          <t>231551L VA</t>
        </is>
      </c>
      <c r="G1041" s="144" t="inlineStr">
        <is>
          <t>WHITE FORD</t>
        </is>
      </c>
      <c r="H1041" s="144" t="n">
        <v>1360</v>
      </c>
      <c r="I1041" s="144" t="inlineStr">
        <is>
          <t xml:space="preserve">CONTRACTOR </t>
        </is>
      </c>
    </row>
    <row r="1042" ht="18" customHeight="1" s="7">
      <c r="A1042" s="144" t="inlineStr">
        <is>
          <t>PASIC RASIM</t>
        </is>
      </c>
      <c r="B1042" s="144" t="inlineStr">
        <is>
          <t>P01609575 KY</t>
        </is>
      </c>
      <c r="C1042" s="144" t="inlineStr">
        <is>
          <t>EAST B&amp;H</t>
        </is>
      </c>
      <c r="D1042" s="144" t="n">
        <v>5027679857</v>
      </c>
      <c r="E1042" s="144" t="inlineStr">
        <is>
          <t>BOX</t>
        </is>
      </c>
      <c r="F1042" s="144" t="inlineStr">
        <is>
          <t xml:space="preserve">A91522 KY </t>
        </is>
      </c>
      <c r="G1042" s="144" t="inlineStr">
        <is>
          <t>BLACK VOLVO</t>
        </is>
      </c>
      <c r="H1042" s="144" t="n">
        <v>1221</v>
      </c>
      <c r="I1042" s="144" t="inlineStr">
        <is>
          <t>COMMERCIAL</t>
        </is>
      </c>
    </row>
    <row r="1043" ht="18" customHeight="1" s="7">
      <c r="A1043" s="144" t="inlineStr">
        <is>
          <t>JOHN THOMAS</t>
        </is>
      </c>
      <c r="B1043" s="144" t="inlineStr">
        <is>
          <t>T93140183 KY</t>
        </is>
      </c>
      <c r="C1043" s="144" t="inlineStr">
        <is>
          <t>XLG</t>
        </is>
      </c>
      <c r="D1043" s="144" t="n">
        <v>2704014788</v>
      </c>
      <c r="E1043" s="144" t="inlineStr">
        <is>
          <t>FLAT</t>
        </is>
      </c>
      <c r="F1043" s="144" t="inlineStr">
        <is>
          <t>3100990 IN</t>
        </is>
      </c>
      <c r="G1043" s="144" t="inlineStr">
        <is>
          <t>GREEN PETERBILT</t>
        </is>
      </c>
      <c r="H1043" s="144" t="n">
        <v>1221</v>
      </c>
      <c r="I1043" s="144" t="inlineStr">
        <is>
          <t>COMMERCIAL</t>
        </is>
      </c>
    </row>
    <row r="1044" ht="18" customHeight="1" s="7">
      <c r="A1044" s="144" t="inlineStr">
        <is>
          <t>KENNETH GILBERT</t>
        </is>
      </c>
      <c r="B1044" s="144" t="inlineStr">
        <is>
          <t>*053096711 GA</t>
        </is>
      </c>
      <c r="C1044" s="144" t="inlineStr">
        <is>
          <t>KG JUNIOR</t>
        </is>
      </c>
      <c r="D1044" s="144" t="n">
        <v>4785504828</v>
      </c>
      <c r="E1044" s="144" t="inlineStr">
        <is>
          <t>BOX</t>
        </is>
      </c>
      <c r="F1044" s="144" t="inlineStr">
        <is>
          <t>C112DI GA</t>
        </is>
      </c>
      <c r="G1044" s="144" t="inlineStr">
        <is>
          <t>WHITE FREIGHTLINER</t>
        </is>
      </c>
      <c r="H1044" s="144" t="n">
        <v>1221</v>
      </c>
      <c r="I1044" s="144" t="inlineStr">
        <is>
          <t>COMMERCIAL</t>
        </is>
      </c>
    </row>
    <row r="1045" ht="18" customHeight="1" s="7">
      <c r="A1045" s="144" t="inlineStr">
        <is>
          <t>AL BASHIRI WADEEA</t>
        </is>
      </c>
      <c r="B1045" s="144" t="inlineStr">
        <is>
          <t>Y5022866 CA</t>
        </is>
      </c>
      <c r="C1045" s="144" t="inlineStr">
        <is>
          <t>LINK LOGISTICS</t>
        </is>
      </c>
      <c r="D1045" s="144" t="n">
        <v>66181776635</v>
      </c>
      <c r="E1045" s="144" t="inlineStr">
        <is>
          <t>VAN</t>
        </is>
      </c>
      <c r="F1045" s="144" t="inlineStr">
        <is>
          <t>29126C4 CA</t>
        </is>
      </c>
      <c r="G1045" s="144" t="inlineStr">
        <is>
          <t>WHITE MEB</t>
        </is>
      </c>
      <c r="H1045" s="144" t="n">
        <v>1221</v>
      </c>
      <c r="I1045" s="144" t="inlineStr">
        <is>
          <t xml:space="preserve">CONTRACTOR </t>
        </is>
      </c>
    </row>
    <row r="1046" ht="18" customHeight="1" s="7">
      <c r="A1046" s="144" t="inlineStr">
        <is>
          <t>LESLEY PIPKINS</t>
        </is>
      </c>
      <c r="B1046" s="144" t="inlineStr">
        <is>
          <t>*051249949 GA</t>
        </is>
      </c>
      <c r="C1046" s="144" t="inlineStr">
        <is>
          <t>GEORGIA GLASS</t>
        </is>
      </c>
      <c r="D1046" s="144" t="n">
        <v>2294855730</v>
      </c>
      <c r="E1046" s="144" t="inlineStr">
        <is>
          <t>PU</t>
        </is>
      </c>
      <c r="F1046" s="144" t="inlineStr">
        <is>
          <t>CXZ8882 GA</t>
        </is>
      </c>
      <c r="G1046" s="144" t="inlineStr">
        <is>
          <t>GREY DODGE</t>
        </is>
      </c>
      <c r="H1046" s="144" t="n">
        <v>3700</v>
      </c>
      <c r="I1046" s="144" t="inlineStr">
        <is>
          <t xml:space="preserve">CONTRACTOR </t>
        </is>
      </c>
    </row>
    <row r="1047" ht="18" customHeight="1" s="7">
      <c r="A1047" s="144" t="inlineStr">
        <is>
          <t>VADRIN WHITEHEAD</t>
        </is>
      </c>
      <c r="B1047" s="144" t="inlineStr">
        <is>
          <t>*048374187 GA</t>
        </is>
      </c>
      <c r="C1047" s="144" t="inlineStr">
        <is>
          <t xml:space="preserve">WEST </t>
        </is>
      </c>
      <c r="D1047" s="144" t="n">
        <v>7064122727</v>
      </c>
      <c r="E1047" s="144" t="inlineStr">
        <is>
          <t>BOX</t>
        </is>
      </c>
      <c r="F1047" s="144" t="inlineStr">
        <is>
          <t>3658535 IN</t>
        </is>
      </c>
      <c r="G1047" s="144" t="inlineStr">
        <is>
          <t>WHITE VOLVO</t>
        </is>
      </c>
      <c r="H1047" s="144" t="n">
        <v>1221</v>
      </c>
      <c r="I1047" s="144" t="inlineStr">
        <is>
          <t>COMMERCIAL</t>
        </is>
      </c>
    </row>
    <row r="1048" ht="18" customHeight="1" s="7">
      <c r="A1048" s="144" t="inlineStr">
        <is>
          <t>SHARRON JACKSON</t>
        </is>
      </c>
      <c r="B1048" s="144" t="inlineStr">
        <is>
          <t>*029877612 GA</t>
        </is>
      </c>
      <c r="C1048" s="144" t="inlineStr">
        <is>
          <t>CITY OF ALBANY</t>
        </is>
      </c>
      <c r="D1048" s="144" t="n">
        <v>2298540550</v>
      </c>
      <c r="E1048" s="144" t="inlineStr">
        <is>
          <t>PU</t>
        </is>
      </c>
      <c r="F1048" s="144" t="inlineStr">
        <is>
          <t>GV1290R GA</t>
        </is>
      </c>
      <c r="G1048" s="144" t="inlineStr">
        <is>
          <t>WHITE FORD</t>
        </is>
      </c>
      <c r="H1048" s="144" t="n">
        <v>1600</v>
      </c>
      <c r="I1048" s="144" t="inlineStr">
        <is>
          <t xml:space="preserve">CONTRACTOR </t>
        </is>
      </c>
    </row>
    <row r="1049" ht="18" customHeight="1" s="7">
      <c r="A1049" s="144" t="inlineStr">
        <is>
          <t>DONOVAN FERRELL</t>
        </is>
      </c>
      <c r="B1049" s="144" t="inlineStr">
        <is>
          <t>41266642 TX</t>
        </is>
      </c>
      <c r="C1049" s="144" t="inlineStr">
        <is>
          <t>ARG TRANSPORT</t>
        </is>
      </c>
      <c r="D1049" s="144" t="n">
        <v>6823770317</v>
      </c>
      <c r="E1049" s="144" t="inlineStr">
        <is>
          <t>BOX</t>
        </is>
      </c>
      <c r="F1049" s="144" t="inlineStr">
        <is>
          <t>P1255713 IL</t>
        </is>
      </c>
      <c r="G1049" s="144" t="inlineStr">
        <is>
          <t>WHITE MACK</t>
        </is>
      </c>
      <c r="H1049" s="144" t="n">
        <v>1221</v>
      </c>
      <c r="I1049" s="144" t="inlineStr">
        <is>
          <t>COMMERCIAL</t>
        </is>
      </c>
    </row>
    <row r="1050" ht="18" customHeight="1" s="7">
      <c r="A1050" s="144" t="inlineStr">
        <is>
          <t>VIACHESLAV CHIKINDEEV</t>
        </is>
      </c>
      <c r="B1050" s="144" t="inlineStr">
        <is>
          <t>100650665 NY</t>
        </is>
      </c>
      <c r="C1050" s="144" t="inlineStr">
        <is>
          <t>IDEAL TRANSPORT</t>
        </is>
      </c>
      <c r="D1050" s="144" t="n">
        <v>6463788141</v>
      </c>
      <c r="E1050" s="144" t="inlineStr">
        <is>
          <t>BOX</t>
        </is>
      </c>
      <c r="F1050" s="144" t="inlineStr">
        <is>
          <t>AH64493 PA</t>
        </is>
      </c>
      <c r="G1050" s="144" t="inlineStr">
        <is>
          <t>WHITE PETERBILT</t>
        </is>
      </c>
      <c r="H1050" s="144" t="n">
        <v>1340</v>
      </c>
      <c r="I1050" s="144" t="inlineStr">
        <is>
          <t>COMMERCIAL</t>
        </is>
      </c>
    </row>
    <row r="1051" ht="18" customHeight="1" s="7">
      <c r="A1051" s="144" t="inlineStr">
        <is>
          <t>ROBERT JENKINS</t>
        </is>
      </c>
      <c r="B1051" s="144" t="inlineStr">
        <is>
          <t>*057247218 GA</t>
        </is>
      </c>
      <c r="C1051" s="144" t="inlineStr">
        <is>
          <t>CITY OF ALBANY</t>
        </is>
      </c>
      <c r="D1051" s="144" t="n">
        <v>2293495835</v>
      </c>
      <c r="E1051" s="144" t="inlineStr">
        <is>
          <t>DUMP</t>
        </is>
      </c>
      <c r="F1051" s="144" t="inlineStr">
        <is>
          <t>GV1665T GA</t>
        </is>
      </c>
      <c r="G1051" s="144" t="inlineStr">
        <is>
          <t>WHITE KENWORTH</t>
        </is>
      </c>
      <c r="H1051" s="144" t="n">
        <v>1600</v>
      </c>
      <c r="I1051" s="144" t="inlineStr">
        <is>
          <t>COMMERCIAL</t>
        </is>
      </c>
    </row>
    <row r="1052" ht="18" customHeight="1" s="7">
      <c r="A1052" s="144" t="inlineStr">
        <is>
          <t xml:space="preserve">CLYDE LACOSTA </t>
        </is>
      </c>
      <c r="B1052" s="144" t="inlineStr">
        <is>
          <t>*054145924 GA</t>
        </is>
      </c>
      <c r="C1052" s="144" t="inlineStr">
        <is>
          <t>MACK LOGISTICS</t>
        </is>
      </c>
      <c r="D1052" s="144" t="n">
        <v>2294855055</v>
      </c>
      <c r="E1052" s="144" t="inlineStr">
        <is>
          <t>BOX</t>
        </is>
      </c>
      <c r="F1052" s="144" t="inlineStr">
        <is>
          <t>C3537B GA</t>
        </is>
      </c>
      <c r="G1052" s="144" t="inlineStr">
        <is>
          <t>RED MACK</t>
        </is>
      </c>
      <c r="H1052" s="144" t="n">
        <v>1221</v>
      </c>
      <c r="I1052" s="144" t="inlineStr">
        <is>
          <t>COMMERCIAL</t>
        </is>
      </c>
    </row>
    <row r="1053" ht="18" customHeight="1" s="7">
      <c r="A1053" s="144" t="inlineStr">
        <is>
          <t>MELISSA FINDLEY</t>
        </is>
      </c>
      <c r="B1053" s="144" t="inlineStr">
        <is>
          <t>*050987041 GA</t>
        </is>
      </c>
      <c r="C1053" s="144" t="inlineStr">
        <is>
          <t>ESTES</t>
        </is>
      </c>
      <c r="D1053" s="144" t="n">
        <v>2299389354</v>
      </c>
      <c r="E1053" s="144" t="inlineStr">
        <is>
          <t>BOX</t>
        </is>
      </c>
      <c r="F1053" s="144" t="inlineStr">
        <is>
          <t>3589553 IN</t>
        </is>
      </c>
      <c r="G1053" s="144" t="inlineStr">
        <is>
          <t>YELLOW INTERNATIONAL</t>
        </is>
      </c>
      <c r="H1053" s="144" t="n">
        <v>1221</v>
      </c>
      <c r="I1053" s="144" t="inlineStr">
        <is>
          <t>COMMERCIAL</t>
        </is>
      </c>
    </row>
    <row r="1054" ht="18" customHeight="1" s="7">
      <c r="A1054" s="144" t="inlineStr">
        <is>
          <t>FERMIN DE HARO</t>
        </is>
      </c>
      <c r="B1054" s="144" t="inlineStr">
        <is>
          <t>*050603634 GA</t>
        </is>
      </c>
      <c r="C1054" s="144" t="inlineStr">
        <is>
          <t>HARO TRANSPORT</t>
        </is>
      </c>
      <c r="D1054" s="144" t="n">
        <v>7069134817</v>
      </c>
      <c r="E1054" s="144" t="inlineStr">
        <is>
          <t>BOX</t>
        </is>
      </c>
      <c r="F1054" s="144" t="inlineStr">
        <is>
          <t>C700CZ GA</t>
        </is>
      </c>
      <c r="G1054" s="144" t="inlineStr">
        <is>
          <t>GREY INTERNATIONAL</t>
        </is>
      </c>
      <c r="H1054" s="144" t="n">
        <v>1221</v>
      </c>
      <c r="I1054" s="144" t="inlineStr">
        <is>
          <t>COMMERCIAL</t>
        </is>
      </c>
    </row>
    <row r="1055" ht="18" customHeight="1" s="7">
      <c r="A1055" s="144" t="inlineStr">
        <is>
          <t>LARRY HOWELL</t>
        </is>
      </c>
      <c r="B1055" s="144" t="inlineStr">
        <is>
          <t>7467973 AL</t>
        </is>
      </c>
      <c r="C1055" s="144" t="inlineStr">
        <is>
          <t>USHER TRANSPORT</t>
        </is>
      </c>
      <c r="D1055" s="144" t="n">
        <v>2053836528</v>
      </c>
      <c r="E1055" s="144" t="inlineStr">
        <is>
          <t>TANK</t>
        </is>
      </c>
      <c r="F1055" s="144" t="inlineStr">
        <is>
          <t>A78599 KY</t>
        </is>
      </c>
      <c r="G1055" s="144" t="inlineStr">
        <is>
          <t>RED FREIGHTLINER</t>
        </is>
      </c>
      <c r="H1055" s="144" t="n">
        <v>5400</v>
      </c>
      <c r="I1055" s="144" t="inlineStr">
        <is>
          <t>COMMERCIAL</t>
        </is>
      </c>
    </row>
    <row r="1056" ht="18" customHeight="1" s="7">
      <c r="A1056" s="144" t="inlineStr">
        <is>
          <t>TRACY ROBERTS JR</t>
        </is>
      </c>
      <c r="B1056" s="144" t="inlineStr">
        <is>
          <t>*059446041 GA</t>
        </is>
      </c>
      <c r="C1056" s="144" t="inlineStr">
        <is>
          <t>MECO</t>
        </is>
      </c>
      <c r="D1056" s="144" t="n">
        <v>2292914047</v>
      </c>
      <c r="E1056" s="144" t="inlineStr">
        <is>
          <t>PU</t>
        </is>
      </c>
      <c r="F1056" s="144" t="inlineStr">
        <is>
          <t>TBH6587 GA</t>
        </is>
      </c>
      <c r="G1056" s="144" t="inlineStr">
        <is>
          <t>WHITE DODGE</t>
        </is>
      </c>
      <c r="H1056" s="144" t="n">
        <v>7501</v>
      </c>
      <c r="I1056" s="144" t="inlineStr">
        <is>
          <t xml:space="preserve">CONTRACTOR </t>
        </is>
      </c>
    </row>
    <row r="1057" ht="18" customHeight="1" s="7">
      <c r="A1057" s="144" t="inlineStr">
        <is>
          <t>SONORA JAVIER</t>
        </is>
      </c>
      <c r="B1057" s="144" t="inlineStr">
        <is>
          <t>S562420731020 FL</t>
        </is>
      </c>
      <c r="C1057" s="144" t="inlineStr">
        <is>
          <t>SONORA TRUCKING</t>
        </is>
      </c>
      <c r="D1057" s="144" t="n">
        <v>4079251630</v>
      </c>
      <c r="E1057" s="144" t="inlineStr">
        <is>
          <t>BOX</t>
        </is>
      </c>
      <c r="F1057" s="144" t="inlineStr">
        <is>
          <t>XB174L FL</t>
        </is>
      </c>
      <c r="G1057" s="144" t="inlineStr">
        <is>
          <t>WHITE FREIGHTLINER</t>
        </is>
      </c>
      <c r="H1057" s="144" t="n">
        <v>1221</v>
      </c>
      <c r="I1057" s="144" t="inlineStr">
        <is>
          <t>COMMERCIAL</t>
        </is>
      </c>
    </row>
    <row r="1058" ht="18" customHeight="1" s="7">
      <c r="A1058" s="144" t="inlineStr">
        <is>
          <t>SUTTON TIMOTHY</t>
        </is>
      </c>
      <c r="B1058" s="144" t="inlineStr">
        <is>
          <t>S35081367358 IL</t>
        </is>
      </c>
      <c r="C1058" s="144" t="inlineStr">
        <is>
          <t>WIDWEST TRUCKING</t>
        </is>
      </c>
      <c r="D1058" s="144" t="n">
        <v>5743449891</v>
      </c>
      <c r="E1058" s="144" t="inlineStr">
        <is>
          <t>BOX</t>
        </is>
      </c>
      <c r="F1058" s="144" t="inlineStr">
        <is>
          <t>P1194001 IL</t>
        </is>
      </c>
      <c r="G1058" s="144" t="inlineStr">
        <is>
          <t>BLUE KENWORTH</t>
        </is>
      </c>
      <c r="H1058" s="144" t="n">
        <v>1221</v>
      </c>
      <c r="I1058" s="144" t="inlineStr">
        <is>
          <t>COMMERCIAL</t>
        </is>
      </c>
    </row>
    <row r="1059" ht="18" customHeight="1" s="7">
      <c r="A1059" s="144" t="inlineStr">
        <is>
          <t>MELVIN CULLINS</t>
        </is>
      </c>
      <c r="B1059" s="144" t="inlineStr">
        <is>
          <t>*057843511 GA</t>
        </is>
      </c>
      <c r="C1059" s="144" t="inlineStr">
        <is>
          <t>JT ROADRUNNER</t>
        </is>
      </c>
      <c r="D1059" s="144" t="n">
        <v>4046975705</v>
      </c>
      <c r="E1059" s="144" t="inlineStr">
        <is>
          <t>BOX</t>
        </is>
      </c>
      <c r="F1059" s="144" t="inlineStr">
        <is>
          <t>XJD513 GA</t>
        </is>
      </c>
      <c r="G1059" s="144" t="inlineStr">
        <is>
          <t>WHITE INTER</t>
        </is>
      </c>
      <c r="H1059" s="144" t="n">
        <v>1221</v>
      </c>
      <c r="I1059" s="144" t="inlineStr">
        <is>
          <t>COMMERCIAL</t>
        </is>
      </c>
    </row>
    <row r="1060" ht="18" customHeight="1" s="7">
      <c r="A1060" s="144" t="inlineStr">
        <is>
          <t>LUIS RIBAS</t>
        </is>
      </c>
      <c r="B1060" s="144" t="inlineStr">
        <is>
          <t>R120523633090 FL</t>
        </is>
      </c>
      <c r="C1060" s="144" t="inlineStr">
        <is>
          <t>BETA FREIGHT</t>
        </is>
      </c>
      <c r="D1060" s="144" t="n">
        <v>4699683564</v>
      </c>
      <c r="E1060" s="144" t="inlineStr">
        <is>
          <t>BOX</t>
        </is>
      </c>
      <c r="F1060" s="144" t="inlineStr">
        <is>
          <t>P1025017 IL</t>
        </is>
      </c>
      <c r="G1060" s="144" t="inlineStr">
        <is>
          <t>WHITE VOLVO</t>
        </is>
      </c>
      <c r="H1060" s="144" t="n">
        <v>1221</v>
      </c>
      <c r="I1060" s="144" t="inlineStr">
        <is>
          <t>COMMERCIAL</t>
        </is>
      </c>
    </row>
    <row r="1061" ht="18" customHeight="1" s="7">
      <c r="A1061" s="144" t="inlineStr">
        <is>
          <t>TAPIA YECENIA</t>
        </is>
      </c>
      <c r="B1061" s="144" t="inlineStr">
        <is>
          <t>T10096086959 IL</t>
        </is>
      </c>
      <c r="C1061" s="144" t="inlineStr">
        <is>
          <t>AGI TRUCKING</t>
        </is>
      </c>
      <c r="D1061" s="144" t="n">
        <v>2248065233</v>
      </c>
      <c r="E1061" s="144" t="inlineStr">
        <is>
          <t>BOX</t>
        </is>
      </c>
      <c r="F1061" s="144" t="inlineStr">
        <is>
          <t>P1095948 IL</t>
        </is>
      </c>
      <c r="G1061" s="144" t="inlineStr">
        <is>
          <t>WHITE VOLVO</t>
        </is>
      </c>
      <c r="H1061" s="144" t="n">
        <v>1221</v>
      </c>
      <c r="I1061" s="144" t="inlineStr">
        <is>
          <t>COMMERCIAL</t>
        </is>
      </c>
    </row>
    <row r="1062" ht="18" customHeight="1" s="7">
      <c r="A1062" s="144" t="inlineStr">
        <is>
          <t>CHARLES GOODEN JR</t>
        </is>
      </c>
      <c r="B1062" s="144" t="inlineStr">
        <is>
          <t>5035382 AL</t>
        </is>
      </c>
      <c r="C1062" s="144" t="inlineStr">
        <is>
          <t>MID SOUTH</t>
        </is>
      </c>
      <c r="D1062" s="144" t="n">
        <v>2057203963</v>
      </c>
      <c r="E1062" s="144" t="inlineStr">
        <is>
          <t>BOX</t>
        </is>
      </c>
      <c r="F1062" s="144" t="inlineStr">
        <is>
          <t>3521606 IN</t>
        </is>
      </c>
      <c r="G1062" s="144" t="inlineStr">
        <is>
          <t>WHITE FREIGHTLINER</t>
        </is>
      </c>
      <c r="H1062" s="144" t="n">
        <v>7501</v>
      </c>
      <c r="I1062" s="144" t="inlineStr">
        <is>
          <t>COMMERCIAL</t>
        </is>
      </c>
    </row>
    <row r="1063" ht="18" customHeight="1" s="7">
      <c r="A1063" s="144" t="inlineStr">
        <is>
          <t>COREY THOMAS</t>
        </is>
      </c>
      <c r="B1063" s="144" t="inlineStr">
        <is>
          <t>*056299502 GA</t>
        </is>
      </c>
      <c r="C1063" s="144" t="inlineStr">
        <is>
          <t>EXPRESS DISPOSAL</t>
        </is>
      </c>
      <c r="D1063" s="144" t="n">
        <v>2293524300</v>
      </c>
      <c r="E1063" s="144" t="inlineStr">
        <is>
          <t>PU</t>
        </is>
      </c>
      <c r="F1063" s="144" t="inlineStr">
        <is>
          <t>YHE502 GA</t>
        </is>
      </c>
      <c r="G1063" s="144" t="inlineStr">
        <is>
          <t>WHITE INTER</t>
        </is>
      </c>
      <c r="H1063" s="144" t="inlineStr">
        <is>
          <t>BASEWIDE</t>
        </is>
      </c>
      <c r="I1063" s="144" t="inlineStr">
        <is>
          <t xml:space="preserve">CONTRACTOR </t>
        </is>
      </c>
    </row>
    <row r="1064" ht="18" customHeight="1" s="7">
      <c r="A1064" s="144" t="inlineStr">
        <is>
          <t>VADIM MARSHALKIN</t>
        </is>
      </c>
      <c r="B1064" s="144" t="inlineStr">
        <is>
          <t>*061814896 GA</t>
        </is>
      </c>
      <c r="C1064" s="144" t="inlineStr">
        <is>
          <t>SYSTEM EXPRESS</t>
        </is>
      </c>
      <c r="D1064" s="144" t="n">
        <v>6783338687</v>
      </c>
      <c r="E1064" s="144" t="inlineStr">
        <is>
          <t>FLAT</t>
        </is>
      </c>
      <c r="F1064" s="144" t="inlineStr">
        <is>
          <t>C552EQ GA</t>
        </is>
      </c>
      <c r="G1064" s="144" t="inlineStr">
        <is>
          <t>WHITE VOLVO</t>
        </is>
      </c>
      <c r="H1064" s="144" t="n">
        <v>1221</v>
      </c>
      <c r="I1064" s="144" t="inlineStr">
        <is>
          <t>COMMERCIAL</t>
        </is>
      </c>
    </row>
    <row r="1065" ht="18" customHeight="1" s="7">
      <c r="A1065" s="144" t="inlineStr">
        <is>
          <t>GARRET CALDWELL</t>
        </is>
      </c>
      <c r="B1065" s="144" t="inlineStr">
        <is>
          <t>*056517883 GA</t>
        </is>
      </c>
      <c r="C1065" s="144" t="inlineStr">
        <is>
          <t>BARBER KLEIN</t>
        </is>
      </c>
      <c r="D1065" s="144" t="n">
        <v>2292885497</v>
      </c>
      <c r="E1065" s="144" t="inlineStr">
        <is>
          <t>PU</t>
        </is>
      </c>
      <c r="F1065" s="144" t="inlineStr">
        <is>
          <t>TBR7789 GA</t>
        </is>
      </c>
      <c r="G1065" s="144" t="inlineStr">
        <is>
          <t>WHITE FORD</t>
        </is>
      </c>
      <c r="H1065" s="144" t="n">
        <v>2223</v>
      </c>
      <c r="I1065" s="144" t="inlineStr">
        <is>
          <t xml:space="preserve">CONTRACTOR </t>
        </is>
      </c>
    </row>
    <row r="1066" ht="18" customHeight="1" s="7">
      <c r="A1066" s="144" t="inlineStr">
        <is>
          <t>WILLIAM LOYLESS</t>
        </is>
      </c>
      <c r="B1066" s="144" t="inlineStr">
        <is>
          <t>*057173640 GA</t>
        </is>
      </c>
      <c r="C1066" s="144" t="inlineStr">
        <is>
          <t>INDUSTRAIL MANUFACTURING</t>
        </is>
      </c>
      <c r="D1066" s="144" t="n">
        <v>2293315542</v>
      </c>
      <c r="E1066" s="144" t="inlineStr">
        <is>
          <t>PU</t>
        </is>
      </c>
      <c r="F1066" s="144" t="inlineStr">
        <is>
          <t>SIT6637 GA</t>
        </is>
      </c>
      <c r="G1066" s="144" t="inlineStr">
        <is>
          <t>WHITE CHEVY</t>
        </is>
      </c>
      <c r="H1066" s="144" t="n">
        <v>1221</v>
      </c>
      <c r="I1066" s="144" t="inlineStr">
        <is>
          <t xml:space="preserve">CONTRACTOR </t>
        </is>
      </c>
    </row>
    <row r="1067" ht="18" customHeight="1" s="7">
      <c r="A1067" s="144" t="inlineStr">
        <is>
          <t>DENNIS GOULD II</t>
        </is>
      </c>
      <c r="B1067" s="144" t="inlineStr">
        <is>
          <t>*051680317 GA</t>
        </is>
      </c>
      <c r="C1067" s="144" t="inlineStr">
        <is>
          <t>SPARTAN NASH</t>
        </is>
      </c>
      <c r="D1067" s="144" t="n">
        <v>4046179852</v>
      </c>
      <c r="E1067" s="144" t="inlineStr">
        <is>
          <t>BOX</t>
        </is>
      </c>
      <c r="F1067" s="144" t="inlineStr">
        <is>
          <t>420446 NEB</t>
        </is>
      </c>
      <c r="G1067" s="144" t="inlineStr">
        <is>
          <t>WHITE INTER</t>
        </is>
      </c>
      <c r="H1067" s="144" t="n">
        <v>7501</v>
      </c>
      <c r="I1067" s="144" t="inlineStr">
        <is>
          <t>COMMERCIAL</t>
        </is>
      </c>
    </row>
    <row r="1068" ht="18" customHeight="1" s="7">
      <c r="A1068" s="144" t="inlineStr">
        <is>
          <t>RAVEN ECHOLS</t>
        </is>
      </c>
      <c r="B1068" s="144" t="inlineStr">
        <is>
          <t>*049960486 GA</t>
        </is>
      </c>
      <c r="C1068" s="144" t="inlineStr">
        <is>
          <t>ANDI GROUP TRUCKING</t>
        </is>
      </c>
      <c r="D1068" s="144" t="n">
        <v>4705047899</v>
      </c>
      <c r="E1068" s="144" t="inlineStr">
        <is>
          <t>BOX</t>
        </is>
      </c>
      <c r="F1068" s="144" t="inlineStr">
        <is>
          <t>RC48289 MI</t>
        </is>
      </c>
      <c r="G1068" s="144" t="inlineStr">
        <is>
          <t>WHITE FREIGHTLINER</t>
        </is>
      </c>
      <c r="H1068" s="144" t="n">
        <v>1221</v>
      </c>
      <c r="I1068" s="144" t="inlineStr">
        <is>
          <t>COMMERCIAL</t>
        </is>
      </c>
    </row>
    <row r="1069" ht="18" customHeight="1" s="7">
      <c r="A1069" s="144" t="inlineStr">
        <is>
          <t>RICHARD WOODCOCK</t>
        </is>
      </c>
      <c r="B1069" s="144" t="inlineStr">
        <is>
          <t>*028127727 GA</t>
        </is>
      </c>
      <c r="C1069" s="144" t="inlineStr">
        <is>
          <t>RNK SERVICES</t>
        </is>
      </c>
      <c r="D1069" s="144" t="n">
        <v>9126618788</v>
      </c>
      <c r="E1069" s="144" t="inlineStr">
        <is>
          <t>PU</t>
        </is>
      </c>
      <c r="F1069" s="144" t="inlineStr">
        <is>
          <t>SEP1479 GA</t>
        </is>
      </c>
      <c r="G1069" s="144" t="inlineStr">
        <is>
          <t xml:space="preserve">BLACK CHEVY </t>
        </is>
      </c>
      <c r="H1069" s="144" t="n">
        <v>2210</v>
      </c>
      <c r="I1069" s="144" t="inlineStr">
        <is>
          <t xml:space="preserve">CONTRACTOR </t>
        </is>
      </c>
    </row>
    <row r="1070" ht="18" customHeight="1" s="7">
      <c r="A1070" s="144" t="inlineStr">
        <is>
          <t>OBINNA NWACHUKWU</t>
        </is>
      </c>
      <c r="B1070" s="144" t="inlineStr">
        <is>
          <t>*062079663 GA</t>
        </is>
      </c>
      <c r="C1070" s="144" t="inlineStr">
        <is>
          <t>EZ MOVERS</t>
        </is>
      </c>
      <c r="D1070" s="144" t="n">
        <v>8164197800</v>
      </c>
      <c r="E1070" s="144" t="inlineStr">
        <is>
          <t>BOX</t>
        </is>
      </c>
      <c r="F1070" s="144" t="inlineStr">
        <is>
          <t>K195706 TX</t>
        </is>
      </c>
      <c r="G1070" s="144" t="inlineStr">
        <is>
          <t>WHITE FREIGHTLINER</t>
        </is>
      </c>
      <c r="H1070" s="144" t="n">
        <v>2200</v>
      </c>
      <c r="I1070" s="144" t="inlineStr">
        <is>
          <t>COMMERCIAL</t>
        </is>
      </c>
    </row>
    <row r="1071" ht="18" customHeight="1" s="7">
      <c r="A1071" s="144" t="inlineStr">
        <is>
          <t>ROBERT WESTBROOK</t>
        </is>
      </c>
      <c r="B1071" s="144" t="inlineStr">
        <is>
          <t>W231777553860 FL</t>
        </is>
      </c>
      <c r="C1071" s="144" t="inlineStr">
        <is>
          <t>FED EX</t>
        </is>
      </c>
      <c r="D1071" s="144" t="n">
        <v>8506949427</v>
      </c>
      <c r="E1071" s="144" t="inlineStr">
        <is>
          <t>BOX</t>
        </is>
      </c>
      <c r="F1071" s="144" t="inlineStr">
        <is>
          <t>C341HT TN</t>
        </is>
      </c>
      <c r="G1071" s="144" t="inlineStr">
        <is>
          <t>WHITE FREIGHTLINER</t>
        </is>
      </c>
      <c r="H1071" s="144" t="inlineStr">
        <is>
          <t>BASEWIDE</t>
        </is>
      </c>
      <c r="I1071" s="144" t="inlineStr">
        <is>
          <t>COMMERCIAL</t>
        </is>
      </c>
    </row>
    <row r="1072" ht="18" customHeight="1" s="7">
      <c r="A1072" s="144" t="inlineStr">
        <is>
          <t>DELVIN WILLIAMS</t>
        </is>
      </c>
      <c r="B1072" s="144" t="inlineStr">
        <is>
          <t>W452172012500 FL</t>
        </is>
      </c>
      <c r="C1072" s="144" t="inlineStr">
        <is>
          <t>ERVIN SAILOR</t>
        </is>
      </c>
      <c r="D1072" s="144" t="n">
        <v>9546515796</v>
      </c>
      <c r="E1072" s="144" t="inlineStr">
        <is>
          <t>BOX</t>
        </is>
      </c>
      <c r="F1072" s="144" t="inlineStr">
        <is>
          <t>XE493Y FL</t>
        </is>
      </c>
      <c r="G1072" s="144" t="inlineStr">
        <is>
          <t>BLACK FREIGHTLINER</t>
        </is>
      </c>
      <c r="H1072" s="144" t="n">
        <v>1221</v>
      </c>
      <c r="I1072" s="144" t="inlineStr">
        <is>
          <t>COMMERCIAL</t>
        </is>
      </c>
    </row>
    <row r="1073" ht="18" customHeight="1" s="7">
      <c r="A1073" s="144" t="inlineStr">
        <is>
          <t>CARLOS JINESTA</t>
        </is>
      </c>
      <c r="B1073" s="144" t="inlineStr">
        <is>
          <t>N7617764 CA</t>
        </is>
      </c>
      <c r="C1073" s="144" t="inlineStr">
        <is>
          <t>HAPPY ONE</t>
        </is>
      </c>
      <c r="D1073" s="144" t="n">
        <v>6263910774</v>
      </c>
      <c r="E1073" s="144" t="inlineStr">
        <is>
          <t>BOX</t>
        </is>
      </c>
      <c r="F1073" s="144" t="inlineStr">
        <is>
          <t>R682255 TX</t>
        </is>
      </c>
      <c r="G1073" s="144" t="inlineStr">
        <is>
          <t>RED FREIGHTLINER</t>
        </is>
      </c>
      <c r="H1073" s="144" t="n">
        <v>1221</v>
      </c>
      <c r="I1073" s="144" t="inlineStr">
        <is>
          <t>COMMERCIAL</t>
        </is>
      </c>
    </row>
    <row r="1074" ht="18" customHeight="1" s="7">
      <c r="A1074" s="144" t="inlineStr">
        <is>
          <t>STEPHEN SPENCER</t>
        </is>
      </c>
      <c r="B1074" s="144" t="inlineStr">
        <is>
          <t>*056269306 GA</t>
        </is>
      </c>
      <c r="C1074" s="144" t="inlineStr">
        <is>
          <t>STANLEY STEAMER</t>
        </is>
      </c>
      <c r="D1074" s="144" t="n">
        <v>2296392271</v>
      </c>
      <c r="E1074" s="144" t="inlineStr">
        <is>
          <t>VAN</t>
        </is>
      </c>
      <c r="F1074" s="144" t="inlineStr">
        <is>
          <t>SFE3960 GA</t>
        </is>
      </c>
      <c r="G1074" s="144" t="inlineStr">
        <is>
          <t>YELLOW FORD</t>
        </is>
      </c>
      <c r="H1074" s="144" t="inlineStr">
        <is>
          <t>HOUSING</t>
        </is>
      </c>
      <c r="I1074" s="144" t="inlineStr">
        <is>
          <t xml:space="preserve">CONTRACTOR </t>
        </is>
      </c>
    </row>
    <row r="1075" ht="18" customHeight="1" s="7">
      <c r="A1075" s="144" t="inlineStr">
        <is>
          <t>NICHOLAS LARKINS</t>
        </is>
      </c>
      <c r="B1075" s="144" t="inlineStr">
        <is>
          <t>*050641204 GA</t>
        </is>
      </c>
      <c r="C1075" s="144" t="inlineStr">
        <is>
          <t>WADE LANDERS</t>
        </is>
      </c>
      <c r="D1075" s="144" t="n">
        <v>2293930573</v>
      </c>
      <c r="E1075" s="144" t="inlineStr">
        <is>
          <t>BOX</t>
        </is>
      </c>
      <c r="F1075" s="144" t="inlineStr">
        <is>
          <t>NDTP78 FL</t>
        </is>
      </c>
      <c r="G1075" s="144" t="inlineStr">
        <is>
          <t>WHT INTERNATIONAL</t>
        </is>
      </c>
      <c r="H1075" s="144" t="n">
        <v>1221</v>
      </c>
      <c r="I1075" s="144" t="inlineStr">
        <is>
          <t>COMMERCIAL</t>
        </is>
      </c>
    </row>
    <row r="1076" ht="18" customHeight="1" s="7">
      <c r="A1076" s="144" t="inlineStr">
        <is>
          <t>ARTHUR WINTERS</t>
        </is>
      </c>
      <c r="B1076" s="144" t="inlineStr">
        <is>
          <t>*050931902 GA</t>
        </is>
      </c>
      <c r="C1076" s="144" t="inlineStr">
        <is>
          <t>MCLANE</t>
        </is>
      </c>
      <c r="D1076" s="144" t="n">
        <v>4705874889</v>
      </c>
      <c r="E1076" s="144" t="inlineStr">
        <is>
          <t>BOX</t>
        </is>
      </c>
      <c r="F1076" s="144" t="inlineStr">
        <is>
          <t>P1265525 IL</t>
        </is>
      </c>
      <c r="G1076" s="144" t="inlineStr">
        <is>
          <t>WHITE FREIGHTLINER</t>
        </is>
      </c>
      <c r="H1076" s="144" t="n">
        <v>7501</v>
      </c>
      <c r="I1076" s="144" t="inlineStr">
        <is>
          <t>COMMERCIAL</t>
        </is>
      </c>
    </row>
    <row r="1077" ht="18" customHeight="1" s="7">
      <c r="A1077" s="144" t="inlineStr">
        <is>
          <t xml:space="preserve">YIGZAW TESFA </t>
        </is>
      </c>
      <c r="B1077" s="144" t="inlineStr">
        <is>
          <t>B61311412 VA</t>
        </is>
      </c>
      <c r="C1077" s="144" t="inlineStr">
        <is>
          <t>KFK TRANS</t>
        </is>
      </c>
      <c r="D1077" s="144" t="n">
        <v>5713989372</v>
      </c>
      <c r="E1077" s="144" t="inlineStr">
        <is>
          <t>BOX</t>
        </is>
      </c>
      <c r="F1077" s="144" t="inlineStr">
        <is>
          <t>R537783 TX</t>
        </is>
      </c>
      <c r="G1077" s="144" t="inlineStr">
        <is>
          <t>BLUE FREIGHTLINER</t>
        </is>
      </c>
      <c r="H1077" s="144" t="n">
        <v>1221</v>
      </c>
      <c r="I1077" s="144" t="inlineStr">
        <is>
          <t>COMMERCIAL</t>
        </is>
      </c>
    </row>
    <row r="1078" ht="18" customHeight="1" s="7">
      <c r="A1078" s="144" t="inlineStr">
        <is>
          <t>MUNAVA LLOYD</t>
        </is>
      </c>
      <c r="B1078" s="144" t="inlineStr">
        <is>
          <t>VW504119 OH</t>
        </is>
      </c>
      <c r="C1078" s="144" t="inlineStr">
        <is>
          <t>CALIFORNIA CARGO</t>
        </is>
      </c>
      <c r="D1078" s="144" t="n">
        <v>9152229506</v>
      </c>
      <c r="E1078" s="144" t="inlineStr">
        <is>
          <t>BOX</t>
        </is>
      </c>
      <c r="F1078" s="144" t="inlineStr">
        <is>
          <t>PXC5332 OH</t>
        </is>
      </c>
      <c r="G1078" s="144" t="inlineStr">
        <is>
          <t>WHITE INTER</t>
        </is>
      </c>
      <c r="H1078" s="144" t="n">
        <v>1221</v>
      </c>
      <c r="I1078" s="144" t="inlineStr">
        <is>
          <t>COMMERCIAL</t>
        </is>
      </c>
    </row>
    <row r="1079" ht="18" customHeight="1" s="7">
      <c r="A1079" s="144" t="inlineStr">
        <is>
          <t>VILLARREAL SAUL</t>
        </is>
      </c>
      <c r="B1079" s="144" t="inlineStr">
        <is>
          <t>27892121 TX</t>
        </is>
      </c>
      <c r="C1079" s="144" t="inlineStr">
        <is>
          <t>JPL EXPRESS</t>
        </is>
      </c>
      <c r="D1079" s="144" t="n">
        <v>9564399001</v>
      </c>
      <c r="E1079" s="144" t="inlineStr">
        <is>
          <t>BOX</t>
        </is>
      </c>
      <c r="F1079" s="144" t="inlineStr">
        <is>
          <t>R722613 TX</t>
        </is>
      </c>
      <c r="G1079" s="144" t="inlineStr">
        <is>
          <t>WHITE VOLVO</t>
        </is>
      </c>
      <c r="H1079" s="144" t="n">
        <v>1221</v>
      </c>
      <c r="I1079" s="144" t="inlineStr">
        <is>
          <t>COMMERCIAL</t>
        </is>
      </c>
    </row>
    <row r="1080" ht="18" customHeight="1" s="7">
      <c r="A1080" s="144" t="inlineStr">
        <is>
          <t>YOUSIF GHALEB</t>
        </is>
      </c>
      <c r="B1080" s="144" t="inlineStr">
        <is>
          <t>G410961029379 MI</t>
        </is>
      </c>
      <c r="C1080" s="144" t="inlineStr">
        <is>
          <t>MUSTANG EXPEDITERS</t>
        </is>
      </c>
      <c r="D1080" s="144" t="n">
        <v>3136056015</v>
      </c>
      <c r="E1080" s="144" t="inlineStr">
        <is>
          <t>VAN</t>
        </is>
      </c>
      <c r="F1080" s="144" t="inlineStr">
        <is>
          <t>EUD0617 MI</t>
        </is>
      </c>
      <c r="G1080" s="144" t="inlineStr">
        <is>
          <t>WHITE FORD</t>
        </is>
      </c>
      <c r="H1080" s="144" t="n">
        <v>1221</v>
      </c>
      <c r="I1080" s="144" t="inlineStr">
        <is>
          <t>COMMERCIAL</t>
        </is>
      </c>
    </row>
    <row r="1081" ht="18" customHeight="1" s="7">
      <c r="A1081" s="144" t="inlineStr">
        <is>
          <t>MICHAEL DELUCCA</t>
        </is>
      </c>
      <c r="B1081" s="144" t="inlineStr">
        <is>
          <t>D338447780000 FL</t>
        </is>
      </c>
      <c r="C1081" s="144" t="inlineStr">
        <is>
          <t>CONKLIN LLC</t>
        </is>
      </c>
      <c r="D1081" s="144" t="n">
        <v>3862097148</v>
      </c>
      <c r="E1081" s="144" t="inlineStr">
        <is>
          <t>BOX</t>
        </is>
      </c>
      <c r="F1081" s="144" t="inlineStr">
        <is>
          <t>3345204 IN</t>
        </is>
      </c>
      <c r="G1081" s="144" t="inlineStr">
        <is>
          <t>ORANGE KENWORTH</t>
        </is>
      </c>
      <c r="H1081" s="144" t="n">
        <v>1221</v>
      </c>
      <c r="I1081" s="144" t="inlineStr">
        <is>
          <t>COMMERCIAL</t>
        </is>
      </c>
    </row>
    <row r="1082" ht="18" customHeight="1" s="7">
      <c r="A1082" s="144" t="inlineStr">
        <is>
          <t>ALLEN WILLENDRIC</t>
        </is>
      </c>
      <c r="B1082" s="144" t="inlineStr">
        <is>
          <t>800961196 MI</t>
        </is>
      </c>
      <c r="C1082" s="144" t="inlineStr">
        <is>
          <t>PANTHER</t>
        </is>
      </c>
      <c r="D1082" s="144" t="n">
        <v>6019512604</v>
      </c>
      <c r="E1082" s="144" t="inlineStr">
        <is>
          <t>BOX</t>
        </is>
      </c>
      <c r="F1082" s="144" t="inlineStr">
        <is>
          <t>3423331 IN</t>
        </is>
      </c>
      <c r="G1082" s="144" t="inlineStr">
        <is>
          <t>WHITE FREIGHTLINER</t>
        </is>
      </c>
      <c r="H1082" s="144" t="n">
        <v>1221</v>
      </c>
      <c r="I1082" s="144" t="inlineStr">
        <is>
          <t>COMMERCIAL</t>
        </is>
      </c>
    </row>
    <row r="1083" ht="18" customHeight="1" s="7">
      <c r="A1083" s="144" t="inlineStr">
        <is>
          <t>ANGEL NUNEZ</t>
        </is>
      </c>
      <c r="B1083" s="144" t="inlineStr">
        <is>
          <t>N524004990590 FL</t>
        </is>
      </c>
      <c r="C1083" s="144" t="inlineStr">
        <is>
          <t>BARBER KLEIN</t>
        </is>
      </c>
      <c r="D1083" s="144" t="n">
        <v>9049901075</v>
      </c>
      <c r="E1083" s="144" t="inlineStr">
        <is>
          <t>PU</t>
        </is>
      </c>
      <c r="F1083" s="144" t="inlineStr">
        <is>
          <t>05DMPA FL</t>
        </is>
      </c>
      <c r="G1083" s="144" t="inlineStr">
        <is>
          <t>WHITE FORD</t>
        </is>
      </c>
      <c r="H1083" s="144" t="n">
        <v>1210</v>
      </c>
      <c r="I1083" s="144" t="inlineStr">
        <is>
          <t xml:space="preserve">CONTRACTOR </t>
        </is>
      </c>
    </row>
    <row r="1084" ht="18" customHeight="1" s="7">
      <c r="A1084" s="144" t="inlineStr">
        <is>
          <t xml:space="preserve">ALPHONSO BAISDEN </t>
        </is>
      </c>
      <c r="B1084" s="144" t="inlineStr">
        <is>
          <t>*054641113 GA</t>
        </is>
      </c>
      <c r="C1084" s="144" t="inlineStr">
        <is>
          <t>S&amp;S CONCRETE</t>
        </is>
      </c>
      <c r="D1084" s="144" t="n">
        <v>2298881904</v>
      </c>
      <c r="E1084" s="144" t="inlineStr">
        <is>
          <t>DUMP</t>
        </is>
      </c>
      <c r="F1084" s="144" t="inlineStr">
        <is>
          <t>GHQ358 GA</t>
        </is>
      </c>
      <c r="G1084" s="144" t="inlineStr">
        <is>
          <t>WHITE FREIGHTLINER</t>
        </is>
      </c>
      <c r="H1084" s="144" t="n">
        <v>2215</v>
      </c>
      <c r="I1084" s="144" t="inlineStr">
        <is>
          <t xml:space="preserve">CONTRACTOR </t>
        </is>
      </c>
    </row>
    <row r="1085" ht="18" customHeight="1" s="7">
      <c r="A1085" s="144" t="inlineStr">
        <is>
          <t>KENNETH WADE</t>
        </is>
      </c>
      <c r="B1085" s="144" t="inlineStr">
        <is>
          <t>*061342429 GA</t>
        </is>
      </c>
      <c r="C1085" s="144" t="inlineStr">
        <is>
          <t>CITY OF ALBANY</t>
        </is>
      </c>
      <c r="D1085" s="144" t="n">
        <v>2295756813</v>
      </c>
      <c r="E1085" s="144" t="inlineStr">
        <is>
          <t>PU</t>
        </is>
      </c>
      <c r="F1085" s="144" t="inlineStr">
        <is>
          <t>GVO450A GA</t>
        </is>
      </c>
      <c r="G1085" s="144" t="inlineStr">
        <is>
          <t>WHITE FORD</t>
        </is>
      </c>
      <c r="H1085" s="144" t="inlineStr">
        <is>
          <t>SUBSTATION</t>
        </is>
      </c>
      <c r="I1085" s="144" t="inlineStr">
        <is>
          <t xml:space="preserve">CONTRACTOR </t>
        </is>
      </c>
    </row>
    <row r="1086" ht="18" customHeight="1" s="7">
      <c r="A1086" s="144" t="inlineStr">
        <is>
          <t>WILLIAM WOOD</t>
        </is>
      </c>
      <c r="B1086" s="144" t="inlineStr">
        <is>
          <t>*057250613 GA</t>
        </is>
      </c>
      <c r="C1086" s="144" t="inlineStr">
        <is>
          <t>INDUSTRIAL MANUFACTURING</t>
        </is>
      </c>
      <c r="D1086" s="144" t="n">
        <v>2298540221</v>
      </c>
      <c r="E1086" s="144" t="inlineStr">
        <is>
          <t>PU</t>
        </is>
      </c>
      <c r="F1086" s="144" t="inlineStr">
        <is>
          <t>SGC0798 GA</t>
        </is>
      </c>
      <c r="G1086" s="144" t="inlineStr">
        <is>
          <t>WHITE FORD</t>
        </is>
      </c>
      <c r="H1086" s="144" t="n">
        <v>1221</v>
      </c>
      <c r="I1086" s="144" t="inlineStr">
        <is>
          <t xml:space="preserve">CONTRACTOR </t>
        </is>
      </c>
    </row>
    <row r="1087" ht="18" customHeight="1" s="7">
      <c r="A1087" s="144" t="inlineStr">
        <is>
          <t>DAMON GRIFFIN</t>
        </is>
      </c>
      <c r="B1087" s="144" t="inlineStr">
        <is>
          <t>*057479147 GA</t>
        </is>
      </c>
      <c r="C1087" s="144" t="inlineStr">
        <is>
          <t>DSC EMI</t>
        </is>
      </c>
      <c r="D1087" s="144" t="n">
        <v>2298548054</v>
      </c>
      <c r="E1087" s="144" t="inlineStr">
        <is>
          <t>PU</t>
        </is>
      </c>
      <c r="F1087" s="144" t="inlineStr">
        <is>
          <t>KBM2985 NC</t>
        </is>
      </c>
      <c r="G1087" s="144" t="inlineStr">
        <is>
          <t>WHITE CHEVY</t>
        </is>
      </c>
      <c r="H1087" s="144" t="inlineStr">
        <is>
          <t>GAME WARDEN</t>
        </is>
      </c>
      <c r="I1087" s="144" t="inlineStr">
        <is>
          <t xml:space="preserve">CONTRACTOR </t>
        </is>
      </c>
    </row>
    <row r="1088" ht="18" customHeight="1" s="7">
      <c r="A1088" s="144" t="inlineStr">
        <is>
          <t>CALEB HARRIS</t>
        </is>
      </c>
      <c r="B1088" s="144" t="inlineStr">
        <is>
          <t>*061501998 GA</t>
        </is>
      </c>
      <c r="C1088" s="144" t="inlineStr">
        <is>
          <t>TURF LANDSCAPING</t>
        </is>
      </c>
      <c r="D1088" s="144" t="n">
        <v>2296721361</v>
      </c>
      <c r="E1088" s="144" t="inlineStr">
        <is>
          <t>PU</t>
        </is>
      </c>
      <c r="F1088" s="144" t="inlineStr">
        <is>
          <t>CXX6533 GA</t>
        </is>
      </c>
      <c r="G1088" s="144" t="inlineStr">
        <is>
          <t>BLACK DODGE</t>
        </is>
      </c>
      <c r="H1088" s="144" t="inlineStr">
        <is>
          <t>SOLAR PANEL</t>
        </is>
      </c>
      <c r="I1088" s="144" t="inlineStr">
        <is>
          <t xml:space="preserve">CONTRACTOR </t>
        </is>
      </c>
    </row>
    <row r="1089" ht="18" customHeight="1" s="7">
      <c r="A1089" s="144" t="inlineStr">
        <is>
          <t>GREG MCNEIL</t>
        </is>
      </c>
      <c r="B1089" s="144" t="inlineStr">
        <is>
          <t>*053702895 GA</t>
        </is>
      </c>
      <c r="C1089" s="144" t="inlineStr">
        <is>
          <t>TURF LANDSCAPING</t>
        </is>
      </c>
      <c r="D1089" s="144" t="n">
        <v>2296721361</v>
      </c>
      <c r="E1089" s="144" t="inlineStr">
        <is>
          <t>PU</t>
        </is>
      </c>
      <c r="F1089" s="144" t="inlineStr">
        <is>
          <t>TET8202 GA</t>
        </is>
      </c>
      <c r="G1089" s="144" t="inlineStr">
        <is>
          <t>WHITE DODGE</t>
        </is>
      </c>
      <c r="H1089" s="144" t="inlineStr">
        <is>
          <t>SOLAR PANEL</t>
        </is>
      </c>
      <c r="I1089" s="144" t="inlineStr">
        <is>
          <t xml:space="preserve">CONTRACTOR </t>
        </is>
      </c>
    </row>
    <row r="1090" ht="18" customHeight="1" s="7">
      <c r="A1090" s="144" t="inlineStr">
        <is>
          <t>BAILEY GLASS</t>
        </is>
      </c>
      <c r="B1090" s="144" t="inlineStr">
        <is>
          <t>*059970429 GA</t>
        </is>
      </c>
      <c r="C1090" s="144" t="inlineStr">
        <is>
          <t>TURF LANDSCAPING</t>
        </is>
      </c>
      <c r="D1090" s="144" t="n">
        <v>2296721361</v>
      </c>
      <c r="E1090" s="144" t="inlineStr">
        <is>
          <t>PU</t>
        </is>
      </c>
      <c r="F1090" s="144" t="inlineStr">
        <is>
          <t>RUC5026 GA</t>
        </is>
      </c>
      <c r="G1090" s="144" t="inlineStr">
        <is>
          <t>WHITE GMC</t>
        </is>
      </c>
      <c r="H1090" s="144" t="inlineStr">
        <is>
          <t>SOLAR PANEL</t>
        </is>
      </c>
      <c r="I1090" s="144" t="inlineStr">
        <is>
          <t xml:space="preserve">CONTRACTOR </t>
        </is>
      </c>
    </row>
    <row r="1091" ht="18" customHeight="1" s="7">
      <c r="A1091" s="144" t="inlineStr">
        <is>
          <t>DANIEL HAYES</t>
        </is>
      </c>
      <c r="B1091" s="144" t="inlineStr">
        <is>
          <t>L080892141 NY</t>
        </is>
      </c>
      <c r="C1091" s="144" t="inlineStr">
        <is>
          <t>STINGRAY TRANSPORT</t>
        </is>
      </c>
      <c r="D1091" s="144" t="n">
        <v>4054034075</v>
      </c>
      <c r="E1091" s="144" t="inlineStr">
        <is>
          <t>FLAT</t>
        </is>
      </c>
      <c r="F1091" s="144" t="inlineStr">
        <is>
          <t>I19145PF NY</t>
        </is>
      </c>
      <c r="G1091" s="144" t="inlineStr">
        <is>
          <t>RED PETERBILT</t>
        </is>
      </c>
      <c r="H1091" s="144" t="n">
        <v>1221</v>
      </c>
      <c r="I1091" s="144" t="inlineStr">
        <is>
          <t>COMMERCIAL</t>
        </is>
      </c>
    </row>
    <row r="1092" ht="18" customHeight="1" s="7">
      <c r="A1092" s="144" t="inlineStr">
        <is>
          <t>RACHEL JAMOSKI</t>
        </is>
      </c>
      <c r="B1092" s="144" t="inlineStr">
        <is>
          <t>*054312271 GA</t>
        </is>
      </c>
      <c r="C1092" s="144" t="inlineStr">
        <is>
          <t>FEDEX</t>
        </is>
      </c>
      <c r="D1092" s="144" t="n">
        <v>2293765862</v>
      </c>
      <c r="E1092" s="144" t="inlineStr">
        <is>
          <t>BOX</t>
        </is>
      </c>
      <c r="F1092" s="144" t="inlineStr">
        <is>
          <t>AN366 OK</t>
        </is>
      </c>
      <c r="G1092" s="144" t="inlineStr">
        <is>
          <t>WHITE FORD</t>
        </is>
      </c>
      <c r="H1092" s="144" t="inlineStr">
        <is>
          <t>BASEWIDE</t>
        </is>
      </c>
      <c r="I1092" s="144" t="inlineStr">
        <is>
          <t>COMMERCIAL</t>
        </is>
      </c>
    </row>
    <row r="1093" ht="18" customHeight="1" s="7">
      <c r="A1093" s="144" t="inlineStr">
        <is>
          <t>KENNETH GERNERT</t>
        </is>
      </c>
      <c r="B1093" s="144" t="inlineStr">
        <is>
          <t xml:space="preserve">*056614582 GA </t>
        </is>
      </c>
      <c r="C1093" s="144" t="inlineStr">
        <is>
          <t>EASTERN EXPRESS</t>
        </is>
      </c>
      <c r="D1093" s="144" t="n">
        <v>5705297337</v>
      </c>
      <c r="E1093" s="144" t="inlineStr">
        <is>
          <t>FLAT</t>
        </is>
      </c>
      <c r="F1093" s="144" t="inlineStr">
        <is>
          <t>C902D1 GA</t>
        </is>
      </c>
      <c r="G1093" s="144" t="inlineStr">
        <is>
          <t>BLUE KENWORTH</t>
        </is>
      </c>
      <c r="H1093" s="144" t="n">
        <v>1221</v>
      </c>
      <c r="I1093" s="144" t="inlineStr">
        <is>
          <t>COMMERCIAL</t>
        </is>
      </c>
    </row>
    <row r="1094" ht="18" customHeight="1" s="7">
      <c r="A1094" s="144" t="inlineStr">
        <is>
          <t xml:space="preserve">SMITH REGINALD </t>
        </is>
      </c>
      <c r="B1094" s="144" t="inlineStr">
        <is>
          <t>*S53072474410 FL</t>
        </is>
      </c>
      <c r="C1094" s="144" t="inlineStr">
        <is>
          <t>SAFE AIR</t>
        </is>
      </c>
      <c r="D1094" s="144" t="n">
        <v>8007988820</v>
      </c>
      <c r="E1094" s="144" t="inlineStr">
        <is>
          <t>VAN</t>
        </is>
      </c>
      <c r="F1094" s="144" t="inlineStr">
        <is>
          <t>QLHP37 FL</t>
        </is>
      </c>
      <c r="G1094" s="144" t="inlineStr">
        <is>
          <t>WHT NISSAN</t>
        </is>
      </c>
      <c r="H1094" s="144" t="n">
        <v>1210</v>
      </c>
      <c r="I1094" s="144" t="inlineStr">
        <is>
          <t xml:space="preserve">CONTRACTOR </t>
        </is>
      </c>
    </row>
    <row r="1095" ht="18" customHeight="1" s="7">
      <c r="A1095" s="144" t="inlineStr">
        <is>
          <t>SEBASTIAN MILLIGAN</t>
        </is>
      </c>
      <c r="B1095" s="144" t="inlineStr">
        <is>
          <t xml:space="preserve">*056649815 GA  </t>
        </is>
      </c>
      <c r="C1095" s="144" t="inlineStr">
        <is>
          <t>U TEC CONSTRUCTION</t>
        </is>
      </c>
      <c r="D1095" s="144" t="n">
        <v>7065739914</v>
      </c>
      <c r="E1095" s="144" t="inlineStr">
        <is>
          <t>PU</t>
        </is>
      </c>
      <c r="F1095" s="144" t="inlineStr">
        <is>
          <t>ZAH015 GA</t>
        </is>
      </c>
      <c r="G1095" s="144" t="inlineStr">
        <is>
          <t>WHITE FORD</t>
        </is>
      </c>
      <c r="H1095" s="144" t="inlineStr">
        <is>
          <t>HOUSING</t>
        </is>
      </c>
      <c r="I1095" s="144" t="inlineStr">
        <is>
          <t xml:space="preserve">CONTRACTOR </t>
        </is>
      </c>
    </row>
    <row r="1096" ht="18" customHeight="1" s="7">
      <c r="A1096" s="144" t="inlineStr">
        <is>
          <t>RICHIE GRADDY</t>
        </is>
      </c>
      <c r="B1096" s="144" t="inlineStr">
        <is>
          <t>*037125826 GA</t>
        </is>
      </c>
      <c r="C1096" s="144" t="inlineStr">
        <is>
          <t>XTREAM</t>
        </is>
      </c>
      <c r="D1096" s="144" t="n">
        <v>2293173087</v>
      </c>
      <c r="E1096" s="144" t="inlineStr">
        <is>
          <t>PU</t>
        </is>
      </c>
      <c r="F1096" s="144" t="inlineStr">
        <is>
          <t>RDQ2124 GA</t>
        </is>
      </c>
      <c r="G1096" s="144" t="inlineStr">
        <is>
          <t>WHITE FORD</t>
        </is>
      </c>
      <c r="H1096" s="144" t="inlineStr">
        <is>
          <t>HOUSING</t>
        </is>
      </c>
      <c r="I1096" s="144" t="inlineStr">
        <is>
          <t xml:space="preserve">CONTRACTOR </t>
        </is>
      </c>
    </row>
    <row r="1097" ht="18" customHeight="1" s="7">
      <c r="A1097" s="144" t="inlineStr">
        <is>
          <t>LADARIUS SNEED</t>
        </is>
      </c>
      <c r="B1097" s="144" t="inlineStr">
        <is>
          <t>114495948 TN</t>
        </is>
      </c>
      <c r="C1097" s="144" t="inlineStr">
        <is>
          <t>PENSKE</t>
        </is>
      </c>
      <c r="D1097" s="144" t="n">
        <v>9014066682</v>
      </c>
      <c r="E1097" s="144" t="inlineStr">
        <is>
          <t>BOX</t>
        </is>
      </c>
      <c r="F1097" s="144" t="inlineStr">
        <is>
          <t>3080197 IN</t>
        </is>
      </c>
      <c r="G1097" s="144" t="inlineStr">
        <is>
          <t>YELLOW FREIGHTLINER</t>
        </is>
      </c>
      <c r="H1097" s="144" t="n">
        <v>1221</v>
      </c>
      <c r="I1097" s="144" t="inlineStr">
        <is>
          <t>COMMERCIAL</t>
        </is>
      </c>
    </row>
    <row r="1098" ht="18" customHeight="1" s="7">
      <c r="A1098" s="144" t="inlineStr">
        <is>
          <t>RICKY FEABRY</t>
        </is>
      </c>
      <c r="B1098" s="144" t="inlineStr">
        <is>
          <t>*063198486 GA</t>
        </is>
      </c>
      <c r="C1098" s="144" t="inlineStr">
        <is>
          <t>UQS</t>
        </is>
      </c>
      <c r="D1098" s="144" t="n">
        <v>4236187517</v>
      </c>
      <c r="E1098" s="144" t="inlineStr">
        <is>
          <t>BOX</t>
        </is>
      </c>
      <c r="F1098" s="144" t="inlineStr">
        <is>
          <t>T8354HY TN</t>
        </is>
      </c>
      <c r="G1098" s="144" t="inlineStr">
        <is>
          <t>WHITE INTERNATIONAL</t>
        </is>
      </c>
      <c r="H1098" s="144" t="n">
        <v>1221</v>
      </c>
      <c r="I1098" s="144" t="inlineStr">
        <is>
          <t>COMMERCIAL</t>
        </is>
      </c>
    </row>
    <row r="1099" ht="18" customHeight="1" s="7">
      <c r="A1099" s="144" t="inlineStr">
        <is>
          <t>FRANCISCO MOLINA</t>
        </is>
      </c>
      <c r="B1099" s="144" t="inlineStr">
        <is>
          <t>M456240880920 FL</t>
        </is>
      </c>
      <c r="C1099" s="144" t="inlineStr">
        <is>
          <t>PACK MAN TRANSPORT</t>
        </is>
      </c>
      <c r="D1099" s="144" t="n">
        <v>8632451326</v>
      </c>
      <c r="E1099" s="144" t="inlineStr">
        <is>
          <t>PU</t>
        </is>
      </c>
      <c r="F1099" s="144" t="inlineStr">
        <is>
          <t>DD1OCF FL</t>
        </is>
      </c>
      <c r="G1099" s="144" t="inlineStr">
        <is>
          <t>WHITE FORD</t>
        </is>
      </c>
      <c r="H1099" s="144" t="n">
        <v>1221</v>
      </c>
      <c r="I1099" s="144" t="inlineStr">
        <is>
          <t>COMMERCIAL</t>
        </is>
      </c>
    </row>
    <row r="1100" ht="18" customHeight="1" s="7">
      <c r="A1100" s="144" t="inlineStr">
        <is>
          <t>WILSON REID</t>
        </is>
      </c>
      <c r="B1100" s="144" t="inlineStr">
        <is>
          <t>*054966271 GA</t>
        </is>
      </c>
      <c r="C1100" s="144" t="inlineStr">
        <is>
          <t>US FOODS</t>
        </is>
      </c>
      <c r="D1100" s="144" t="n">
        <v>2293264906</v>
      </c>
      <c r="E1100" s="144" t="inlineStr">
        <is>
          <t>BOX</t>
        </is>
      </c>
      <c r="F1100" s="144" t="inlineStr">
        <is>
          <t>3047669 IN</t>
        </is>
      </c>
      <c r="G1100" s="144" t="inlineStr">
        <is>
          <t>WHITE FREIGHTLINER</t>
        </is>
      </c>
      <c r="H1100" s="144" t="inlineStr">
        <is>
          <t>COMMISSARY</t>
        </is>
      </c>
      <c r="I1100" s="144" t="inlineStr">
        <is>
          <t>COMMERCIAL</t>
        </is>
      </c>
    </row>
    <row r="1101" ht="18" customHeight="1" s="7">
      <c r="A1101" s="144" t="inlineStr">
        <is>
          <t>ANFREENEY SMITH</t>
        </is>
      </c>
      <c r="B1101" s="144" t="inlineStr">
        <is>
          <t>*000037930264</t>
        </is>
      </c>
      <c r="C1101" s="144" t="inlineStr">
        <is>
          <t>A.J. TRUCKING</t>
        </is>
      </c>
      <c r="D1101" s="144" t="n">
        <v>9104711004</v>
      </c>
      <c r="E1101" s="144" t="inlineStr">
        <is>
          <t>FLAT</t>
        </is>
      </c>
      <c r="F1101" s="144" t="inlineStr">
        <is>
          <t>VV 1192 NC</t>
        </is>
      </c>
      <c r="G1101" s="144" t="inlineStr">
        <is>
          <t>BLACK PETERBILT</t>
        </is>
      </c>
      <c r="H1101" s="144" t="n">
        <v>1221</v>
      </c>
      <c r="I1101" s="144" t="inlineStr">
        <is>
          <t>COMMERCIAL</t>
        </is>
      </c>
    </row>
    <row r="1102" ht="18" customHeight="1" s="7">
      <c r="A1102" s="144" t="inlineStr">
        <is>
          <t>MARVIN GRAHAM</t>
        </is>
      </c>
      <c r="B1102" s="144" t="inlineStr">
        <is>
          <t>*000029288456 NC</t>
        </is>
      </c>
      <c r="C1102" s="144" t="inlineStr">
        <is>
          <t>A.J. TRUCKING</t>
        </is>
      </c>
      <c r="D1102" s="144" t="n">
        <v>9104711004</v>
      </c>
      <c r="E1102" s="144" t="inlineStr">
        <is>
          <t>FLAT</t>
        </is>
      </c>
      <c r="F1102" s="144" t="inlineStr">
        <is>
          <t>VV 1124 NC</t>
        </is>
      </c>
      <c r="G1102" s="144" t="inlineStr">
        <is>
          <t>BLACK PETERBILT</t>
        </is>
      </c>
      <c r="H1102" s="144" t="n">
        <v>1221</v>
      </c>
      <c r="I1102" s="144" t="inlineStr">
        <is>
          <t>COMMERCIAL</t>
        </is>
      </c>
    </row>
    <row r="1103" ht="18" customHeight="1" s="7">
      <c r="A1103" s="144" t="inlineStr">
        <is>
          <t>STEPHEN JORDAN</t>
        </is>
      </c>
      <c r="B1103" s="144" t="inlineStr">
        <is>
          <t>*061891884 GA</t>
        </is>
      </c>
      <c r="C1103" s="144" t="inlineStr">
        <is>
          <t>ABMERE TRUCKING</t>
        </is>
      </c>
      <c r="D1103" s="144" t="n">
        <v>2294994334</v>
      </c>
      <c r="E1103" s="144" t="inlineStr">
        <is>
          <t>BOX</t>
        </is>
      </c>
      <c r="F1103" s="144" t="inlineStr">
        <is>
          <t>C6550A GA</t>
        </is>
      </c>
      <c r="G1103" s="144" t="inlineStr">
        <is>
          <t>WHITE FREIGHTLINER</t>
        </is>
      </c>
      <c r="H1103" s="144" t="n">
        <v>1221</v>
      </c>
      <c r="I1103" s="144" t="inlineStr">
        <is>
          <t>COMMERCIAL</t>
        </is>
      </c>
    </row>
    <row r="1104" ht="18" customHeight="1" s="7">
      <c r="A1104" s="144" t="inlineStr">
        <is>
          <t>DAVID CLEM</t>
        </is>
      </c>
      <c r="B1104" s="144" t="inlineStr">
        <is>
          <t>L89806331 AZ</t>
        </is>
      </c>
      <c r="C1104" s="144" t="inlineStr">
        <is>
          <t>TAYLOR TRUCKING</t>
        </is>
      </c>
      <c r="D1104" s="144" t="n">
        <v>4808516535</v>
      </c>
      <c r="E1104" s="144" t="inlineStr">
        <is>
          <t>BOX</t>
        </is>
      </c>
      <c r="F1104" s="144" t="inlineStr">
        <is>
          <t>P5999HY TN</t>
        </is>
      </c>
      <c r="G1104" s="144" t="inlineStr">
        <is>
          <t>WHITE FREIGHTLINER</t>
        </is>
      </c>
      <c r="H1104" s="144" t="n">
        <v>1221</v>
      </c>
      <c r="I1104" s="144" t="inlineStr">
        <is>
          <t>COMMERCIAL</t>
        </is>
      </c>
    </row>
    <row r="1105" ht="18" customHeight="1" s="7">
      <c r="A1105" s="144" t="inlineStr">
        <is>
          <t>ASHTON BLACK</t>
        </is>
      </c>
      <c r="B1105" s="144" t="inlineStr">
        <is>
          <t>*061986010 GA</t>
        </is>
      </c>
      <c r="C1105" s="144" t="inlineStr">
        <is>
          <t>METRO POWER</t>
        </is>
      </c>
      <c r="D1105" s="144" t="n">
        <v>2295947325</v>
      </c>
      <c r="E1105" s="144" t="inlineStr">
        <is>
          <t>PU</t>
        </is>
      </c>
      <c r="F1105" s="144" t="inlineStr">
        <is>
          <t>CPD1124 GA</t>
        </is>
      </c>
      <c r="G1105" s="144" t="inlineStr">
        <is>
          <t>WHITE CHEVY</t>
        </is>
      </c>
      <c r="H1105" s="144" t="n">
        <v>5400</v>
      </c>
      <c r="I1105" s="144" t="inlineStr">
        <is>
          <t xml:space="preserve">CONTRACTOR </t>
        </is>
      </c>
    </row>
    <row r="1106" ht="18" customHeight="1" s="7">
      <c r="A1106" s="144" t="inlineStr">
        <is>
          <t>JOSHUA GILES</t>
        </is>
      </c>
      <c r="B1106" s="144" t="inlineStr">
        <is>
          <t>*059769198 GA</t>
        </is>
      </c>
      <c r="C1106" s="144" t="inlineStr">
        <is>
          <t>METRO POWER</t>
        </is>
      </c>
      <c r="D1106" s="144" t="n">
        <v>2295756118</v>
      </c>
      <c r="E1106" s="144" t="inlineStr">
        <is>
          <t>PU</t>
        </is>
      </c>
      <c r="F1106" s="144" t="inlineStr">
        <is>
          <t>CNQ2388 GA</t>
        </is>
      </c>
      <c r="G1106" s="144" t="inlineStr">
        <is>
          <t>WHITE CHEVY</t>
        </is>
      </c>
      <c r="H1106" s="144" t="n">
        <v>5400</v>
      </c>
      <c r="I1106" s="144" t="inlineStr">
        <is>
          <t xml:space="preserve">CONTRACTOR </t>
        </is>
      </c>
    </row>
    <row r="1107" ht="18" customHeight="1" s="7">
      <c r="A1107" s="144" t="inlineStr">
        <is>
          <t>BRANDON VONGPHEUNGPHENG</t>
        </is>
      </c>
      <c r="B1107" s="144" t="inlineStr">
        <is>
          <t>*071429589 GA</t>
        </is>
      </c>
      <c r="C1107" s="144" t="inlineStr">
        <is>
          <t>KLB SOUTH</t>
        </is>
      </c>
      <c r="D1107" s="144" t="n">
        <v>7024163007</v>
      </c>
      <c r="E1107" s="144" t="inlineStr">
        <is>
          <t>BOX</t>
        </is>
      </c>
      <c r="F1107" s="144" t="inlineStr">
        <is>
          <t>R633873 TX</t>
        </is>
      </c>
      <c r="G1107" s="144" t="inlineStr">
        <is>
          <t>WHITE INTERNATIONAL</t>
        </is>
      </c>
      <c r="H1107" s="144" t="inlineStr">
        <is>
          <t>COMMISSARY</t>
        </is>
      </c>
      <c r="I1107" s="144" t="inlineStr">
        <is>
          <t>COMMERCIAL</t>
        </is>
      </c>
    </row>
    <row r="1108" ht="18" customHeight="1" s="7">
      <c r="A1108" s="144" t="inlineStr">
        <is>
          <t>RAMSEY BRADLEY</t>
        </is>
      </c>
      <c r="B1108" s="144" t="inlineStr">
        <is>
          <t>*000020697875 NC</t>
        </is>
      </c>
      <c r="C1108" s="144" t="inlineStr">
        <is>
          <t>COASTAL MULCH</t>
        </is>
      </c>
      <c r="D1108" s="144" t="n">
        <v>9105457693</v>
      </c>
      <c r="E1108" s="144" t="inlineStr">
        <is>
          <t>FLAT</t>
        </is>
      </c>
      <c r="F1108" s="144" t="inlineStr">
        <is>
          <t>MX6280 NC</t>
        </is>
      </c>
      <c r="G1108" s="144" t="inlineStr">
        <is>
          <t>RED PETERBILT</t>
        </is>
      </c>
      <c r="H1108" s="144" t="n">
        <v>1221</v>
      </c>
      <c r="I1108" s="144" t="inlineStr">
        <is>
          <t>COMMERCIAL</t>
        </is>
      </c>
    </row>
    <row r="1109" ht="18" customHeight="1" s="7">
      <c r="A1109" s="144" t="inlineStr">
        <is>
          <t>THOMAS DAMIEN</t>
        </is>
      </c>
      <c r="B1109" s="144" t="inlineStr">
        <is>
          <t>*070064274 GA</t>
        </is>
      </c>
      <c r="C1109" s="144" t="inlineStr">
        <is>
          <t>FAST TRANSP.</t>
        </is>
      </c>
      <c r="D1109" s="144" t="n">
        <v>2393214064</v>
      </c>
      <c r="E1109" s="144" t="inlineStr">
        <is>
          <t>FLAT</t>
        </is>
      </c>
      <c r="F1109" s="144" t="inlineStr">
        <is>
          <t>C747ES GA</t>
        </is>
      </c>
      <c r="G1109" s="144" t="inlineStr">
        <is>
          <t>BLUE VOLVO</t>
        </is>
      </c>
      <c r="H1109" s="144" t="n">
        <v>1221</v>
      </c>
      <c r="I1109" s="144" t="inlineStr">
        <is>
          <t>COMMERCIAL</t>
        </is>
      </c>
    </row>
    <row r="1110" ht="18" customHeight="1" s="7">
      <c r="A1110" s="144" t="inlineStr">
        <is>
          <t>BOLLINGER CHRISTOPHER</t>
        </is>
      </c>
      <c r="B1110" s="144" t="inlineStr">
        <is>
          <t>T66502643 VA</t>
        </is>
      </c>
      <c r="C1110" s="144" t="inlineStr">
        <is>
          <t>FAST TRANSP.</t>
        </is>
      </c>
      <c r="D1110" s="144" t="n">
        <v>2763850168</v>
      </c>
      <c r="E1110" s="144" t="inlineStr">
        <is>
          <t>FLAT</t>
        </is>
      </c>
      <c r="F1110" s="144" t="inlineStr">
        <is>
          <t>U1856HY TEN</t>
        </is>
      </c>
      <c r="G1110" s="144" t="inlineStr">
        <is>
          <t>GREY FREIGHTLINER</t>
        </is>
      </c>
      <c r="H1110" s="144" t="n">
        <v>1221</v>
      </c>
      <c r="I1110" s="144" t="inlineStr">
        <is>
          <t>COMMERCIAL</t>
        </is>
      </c>
    </row>
    <row r="1111" ht="18" customHeight="1" s="7">
      <c r="A1111" s="144" t="inlineStr">
        <is>
          <t>ROBERT STONE</t>
        </is>
      </c>
      <c r="B1111" s="144" t="inlineStr">
        <is>
          <t>*058261120 GA</t>
        </is>
      </c>
      <c r="C1111" s="144" t="inlineStr">
        <is>
          <t>SCHNITZER</t>
        </is>
      </c>
      <c r="D1111" s="144" t="n">
        <v>2294326255</v>
      </c>
      <c r="E1111" s="144" t="inlineStr">
        <is>
          <t>DUMP</t>
        </is>
      </c>
      <c r="F1111" s="144" t="inlineStr">
        <is>
          <t>P4650B GA</t>
        </is>
      </c>
      <c r="G1111" s="144" t="inlineStr">
        <is>
          <t>WHITE KW</t>
        </is>
      </c>
      <c r="H1111" s="144" t="n">
        <v>2400</v>
      </c>
      <c r="I1111" s="144" t="inlineStr">
        <is>
          <t>COMMERCIAL</t>
        </is>
      </c>
    </row>
    <row r="1112" ht="18" customHeight="1" s="7">
      <c r="A1112" s="144" t="inlineStr">
        <is>
          <t>WILLIE JONES</t>
        </is>
      </c>
      <c r="B1112" s="144" t="inlineStr">
        <is>
          <t>*054015910 GA</t>
        </is>
      </c>
      <c r="C1112" s="144" t="inlineStr">
        <is>
          <t>TURF LANDSCAPING</t>
        </is>
      </c>
      <c r="D1112" s="144" t="n">
        <v>2296721361</v>
      </c>
      <c r="E1112" s="144" t="inlineStr">
        <is>
          <t>PU</t>
        </is>
      </c>
      <c r="F1112" s="144" t="inlineStr">
        <is>
          <t>RUC5026 GA</t>
        </is>
      </c>
      <c r="G1112" s="144" t="inlineStr">
        <is>
          <t>WHITE GMC</t>
        </is>
      </c>
      <c r="H1112" s="144" t="inlineStr">
        <is>
          <t>SOLAR PANEL</t>
        </is>
      </c>
      <c r="I1112" s="144" t="inlineStr">
        <is>
          <t xml:space="preserve">CONTRACTOR </t>
        </is>
      </c>
    </row>
    <row r="1113" ht="18" customHeight="1" s="7">
      <c r="A1113" s="144" t="inlineStr">
        <is>
          <t>TONEY ROBINSON</t>
        </is>
      </c>
      <c r="B1113" s="144" t="inlineStr">
        <is>
          <t>*047606552 GA</t>
        </is>
      </c>
      <c r="C1113" s="144" t="inlineStr">
        <is>
          <t>CITY OF ALBANY</t>
        </is>
      </c>
      <c r="D1113" s="144" t="n">
        <v>2298948790</v>
      </c>
      <c r="E1113" s="144" t="inlineStr">
        <is>
          <t>PU</t>
        </is>
      </c>
      <c r="F1113" s="144" t="inlineStr">
        <is>
          <t>GV3291P GA</t>
        </is>
      </c>
      <c r="G1113" s="144" t="inlineStr">
        <is>
          <t>WHITE FORD</t>
        </is>
      </c>
      <c r="H1113" s="144" t="inlineStr">
        <is>
          <t>SOLAR PANEL</t>
        </is>
      </c>
      <c r="I1113" s="144" t="inlineStr">
        <is>
          <t xml:space="preserve">CONTRACTOR </t>
        </is>
      </c>
    </row>
    <row r="1114" ht="18" customHeight="1" s="7">
      <c r="A1114" s="144" t="inlineStr">
        <is>
          <t>JOSEPH HARRIS JR</t>
        </is>
      </c>
      <c r="B1114" s="144" t="inlineStr">
        <is>
          <t>*033265409 GA</t>
        </is>
      </c>
      <c r="C1114" s="144" t="inlineStr">
        <is>
          <t>SPARTAN NASH</t>
        </is>
      </c>
      <c r="D1114" s="144" t="n">
        <v>7069057068</v>
      </c>
      <c r="E1114" s="144" t="inlineStr">
        <is>
          <t>BOX</t>
        </is>
      </c>
      <c r="F1114" s="144" t="inlineStr">
        <is>
          <t>220363 NB</t>
        </is>
      </c>
      <c r="G1114" s="144" t="inlineStr">
        <is>
          <t>WHITE INTERNATIONAL</t>
        </is>
      </c>
      <c r="H1114" s="144" t="inlineStr">
        <is>
          <t>COMMISSARY</t>
        </is>
      </c>
      <c r="I1114" s="144" t="inlineStr">
        <is>
          <t>COMMERCIAL</t>
        </is>
      </c>
    </row>
    <row r="1115" ht="18" customHeight="1" s="7">
      <c r="A1115" s="144" t="inlineStr">
        <is>
          <t>PHARON SMITH</t>
        </is>
      </c>
      <c r="B1115" s="144" t="inlineStr">
        <is>
          <t>*055581528 GA</t>
        </is>
      </c>
      <c r="C1115" s="144" t="inlineStr">
        <is>
          <t>DJA TRUCKING</t>
        </is>
      </c>
      <c r="D1115" s="144" t="n">
        <v>2293102022</v>
      </c>
      <c r="E1115" s="144" t="inlineStr">
        <is>
          <t>FLAT</t>
        </is>
      </c>
      <c r="F1115" s="144" t="inlineStr">
        <is>
          <t>C084EK GA</t>
        </is>
      </c>
      <c r="G1115" s="144" t="inlineStr">
        <is>
          <t>ORANGE PETERBILT</t>
        </is>
      </c>
      <c r="H1115" s="144" t="n">
        <v>1221</v>
      </c>
      <c r="I1115" s="144" t="inlineStr">
        <is>
          <t>COMMERCIAL</t>
        </is>
      </c>
    </row>
    <row r="1116" ht="18" customHeight="1" s="7">
      <c r="A1116" s="144" t="inlineStr">
        <is>
          <t>LEVI BLAIR</t>
        </is>
      </c>
      <c r="B1116" s="144" t="inlineStr">
        <is>
          <t>*061790265 GA</t>
        </is>
      </c>
      <c r="C1116" s="144" t="inlineStr">
        <is>
          <t>INDUSTRIAL MANUFACTURING</t>
        </is>
      </c>
      <c r="D1116" s="144" t="n">
        <v>2298883992</v>
      </c>
      <c r="E1116" s="144" t="inlineStr">
        <is>
          <t>PU</t>
        </is>
      </c>
      <c r="F1116" s="144" t="inlineStr">
        <is>
          <t>YHE532 GA</t>
        </is>
      </c>
      <c r="G1116" s="144" t="inlineStr">
        <is>
          <t>WHITE FORD</t>
        </is>
      </c>
      <c r="H1116" s="144" t="n">
        <v>1221</v>
      </c>
      <c r="I1116" s="144" t="inlineStr">
        <is>
          <t>COMMERCIAL</t>
        </is>
      </c>
    </row>
    <row r="1117" ht="18" customHeight="1" s="7">
      <c r="A1117" s="144" t="inlineStr">
        <is>
          <t>TRISTEN TAYLOR</t>
        </is>
      </c>
      <c r="B1117" s="144" t="inlineStr">
        <is>
          <t>B141281006 MO</t>
        </is>
      </c>
      <c r="C1117" s="144" t="inlineStr">
        <is>
          <t>BASIN TRANSPORT</t>
        </is>
      </c>
      <c r="D1117" s="144" t="n">
        <v>4176505940</v>
      </c>
      <c r="E1117" s="144" t="inlineStr">
        <is>
          <t>BOX</t>
        </is>
      </c>
      <c r="F1117" s="144" t="inlineStr">
        <is>
          <t>3LT155 OK</t>
        </is>
      </c>
      <c r="G1117" s="144" t="inlineStr">
        <is>
          <t>BLACK PETERBILT</t>
        </is>
      </c>
      <c r="H1117" s="144" t="n">
        <v>2250</v>
      </c>
      <c r="I1117" s="144" t="inlineStr">
        <is>
          <t>COMMERCIAL</t>
        </is>
      </c>
    </row>
    <row r="1118" ht="18" customHeight="1" s="7">
      <c r="A1118" s="144" t="inlineStr">
        <is>
          <t xml:space="preserve">ILIR VLASHI </t>
        </is>
      </c>
      <c r="B1118" s="144" t="inlineStr">
        <is>
          <t>V420400632040 FL</t>
        </is>
      </c>
      <c r="C1118" s="144" t="inlineStr">
        <is>
          <t>CONVENANT LOGISTICS</t>
        </is>
      </c>
      <c r="D1118" s="144" t="n">
        <v>3478013080</v>
      </c>
      <c r="E1118" s="144" t="inlineStr">
        <is>
          <t>BOX</t>
        </is>
      </c>
      <c r="F1118" s="144" t="inlineStr">
        <is>
          <t>XE900P FL</t>
        </is>
      </c>
      <c r="G1118" s="144" t="inlineStr">
        <is>
          <t>GREEN VOLVO</t>
        </is>
      </c>
      <c r="H1118" s="144" t="n">
        <v>2500</v>
      </c>
      <c r="I1118" s="144" t="inlineStr">
        <is>
          <t>COMMERCIAL</t>
        </is>
      </c>
    </row>
    <row r="1119" ht="18" customHeight="1" s="7">
      <c r="A1119" s="144" t="inlineStr">
        <is>
          <t>TARALUNGA VLADIMIROVNA</t>
        </is>
      </c>
      <c r="B1119" s="144" t="inlineStr">
        <is>
          <t>T221087208000 FL</t>
        </is>
      </c>
      <c r="C1119" s="144" t="inlineStr">
        <is>
          <t>CARGO BOSS</t>
        </is>
      </c>
      <c r="D1119" s="144" t="n">
        <v>4075910600</v>
      </c>
      <c r="E1119" s="144" t="inlineStr">
        <is>
          <t>FLAT</t>
        </is>
      </c>
      <c r="F1119" s="144" t="inlineStr">
        <is>
          <t>P1110703 IL</t>
        </is>
      </c>
      <c r="G1119" s="144" t="inlineStr">
        <is>
          <t>BLUE WESTERNSTAR</t>
        </is>
      </c>
      <c r="H1119" s="144" t="n">
        <v>1221</v>
      </c>
      <c r="I1119" s="144" t="inlineStr">
        <is>
          <t>COMMERCIAL</t>
        </is>
      </c>
    </row>
    <row r="1120" ht="18" customHeight="1" s="7">
      <c r="A1120" s="144" t="inlineStr">
        <is>
          <t>RUSTY TABB</t>
        </is>
      </c>
      <c r="B1120" s="144" t="inlineStr">
        <is>
          <t>*05627505 GA</t>
        </is>
      </c>
      <c r="C1120" s="144" t="inlineStr">
        <is>
          <t>RHC</t>
        </is>
      </c>
      <c r="D1120" s="144" t="n">
        <v>2294353500</v>
      </c>
      <c r="E1120" s="144" t="inlineStr">
        <is>
          <t>PU</t>
        </is>
      </c>
      <c r="F1120" s="144" t="inlineStr">
        <is>
          <t>TGH1975 GA</t>
        </is>
      </c>
      <c r="G1120" s="144" t="inlineStr">
        <is>
          <t>WHITE FORD</t>
        </is>
      </c>
      <c r="H1120" s="144" t="inlineStr">
        <is>
          <t>HOUSING</t>
        </is>
      </c>
      <c r="I1120" s="144" t="inlineStr">
        <is>
          <t xml:space="preserve">CONTRACTOR </t>
        </is>
      </c>
    </row>
    <row r="1121" ht="18" customHeight="1" s="7">
      <c r="A1121" s="144" t="inlineStr">
        <is>
          <t xml:space="preserve">JERRY HOUGHTON </t>
        </is>
      </c>
      <c r="B1121" s="144" t="inlineStr">
        <is>
          <t>H94156709 KY</t>
        </is>
      </c>
      <c r="C1121" s="144" t="inlineStr">
        <is>
          <t xml:space="preserve">STEEL FACTOR </t>
        </is>
      </c>
      <c r="D1121" s="144" t="n">
        <v>5022296327</v>
      </c>
      <c r="E1121" s="144" t="inlineStr">
        <is>
          <t>BOX</t>
        </is>
      </c>
      <c r="F1121" s="144" t="inlineStr">
        <is>
          <t>A99022 GA</t>
        </is>
      </c>
      <c r="G1121" s="144" t="inlineStr">
        <is>
          <t>WHITE INTERNATIONAL</t>
        </is>
      </c>
      <c r="H1121" s="144" t="n">
        <v>1221</v>
      </c>
      <c r="I1121" s="144" t="inlineStr">
        <is>
          <t>COMMERCIAL</t>
        </is>
      </c>
    </row>
    <row r="1122" ht="18" customHeight="1" s="7">
      <c r="A1122" s="144" t="inlineStr">
        <is>
          <t>CHARLES PEARSON</t>
        </is>
      </c>
      <c r="B1122" s="144" t="inlineStr">
        <is>
          <t>*053098822 GA</t>
        </is>
      </c>
      <c r="C1122" s="144" t="inlineStr">
        <is>
          <t>ABF FREIGHT</t>
        </is>
      </c>
      <c r="D1122" s="144" t="n">
        <v>2292514850</v>
      </c>
      <c r="E1122" s="144" t="inlineStr">
        <is>
          <t>BOX</t>
        </is>
      </c>
      <c r="F1122" s="144" t="inlineStr">
        <is>
          <t>2XW633 OK</t>
        </is>
      </c>
      <c r="G1122" s="144" t="inlineStr">
        <is>
          <t>GREEN MACK</t>
        </is>
      </c>
      <c r="H1122" s="144" t="n">
        <v>1221</v>
      </c>
      <c r="I1122" s="144" t="inlineStr">
        <is>
          <t>COMMERCIAL</t>
        </is>
      </c>
    </row>
    <row r="1123" ht="18" customHeight="1" s="7">
      <c r="A1123" s="144" t="inlineStr">
        <is>
          <t>SERGIO RODRIGUEZ</t>
        </is>
      </c>
      <c r="B1123" s="144" t="inlineStr">
        <is>
          <t>R362780793000 FL</t>
        </is>
      </c>
      <c r="C1123" s="144" t="inlineStr">
        <is>
          <t>SEPV</t>
        </is>
      </c>
      <c r="D1123" s="144" t="n">
        <v>8137789778</v>
      </c>
      <c r="E1123" s="144" t="inlineStr">
        <is>
          <t>BOX</t>
        </is>
      </c>
      <c r="F1123" s="144" t="inlineStr">
        <is>
          <t>XE920A FL</t>
        </is>
      </c>
      <c r="G1123" s="144" t="inlineStr">
        <is>
          <t>WHITE PETERBILT</t>
        </is>
      </c>
      <c r="H1123" s="144" t="n">
        <v>1221</v>
      </c>
      <c r="I1123" s="144" t="inlineStr">
        <is>
          <t>COMMERCIAL</t>
        </is>
      </c>
    </row>
    <row r="1124" ht="18" customHeight="1" s="7">
      <c r="A1124" s="144" t="inlineStr">
        <is>
          <t>LEONID KUSHNIR</t>
        </is>
      </c>
      <c r="B1124" s="144" t="inlineStr">
        <is>
          <t>K256521643760 FL</t>
        </is>
      </c>
      <c r="C1124" s="144" t="inlineStr">
        <is>
          <t>PLATINUM TRANS</t>
        </is>
      </c>
      <c r="D1124" s="144" t="n">
        <v>7204218259</v>
      </c>
      <c r="E1124" s="144" t="inlineStr">
        <is>
          <t>BOX</t>
        </is>
      </c>
      <c r="F1124" s="144" t="inlineStr">
        <is>
          <t>RP12879 WA</t>
        </is>
      </c>
      <c r="G1124" s="144" t="inlineStr">
        <is>
          <t>GREEN VOLVO</t>
        </is>
      </c>
      <c r="H1124" s="144" t="n">
        <v>1221</v>
      </c>
      <c r="I1124" s="144" t="inlineStr">
        <is>
          <t>COMMERCIAL</t>
        </is>
      </c>
    </row>
    <row r="1125" ht="18" customHeight="1" s="7">
      <c r="A1125" s="144" t="inlineStr">
        <is>
          <t xml:space="preserve">RAFAEL MEW </t>
        </is>
      </c>
      <c r="B1125" s="144" t="inlineStr">
        <is>
          <t>*053744226 GA</t>
        </is>
      </c>
      <c r="C1125" s="144" t="inlineStr">
        <is>
          <t>MEWCO</t>
        </is>
      </c>
      <c r="D1125" s="144" t="n">
        <v>4702778097</v>
      </c>
      <c r="E1125" s="144" t="inlineStr">
        <is>
          <t>BOX</t>
        </is>
      </c>
      <c r="F1125" s="144" t="inlineStr">
        <is>
          <t>YVF631 GA</t>
        </is>
      </c>
      <c r="G1125" s="144" t="inlineStr">
        <is>
          <t>WHITE HINO</t>
        </is>
      </c>
      <c r="H1125" s="144" t="n">
        <v>1221</v>
      </c>
      <c r="I1125" s="144" t="inlineStr">
        <is>
          <t>COMMERCIAL</t>
        </is>
      </c>
    </row>
    <row r="1126" ht="18" customHeight="1" s="7">
      <c r="A1126" s="144" t="inlineStr">
        <is>
          <t>RYAN RICE</t>
        </is>
      </c>
      <c r="B1126" s="144" t="inlineStr">
        <is>
          <t>*049995786 GA</t>
        </is>
      </c>
      <c r="C1126" s="144" t="inlineStr">
        <is>
          <t>TAMMY RICE</t>
        </is>
      </c>
      <c r="D1126" s="144" t="n">
        <v>2294216324</v>
      </c>
      <c r="E1126" s="144" t="inlineStr">
        <is>
          <t>BOX</t>
        </is>
      </c>
      <c r="F1126" s="144" t="inlineStr">
        <is>
          <t>C1271C GA</t>
        </is>
      </c>
      <c r="G1126" s="144" t="inlineStr">
        <is>
          <t>WHITE INTERNATIONAL</t>
        </is>
      </c>
      <c r="H1126" s="144" t="n">
        <v>1221</v>
      </c>
      <c r="I1126" s="144" t="inlineStr">
        <is>
          <t>COMMERCIAL</t>
        </is>
      </c>
    </row>
    <row r="1127" ht="18" customHeight="1" s="7">
      <c r="A1127" s="144" t="inlineStr">
        <is>
          <t>JOSEPH UMPHLETT</t>
        </is>
      </c>
      <c r="B1127" s="144" t="inlineStr">
        <is>
          <t>*000002159575 NC</t>
        </is>
      </c>
      <c r="C1127" s="144" t="inlineStr">
        <is>
          <t xml:space="preserve">JC SPECIALIZATION </t>
        </is>
      </c>
      <c r="D1127" s="144" t="n">
        <v>3059785939</v>
      </c>
      <c r="E1127" s="144" t="inlineStr">
        <is>
          <t>BOX</t>
        </is>
      </c>
      <c r="F1127" s="144" t="inlineStr">
        <is>
          <t>VV2862 NC</t>
        </is>
      </c>
      <c r="G1127" s="144" t="inlineStr">
        <is>
          <t>GREY PETERBILT</t>
        </is>
      </c>
      <c r="H1127" s="144" t="n">
        <v>1221</v>
      </c>
      <c r="I1127" s="144" t="inlineStr">
        <is>
          <t>COMMERCIAL</t>
        </is>
      </c>
    </row>
    <row r="1128" ht="18" customHeight="1" s="7">
      <c r="A1128" s="144" t="inlineStr">
        <is>
          <t>BRINKLEY OTIS JR</t>
        </is>
      </c>
      <c r="B1128" s="144" t="inlineStr">
        <is>
          <t>*000030651225 NC</t>
        </is>
      </c>
      <c r="C1128" s="144" t="inlineStr">
        <is>
          <t>ELE LOGISTICS</t>
        </is>
      </c>
      <c r="D1128" s="144" t="n">
        <v>2523780142</v>
      </c>
      <c r="E1128" s="144" t="inlineStr">
        <is>
          <t>BOX</t>
        </is>
      </c>
      <c r="F1128" s="144" t="inlineStr">
        <is>
          <t>NV2863 NC</t>
        </is>
      </c>
      <c r="G1128" s="144" t="inlineStr">
        <is>
          <t>BLUE INTERNATIONAL</t>
        </is>
      </c>
      <c r="H1128" s="144" t="n">
        <v>1221</v>
      </c>
      <c r="I1128" s="144" t="inlineStr">
        <is>
          <t>COMMERCIAL</t>
        </is>
      </c>
    </row>
    <row r="1129" ht="18" customHeight="1" s="7">
      <c r="A1129" s="144" t="inlineStr">
        <is>
          <t>ROHMON PIERRE</t>
        </is>
      </c>
      <c r="B1129" s="144" t="inlineStr">
        <is>
          <t>MD1024307062 MD</t>
        </is>
      </c>
      <c r="C1129" s="144" t="inlineStr">
        <is>
          <t>RPL</t>
        </is>
      </c>
      <c r="D1129" s="144" t="n">
        <v>4439864189</v>
      </c>
      <c r="E1129" s="144" t="inlineStr">
        <is>
          <t>BOX</t>
        </is>
      </c>
      <c r="F1129" s="144" t="inlineStr">
        <is>
          <t>VV2346 NC</t>
        </is>
      </c>
      <c r="G1129" s="144" t="inlineStr">
        <is>
          <t>BLUE VOLVO</t>
        </is>
      </c>
      <c r="H1129" s="144" t="n">
        <v>1221</v>
      </c>
      <c r="I1129" s="144" t="inlineStr">
        <is>
          <t>COMMERCIAL</t>
        </is>
      </c>
    </row>
    <row r="1130" ht="18" customHeight="1" s="7">
      <c r="A1130" s="144" t="inlineStr">
        <is>
          <t>JAMES MALCOLM</t>
        </is>
      </c>
      <c r="B1130" s="144" t="inlineStr">
        <is>
          <t>J520541770820</t>
        </is>
      </c>
      <c r="C1130" s="144" t="inlineStr">
        <is>
          <t>MAG CARRIERS</t>
        </is>
      </c>
      <c r="D1130" s="144" t="n">
        <v>9046270269</v>
      </c>
      <c r="E1130" s="144" t="inlineStr">
        <is>
          <t>BOX</t>
        </is>
      </c>
      <c r="F1130" s="144" t="inlineStr">
        <is>
          <t>C171CR GA</t>
        </is>
      </c>
      <c r="G1130" s="144" t="inlineStr">
        <is>
          <t>YELLOW FREIGHTLINER</t>
        </is>
      </c>
      <c r="H1130" s="144" t="n">
        <v>1221</v>
      </c>
      <c r="I1130" s="144" t="inlineStr">
        <is>
          <t>COMMERCIAL</t>
        </is>
      </c>
    </row>
    <row r="1131" ht="18" customHeight="1" s="7">
      <c r="A1131" s="144" t="inlineStr">
        <is>
          <t>VICTOR VASQUEZ</t>
        </is>
      </c>
      <c r="B1131" s="144" t="inlineStr">
        <is>
          <t>V221873803220 FL</t>
        </is>
      </c>
      <c r="C1131" s="144" t="inlineStr">
        <is>
          <t>VAZQUEZ TRANS</t>
        </is>
      </c>
      <c r="D1131" s="144" t="n">
        <v>9049475779</v>
      </c>
      <c r="E1131" s="144" t="inlineStr">
        <is>
          <t>BOX</t>
        </is>
      </c>
      <c r="F1131" s="144" t="inlineStr">
        <is>
          <t>XE818Y FL</t>
        </is>
      </c>
      <c r="G1131" s="144" t="inlineStr">
        <is>
          <t>WHITE PETERBILT</t>
        </is>
      </c>
      <c r="H1131" s="144" t="n">
        <v>1221</v>
      </c>
      <c r="I1131" s="144" t="inlineStr">
        <is>
          <t>COMMERCIAL</t>
        </is>
      </c>
    </row>
    <row r="1132" ht="18" customHeight="1" s="7">
      <c r="A1132" s="144" t="inlineStr">
        <is>
          <t>PIOTR DROGOSZ</t>
        </is>
      </c>
      <c r="B1132" s="144" t="inlineStr">
        <is>
          <t>106352674 NC</t>
        </is>
      </c>
      <c r="C1132" s="144" t="inlineStr">
        <is>
          <t>SADHATA</t>
        </is>
      </c>
      <c r="D1132" s="144" t="n">
        <v>7738163990</v>
      </c>
      <c r="E1132" s="144" t="inlineStr">
        <is>
          <t>BOX</t>
        </is>
      </c>
      <c r="F1132" s="144" t="inlineStr">
        <is>
          <t>P778210 SC</t>
        </is>
      </c>
      <c r="G1132" s="144" t="inlineStr">
        <is>
          <t>WHITE FREIGHTLINER</t>
        </is>
      </c>
      <c r="H1132" s="144" t="n">
        <v>1221</v>
      </c>
      <c r="I1132" s="144" t="inlineStr">
        <is>
          <t>COMMERCIAL</t>
        </is>
      </c>
    </row>
    <row r="1133" ht="18" customHeight="1" s="7">
      <c r="A1133" s="144" t="inlineStr">
        <is>
          <t>GEORGE ELLIS</t>
        </is>
      </c>
      <c r="B1133" s="144" t="inlineStr">
        <is>
          <t>*039051245 GA</t>
        </is>
      </c>
      <c r="C1133" s="144" t="inlineStr">
        <is>
          <t>DUKE AND ROCK ELLIS</t>
        </is>
      </c>
      <c r="D1133" s="144" t="n">
        <v>7708563431</v>
      </c>
      <c r="E1133" s="144" t="inlineStr">
        <is>
          <t>BOX</t>
        </is>
      </c>
      <c r="F1133" s="144" t="inlineStr">
        <is>
          <t>IC3E53 GA</t>
        </is>
      </c>
      <c r="G1133" s="144" t="inlineStr">
        <is>
          <t>WHITE FREIGHTLINER</t>
        </is>
      </c>
      <c r="H1133" s="144" t="n">
        <v>1221</v>
      </c>
      <c r="I1133" s="144" t="inlineStr">
        <is>
          <t>COMMERCIAL</t>
        </is>
      </c>
    </row>
    <row r="1134" ht="18" customHeight="1" s="7">
      <c r="A1134" s="144" t="inlineStr">
        <is>
          <t>ABRON SLAUGHTER</t>
        </is>
      </c>
      <c r="B1134" s="144" t="inlineStr">
        <is>
          <t>*057583539 GA</t>
        </is>
      </c>
      <c r="C1134" s="144" t="inlineStr">
        <is>
          <t>BEST TRAX</t>
        </is>
      </c>
      <c r="D1134" s="144" t="n">
        <v>4048604621</v>
      </c>
      <c r="E1134" s="144" t="inlineStr">
        <is>
          <t>PU</t>
        </is>
      </c>
      <c r="F1134" s="144" t="inlineStr">
        <is>
          <t>GLD118 GA</t>
        </is>
      </c>
      <c r="G1134" s="144" t="inlineStr">
        <is>
          <t>WHITE DODGE</t>
        </is>
      </c>
      <c r="H1134" s="144" t="n">
        <v>1221</v>
      </c>
      <c r="I1134" s="144" t="inlineStr">
        <is>
          <t>COMMERCIAL</t>
        </is>
      </c>
    </row>
    <row r="1135" ht="18" customHeight="1" s="7">
      <c r="A1135" s="144" t="inlineStr">
        <is>
          <t>KEITH LAWRENCE</t>
        </is>
      </c>
      <c r="B1135" s="144" t="inlineStr">
        <is>
          <t>20737308 PA</t>
        </is>
      </c>
      <c r="C1135" s="144" t="inlineStr">
        <is>
          <t>BTW LOGISTICS</t>
        </is>
      </c>
      <c r="D1135" s="144" t="n">
        <v>2672312316</v>
      </c>
      <c r="E1135" s="144" t="inlineStr">
        <is>
          <t>BOX</t>
        </is>
      </c>
      <c r="F1135" s="144" t="inlineStr">
        <is>
          <t>U9470HY TN</t>
        </is>
      </c>
      <c r="G1135" s="144" t="inlineStr">
        <is>
          <t>BLUE FREIGHTLINER</t>
        </is>
      </c>
      <c r="H1135" s="144" t="n">
        <v>1221</v>
      </c>
      <c r="I1135" s="144" t="inlineStr">
        <is>
          <t>COMMERCIAL</t>
        </is>
      </c>
    </row>
    <row r="1136" ht="18" customHeight="1" s="7">
      <c r="A1136" s="144" t="inlineStr">
        <is>
          <t>CHADRIC DEVERAEUX</t>
        </is>
      </c>
      <c r="B1136" s="144" t="inlineStr">
        <is>
          <t>*049740225 GA</t>
        </is>
      </c>
      <c r="C1136" s="144" t="inlineStr">
        <is>
          <t>STRAIGHTWAY TRANS</t>
        </is>
      </c>
      <c r="D1136" s="144" t="n">
        <v>782346923</v>
      </c>
      <c r="E1136" s="144" t="inlineStr">
        <is>
          <t>BOX</t>
        </is>
      </c>
      <c r="F1136" s="144" t="inlineStr">
        <is>
          <t>C214EH GA</t>
        </is>
      </c>
      <c r="G1136" s="144" t="inlineStr">
        <is>
          <t>GREEN FREIGHTLINER</t>
        </is>
      </c>
      <c r="H1136" s="144" t="n">
        <v>1221</v>
      </c>
      <c r="I1136" s="144" t="inlineStr">
        <is>
          <t>COMMERCIAL</t>
        </is>
      </c>
    </row>
    <row r="1137" ht="18" customHeight="1" s="7">
      <c r="A1137" s="144" t="inlineStr">
        <is>
          <t>WILLIAM RICE</t>
        </is>
      </c>
      <c r="B1137" s="144" t="inlineStr">
        <is>
          <t>*059375480 GA</t>
        </is>
      </c>
      <c r="C1137" s="144" t="inlineStr">
        <is>
          <t>S&amp;S CONCRETE</t>
        </is>
      </c>
      <c r="D1137" s="144" t="n">
        <v>2298543055</v>
      </c>
      <c r="E1137" s="144" t="inlineStr">
        <is>
          <t>PU</t>
        </is>
      </c>
      <c r="F1137" s="144" t="inlineStr">
        <is>
          <t>SCL7373 GA</t>
        </is>
      </c>
      <c r="G1137" s="144" t="inlineStr">
        <is>
          <t>SILVER FORD</t>
        </is>
      </c>
      <c r="H1137" s="144" t="inlineStr">
        <is>
          <t>TENNIS COURT</t>
        </is>
      </c>
      <c r="I1137" s="144" t="inlineStr">
        <is>
          <t>COMMERCIAL</t>
        </is>
      </c>
    </row>
    <row r="1138" ht="18" customHeight="1" s="7">
      <c r="A1138" s="144" t="inlineStr">
        <is>
          <t>NEWTON KENNETH</t>
        </is>
      </c>
      <c r="B1138" s="144" t="inlineStr">
        <is>
          <t>T67542886 VA</t>
        </is>
      </c>
      <c r="C1138" s="144" t="inlineStr">
        <is>
          <t>KWT TRANS</t>
        </is>
      </c>
      <c r="D1138" s="144" t="n">
        <v>4343902968</v>
      </c>
      <c r="E1138" s="144" t="inlineStr">
        <is>
          <t>FLAT</t>
        </is>
      </c>
      <c r="F1138" s="144" t="inlineStr">
        <is>
          <t>20954 VA</t>
        </is>
      </c>
      <c r="G1138" s="144" t="inlineStr">
        <is>
          <t>RED PETERBILT</t>
        </is>
      </c>
      <c r="H1138" s="144" t="n">
        <v>1221</v>
      </c>
      <c r="I1138" s="144" t="inlineStr">
        <is>
          <t>COMMERCIAL</t>
        </is>
      </c>
    </row>
    <row r="1139" ht="18" customHeight="1" s="7">
      <c r="A1139" s="144" t="inlineStr">
        <is>
          <t>GERALD COLLIER</t>
        </is>
      </c>
      <c r="B1139" s="144" t="inlineStr">
        <is>
          <t>*052455056 GA</t>
        </is>
      </c>
      <c r="C1139" s="144" t="inlineStr">
        <is>
          <t>R&amp;L</t>
        </is>
      </c>
      <c r="D1139" s="144" t="n">
        <v>2293648466</v>
      </c>
      <c r="E1139" s="144" t="inlineStr">
        <is>
          <t>BOX</t>
        </is>
      </c>
      <c r="F1139" s="144" t="inlineStr">
        <is>
          <t>3278310 IN</t>
        </is>
      </c>
      <c r="G1139" s="144" t="inlineStr">
        <is>
          <t>GREEN INTER</t>
        </is>
      </c>
      <c r="H1139" s="144" t="n">
        <v>1330</v>
      </c>
      <c r="I1139" s="144" t="inlineStr">
        <is>
          <t>COMMERCIAL</t>
        </is>
      </c>
    </row>
    <row r="1140" ht="18" customHeight="1" s="7">
      <c r="A1140" s="144" t="inlineStr">
        <is>
          <t>HALL TOM</t>
        </is>
      </c>
      <c r="B1140" s="144" t="inlineStr">
        <is>
          <t>*054288901 GA</t>
        </is>
      </c>
      <c r="C1140" s="144" t="inlineStr">
        <is>
          <t>EAGLE TRANSPORT</t>
        </is>
      </c>
      <c r="D1140" s="144" t="n">
        <v>2293344783</v>
      </c>
      <c r="E1140" s="144" t="inlineStr">
        <is>
          <t>GAS</t>
        </is>
      </c>
      <c r="F1140" s="144" t="inlineStr">
        <is>
          <t>3488560 IN</t>
        </is>
      </c>
      <c r="G1140" s="144" t="inlineStr">
        <is>
          <t>WHT FREIGHT</t>
        </is>
      </c>
      <c r="H1140" s="144" t="inlineStr">
        <is>
          <t>MCX</t>
        </is>
      </c>
      <c r="I1140" s="144" t="inlineStr">
        <is>
          <t>COMMERCIAL</t>
        </is>
      </c>
    </row>
    <row r="1141" ht="18" customHeight="1" s="7">
      <c r="A1141" s="144" t="inlineStr">
        <is>
          <t>CORERY SULLIVAN</t>
        </is>
      </c>
      <c r="B1141" s="144" t="inlineStr">
        <is>
          <t>*054294323 GA</t>
        </is>
      </c>
      <c r="C1141" s="144" t="inlineStr">
        <is>
          <t>PEERLESS</t>
        </is>
      </c>
      <c r="D1141" s="144" t="n">
        <v>2293109957</v>
      </c>
      <c r="E1141" s="144" t="inlineStr">
        <is>
          <t>PU</t>
        </is>
      </c>
      <c r="F1141" s="144" t="inlineStr">
        <is>
          <t>RBN2602 GA</t>
        </is>
      </c>
      <c r="G1141" s="144" t="inlineStr">
        <is>
          <t>WHT CHEVY</t>
        </is>
      </c>
      <c r="H1141" s="144" t="n">
        <v>2200</v>
      </c>
      <c r="I1141" s="144" t="inlineStr">
        <is>
          <t xml:space="preserve">CONTRACTOR </t>
        </is>
      </c>
    </row>
    <row r="1142" ht="18" customHeight="1" s="7">
      <c r="A1142" s="144" t="inlineStr">
        <is>
          <t>JEROME JOHNSON</t>
        </is>
      </c>
      <c r="B1142" s="144" t="inlineStr">
        <is>
          <t>*056470939 GA</t>
        </is>
      </c>
      <c r="C1142" s="144" t="inlineStr">
        <is>
          <t>SRM</t>
        </is>
      </c>
      <c r="D1142" s="144" t="n">
        <v>2294344758</v>
      </c>
      <c r="E1142" s="144" t="inlineStr">
        <is>
          <t>CRANE</t>
        </is>
      </c>
      <c r="F1142" s="144" t="inlineStr">
        <is>
          <t>P6431HY TN</t>
        </is>
      </c>
      <c r="G1142" s="144" t="inlineStr">
        <is>
          <t>WHITE KENWORTH</t>
        </is>
      </c>
      <c r="H1142" s="144" t="inlineStr">
        <is>
          <t>COMMISSARY</t>
        </is>
      </c>
      <c r="I1142" s="144" t="inlineStr">
        <is>
          <t>COMMERCIAL</t>
        </is>
      </c>
    </row>
    <row r="1143" ht="18" customHeight="1" s="7">
      <c r="A1143" s="144" t="inlineStr">
        <is>
          <t>JAMES WHITT</t>
        </is>
      </c>
      <c r="B1143" s="58" t="inlineStr">
        <is>
          <t>*000005176381 NC</t>
        </is>
      </c>
      <c r="C1143" s="58" t="inlineStr">
        <is>
          <t>LANDSTAR</t>
        </is>
      </c>
      <c r="D1143" s="58" t="n">
        <v>8283106814</v>
      </c>
      <c r="E1143" s="144" t="inlineStr">
        <is>
          <t>BOX</t>
        </is>
      </c>
      <c r="F1143" s="144" t="inlineStr">
        <is>
          <t>3411069 IN</t>
        </is>
      </c>
      <c r="G1143" s="144" t="inlineStr">
        <is>
          <t>WHITE FREIGHTLINER</t>
        </is>
      </c>
      <c r="H1143" s="144" t="n">
        <v>1221</v>
      </c>
      <c r="I1143" s="144" t="inlineStr">
        <is>
          <t>COMMERCIAL</t>
        </is>
      </c>
    </row>
    <row r="1144" ht="18" customHeight="1" s="7">
      <c r="A1144" s="144" t="inlineStr">
        <is>
          <t>EMMANUEL MKWAWE</t>
        </is>
      </c>
      <c r="B1144" s="58" t="inlineStr">
        <is>
          <t>*063683702 GA</t>
        </is>
      </c>
      <c r="C1144" s="58" t="inlineStr">
        <is>
          <t>HUD HUD</t>
        </is>
      </c>
      <c r="D1144" s="58" t="n">
        <v>4048619972</v>
      </c>
      <c r="E1144" s="58" t="inlineStr">
        <is>
          <t>BOX</t>
        </is>
      </c>
      <c r="F1144" s="58" t="inlineStr">
        <is>
          <t>1AE15E MA</t>
        </is>
      </c>
      <c r="G1144" s="144" t="inlineStr">
        <is>
          <t>RED FREIGHTLINER</t>
        </is>
      </c>
      <c r="H1144" s="144" t="n">
        <v>1221</v>
      </c>
      <c r="I1144" s="144" t="inlineStr">
        <is>
          <t>COMMERCIAL</t>
        </is>
      </c>
    </row>
    <row r="1145" ht="18" customHeight="1" s="7">
      <c r="A1145" s="144" t="inlineStr">
        <is>
          <t>JOSEPH PEARSON</t>
        </is>
      </c>
      <c r="B1145" s="144" t="inlineStr">
        <is>
          <t>*071206427 GA</t>
        </is>
      </c>
      <c r="C1145" s="144" t="inlineStr">
        <is>
          <t>U TEC CONSTRUCTION</t>
        </is>
      </c>
      <c r="D1145" s="144" t="n">
        <v>2183487677</v>
      </c>
      <c r="E1145" s="144" t="inlineStr">
        <is>
          <t>PU</t>
        </is>
      </c>
      <c r="F1145" s="144" t="inlineStr">
        <is>
          <t>ZHX901 GA</t>
        </is>
      </c>
      <c r="G1145" s="144" t="inlineStr">
        <is>
          <t>WHITE FORD</t>
        </is>
      </c>
      <c r="H1145" s="144" t="inlineStr">
        <is>
          <t>HOUSING</t>
        </is>
      </c>
      <c r="I1145" s="144" t="inlineStr">
        <is>
          <t xml:space="preserve">CONTRACTOR </t>
        </is>
      </c>
    </row>
    <row r="1146" ht="18" customHeight="1" s="7">
      <c r="A1146" s="144" t="inlineStr">
        <is>
          <t>JORGE GARCIA</t>
        </is>
      </c>
      <c r="B1146" s="144" t="inlineStr">
        <is>
          <t>A1401588 CA</t>
        </is>
      </c>
      <c r="C1146" s="144" t="inlineStr">
        <is>
          <t>TASH CONSTRUCTION</t>
        </is>
      </c>
      <c r="D1146" s="144" t="n">
        <v>7605352611</v>
      </c>
      <c r="E1146" s="144" t="inlineStr">
        <is>
          <t>BOX</t>
        </is>
      </c>
      <c r="F1146" s="144" t="inlineStr">
        <is>
          <t>ZP24505 CA</t>
        </is>
      </c>
      <c r="G1146" s="144" t="inlineStr">
        <is>
          <t>GREEN KENWORTH</t>
        </is>
      </c>
      <c r="H1146" s="144" t="n">
        <v>1221</v>
      </c>
      <c r="I1146" s="144" t="inlineStr">
        <is>
          <t>COMMERCIAL</t>
        </is>
      </c>
    </row>
    <row r="1147" ht="18" customHeight="1" s="7">
      <c r="A1147" s="144" t="inlineStr">
        <is>
          <t>AMARJEET SAINI</t>
        </is>
      </c>
      <c r="B1147" s="144" t="inlineStr">
        <is>
          <t>B5822537 CA</t>
        </is>
      </c>
      <c r="C1147" s="144" t="inlineStr">
        <is>
          <t>KAMAL LOGISTICS</t>
        </is>
      </c>
      <c r="D1147" s="144" t="n">
        <v>9515671423</v>
      </c>
      <c r="E1147" s="144" t="inlineStr">
        <is>
          <t>BOX</t>
        </is>
      </c>
      <c r="F1147" s="144" t="inlineStr">
        <is>
          <t>ZP49577 CA</t>
        </is>
      </c>
      <c r="G1147" s="144" t="inlineStr">
        <is>
          <t>WHITE FREIGHTLINER</t>
        </is>
      </c>
      <c r="H1147" s="144" t="n">
        <v>1221</v>
      </c>
      <c r="I1147" s="144" t="inlineStr">
        <is>
          <t>COMMERCIAL</t>
        </is>
      </c>
    </row>
    <row r="1148" ht="18" customHeight="1" s="7">
      <c r="A1148" s="144" t="inlineStr">
        <is>
          <t>JOHNTAVIOUS HARBIN</t>
        </is>
      </c>
      <c r="B1148" s="144" t="inlineStr">
        <is>
          <t>*054637445 GA</t>
        </is>
      </c>
      <c r="C1148" s="144" t="inlineStr">
        <is>
          <t>BIG DAWG TRANSPORT</t>
        </is>
      </c>
      <c r="D1148" s="144" t="n">
        <v>4703284592</v>
      </c>
      <c r="E1148" s="144" t="inlineStr">
        <is>
          <t>BOX</t>
        </is>
      </c>
      <c r="F1148" s="144" t="inlineStr">
        <is>
          <t>C860DV GA</t>
        </is>
      </c>
      <c r="G1148" s="144" t="inlineStr">
        <is>
          <t>WHITE INTERNATIONAL</t>
        </is>
      </c>
      <c r="H1148" s="144" t="n">
        <v>1221</v>
      </c>
      <c r="I1148" s="144" t="inlineStr">
        <is>
          <t>COMMERCIAL</t>
        </is>
      </c>
    </row>
    <row r="1149" ht="18" customHeight="1" s="7">
      <c r="A1149" s="144" t="inlineStr">
        <is>
          <t>JOSEPH PERRY</t>
        </is>
      </c>
      <c r="B1149" s="144" t="inlineStr">
        <is>
          <t>*049722562 GA</t>
        </is>
      </c>
      <c r="C1149" s="144" t="inlineStr">
        <is>
          <t>EMCO SERVICES</t>
        </is>
      </c>
      <c r="D1149" s="144" t="n">
        <v>2298696940</v>
      </c>
      <c r="E1149" s="144" t="inlineStr">
        <is>
          <t>VAN</t>
        </is>
      </c>
      <c r="F1149" s="144" t="inlineStr">
        <is>
          <t>PXQK65 FL</t>
        </is>
      </c>
      <c r="G1149" s="144" t="inlineStr">
        <is>
          <t>FORD, WHITE</t>
        </is>
      </c>
      <c r="H1149" s="144" t="inlineStr">
        <is>
          <t>BASEWIDE</t>
        </is>
      </c>
      <c r="I1149" s="144" t="inlineStr">
        <is>
          <t xml:space="preserve">CONTRACTOR </t>
        </is>
      </c>
    </row>
    <row r="1150" ht="18" customHeight="1" s="7">
      <c r="A1150" s="144" t="inlineStr">
        <is>
          <t>MICHAEL POPE</t>
        </is>
      </c>
      <c r="B1150" s="144" t="inlineStr">
        <is>
          <t>P100556681890 FL</t>
        </is>
      </c>
      <c r="C1150" s="144" t="inlineStr">
        <is>
          <t>BENNETT MOTOR</t>
        </is>
      </c>
      <c r="D1150" s="144" t="n">
        <v>4076377369</v>
      </c>
      <c r="E1150" s="144" t="inlineStr">
        <is>
          <t>FLAT</t>
        </is>
      </c>
      <c r="F1150" s="144" t="inlineStr">
        <is>
          <t>P973151 IL</t>
        </is>
      </c>
      <c r="G1150" s="144" t="inlineStr">
        <is>
          <t>WHITE PETERBILT</t>
        </is>
      </c>
      <c r="H1150" s="144" t="n">
        <v>1221</v>
      </c>
      <c r="I1150" s="144" t="inlineStr">
        <is>
          <t>COMMERCIAL</t>
        </is>
      </c>
    </row>
    <row r="1151" ht="18" customHeight="1" s="7">
      <c r="A1151" s="144" t="inlineStr">
        <is>
          <t>JONATHAN LANGSTON</t>
        </is>
      </c>
      <c r="B1151" s="144" t="inlineStr">
        <is>
          <t>*059322117 GA</t>
        </is>
      </c>
      <c r="C1151" s="144" t="inlineStr">
        <is>
          <t>CITY OF ALBANY</t>
        </is>
      </c>
      <c r="D1151" s="144" t="n">
        <v>2298549942</v>
      </c>
      <c r="E1151" s="144" t="inlineStr">
        <is>
          <t>PU</t>
        </is>
      </c>
      <c r="F1151" s="144" t="inlineStr">
        <is>
          <t>GV234AV GA</t>
        </is>
      </c>
      <c r="G1151" s="144" t="inlineStr">
        <is>
          <t>WHITE FORD</t>
        </is>
      </c>
      <c r="H1151" s="144" t="inlineStr">
        <is>
          <t>KENNELS</t>
        </is>
      </c>
      <c r="I1151" s="144" t="inlineStr">
        <is>
          <t xml:space="preserve">CONTRACTOR </t>
        </is>
      </c>
    </row>
    <row r="1152" ht="18" customHeight="1" s="7">
      <c r="A1152" s="144" t="inlineStr">
        <is>
          <t>PAUL CASTEEL</t>
        </is>
      </c>
      <c r="B1152" s="144" t="inlineStr">
        <is>
          <t>6722690 AL</t>
        </is>
      </c>
      <c r="C1152" s="144" t="inlineStr">
        <is>
          <t>BUTLER COUNTY SHERIFF</t>
        </is>
      </c>
      <c r="D1152" s="144" t="n">
        <v>3343623497</v>
      </c>
      <c r="E1152" s="144" t="inlineStr">
        <is>
          <t>PU</t>
        </is>
      </c>
      <c r="F1152" s="144" t="inlineStr">
        <is>
          <t>A0UD4N AL</t>
        </is>
      </c>
      <c r="G1152" s="144" t="inlineStr">
        <is>
          <t>WHITE FORD</t>
        </is>
      </c>
      <c r="H1152" s="144" t="n">
        <v>1221</v>
      </c>
      <c r="I1152" s="144" t="inlineStr">
        <is>
          <t xml:space="preserve">CONTRACTOR </t>
        </is>
      </c>
    </row>
    <row r="1153" ht="18" customHeight="1" s="7">
      <c r="A1153" s="144" t="inlineStr">
        <is>
          <t>BRANDON BURNETTE</t>
        </is>
      </c>
      <c r="B1153" s="144" t="inlineStr">
        <is>
          <t>*049382614 GA</t>
        </is>
      </c>
      <c r="C1153" s="144" t="inlineStr">
        <is>
          <t>CGD LOGI</t>
        </is>
      </c>
      <c r="D1153" s="144" t="n">
        <v>4785080817</v>
      </c>
      <c r="E1153" s="144" t="inlineStr">
        <is>
          <t>BOX</t>
        </is>
      </c>
      <c r="F1153" s="144" t="inlineStr">
        <is>
          <t>C561EK GA</t>
        </is>
      </c>
      <c r="G1153" s="144" t="inlineStr">
        <is>
          <t>BLACK FREIGHT</t>
        </is>
      </c>
      <c r="H1153" s="144" t="n">
        <v>1221</v>
      </c>
      <c r="I1153" s="144" t="inlineStr">
        <is>
          <t>COMMERCIAL</t>
        </is>
      </c>
    </row>
    <row r="1154" ht="18" customHeight="1" s="7">
      <c r="A1154" s="144" t="inlineStr">
        <is>
          <t>CALDWELL ZAKEYA</t>
        </is>
      </c>
      <c r="B1154" s="144" t="inlineStr">
        <is>
          <t>*000031002297 NC</t>
        </is>
      </c>
      <c r="C1154" s="144" t="inlineStr">
        <is>
          <t>CALDWELL</t>
        </is>
      </c>
      <c r="D1154" s="144" t="n">
        <v>9192471513</v>
      </c>
      <c r="E1154" s="144" t="inlineStr">
        <is>
          <t>BOX</t>
        </is>
      </c>
      <c r="F1154" s="144" t="inlineStr">
        <is>
          <t>ZS3315 NC</t>
        </is>
      </c>
      <c r="G1154" s="144" t="inlineStr">
        <is>
          <t>YELLOW INTER</t>
        </is>
      </c>
      <c r="H1154" s="144" t="n">
        <v>7501</v>
      </c>
      <c r="I1154" s="144" t="inlineStr">
        <is>
          <t>COMMERCIAL</t>
        </is>
      </c>
    </row>
    <row r="1155" ht="18" customHeight="1" s="7">
      <c r="A1155" s="144" t="inlineStr">
        <is>
          <t>BRIAN FOWLER</t>
        </is>
      </c>
      <c r="B1155" s="144" t="inlineStr">
        <is>
          <t>T61505456 VA</t>
        </is>
      </c>
      <c r="C1155" s="144" t="inlineStr">
        <is>
          <t>BRIAN FOWLER TRUCKING</t>
        </is>
      </c>
      <c r="D1155" s="144" t="n">
        <v>7576478334</v>
      </c>
      <c r="E1155" s="144" t="inlineStr">
        <is>
          <t>FLAT</t>
        </is>
      </c>
      <c r="F1155" s="144" t="inlineStr">
        <is>
          <t>79636 VA</t>
        </is>
      </c>
      <c r="G1155" s="144" t="inlineStr">
        <is>
          <t>RED PETERBILT</t>
        </is>
      </c>
      <c r="H1155" s="144" t="n">
        <v>1221</v>
      </c>
      <c r="I1155" s="144" t="inlineStr">
        <is>
          <t>COMMERCIAL</t>
        </is>
      </c>
    </row>
    <row r="1156" ht="18" customHeight="1" s="7">
      <c r="A1156" s="144" t="inlineStr">
        <is>
          <t>MARCUS WILLIAMS</t>
        </is>
      </c>
      <c r="B1156" s="144" t="inlineStr">
        <is>
          <t>W452552893051 FL</t>
        </is>
      </c>
      <c r="C1156" s="144" t="inlineStr">
        <is>
          <t>MTB</t>
        </is>
      </c>
      <c r="D1156" s="144" t="n">
        <v>3869166688</v>
      </c>
      <c r="E1156" s="144" t="inlineStr">
        <is>
          <t>FLAT</t>
        </is>
      </c>
      <c r="F1156" s="144" t="inlineStr">
        <is>
          <t>3343149 IN</t>
        </is>
      </c>
      <c r="G1156" s="144" t="inlineStr">
        <is>
          <t>WHITE FREIGHTLINER</t>
        </is>
      </c>
      <c r="H1156" s="144" t="n">
        <v>1221</v>
      </c>
      <c r="I1156" s="144" t="inlineStr">
        <is>
          <t>COMMERCIAL</t>
        </is>
      </c>
    </row>
    <row r="1157" ht="18" customHeight="1" s="7">
      <c r="A1157" s="144" t="inlineStr">
        <is>
          <t>TRAE MOLIERE</t>
        </is>
      </c>
      <c r="B1157" s="144" t="inlineStr">
        <is>
          <t>*071133071 GA</t>
        </is>
      </c>
      <c r="C1157" s="144" t="inlineStr">
        <is>
          <t xml:space="preserve">YOUNG TRUCKER </t>
        </is>
      </c>
      <c r="D1157" s="144" t="n">
        <v>5044027500</v>
      </c>
      <c r="E1157" s="144" t="inlineStr">
        <is>
          <t>BOX</t>
        </is>
      </c>
      <c r="F1157" s="144" t="inlineStr">
        <is>
          <t>C375EX GA</t>
        </is>
      </c>
      <c r="G1157" s="144" t="inlineStr">
        <is>
          <t>WHITE VOLVO</t>
        </is>
      </c>
      <c r="H1157" s="144" t="n">
        <v>1221</v>
      </c>
      <c r="I1157" s="144" t="inlineStr">
        <is>
          <t>COMMERCIAL</t>
        </is>
      </c>
    </row>
    <row r="1158" ht="18" customHeight="1" s="7">
      <c r="A1158" s="144" t="inlineStr">
        <is>
          <t>ABYKEEV KEREZBEK</t>
        </is>
      </c>
      <c r="B1158" s="144" t="inlineStr">
        <is>
          <t>VS401975 OH</t>
        </is>
      </c>
      <c r="C1158" s="144" t="inlineStr">
        <is>
          <t>TALASKG LLC</t>
        </is>
      </c>
      <c r="D1158" s="144" t="n">
        <v>5135161530</v>
      </c>
      <c r="E1158" s="144" t="inlineStr">
        <is>
          <t>BOX</t>
        </is>
      </c>
      <c r="F1158" s="144" t="inlineStr">
        <is>
          <t>PXB0730 OH</t>
        </is>
      </c>
      <c r="G1158" s="144" t="inlineStr">
        <is>
          <t>WHITE VOLVO</t>
        </is>
      </c>
      <c r="H1158" s="144" t="n">
        <v>1221</v>
      </c>
      <c r="I1158" s="144" t="inlineStr">
        <is>
          <t>COMMERCIAL</t>
        </is>
      </c>
    </row>
    <row r="1159" ht="18" customHeight="1" s="7">
      <c r="A1159" s="144" t="inlineStr">
        <is>
          <t>ANDREW SUMMERLIN</t>
        </is>
      </c>
      <c r="B1159" s="144" t="inlineStr">
        <is>
          <t>*049088895 GA</t>
        </is>
      </c>
      <c r="C1159" s="144" t="inlineStr">
        <is>
          <t xml:space="preserve">ERG </t>
        </is>
      </c>
      <c r="D1159" s="144" t="n">
        <v>2994561556</v>
      </c>
      <c r="E1159" s="144" t="inlineStr">
        <is>
          <t>FLAT</t>
        </is>
      </c>
      <c r="F1159" s="144" t="inlineStr">
        <is>
          <t>08AFJD FL</t>
        </is>
      </c>
      <c r="G1159" s="144" t="inlineStr">
        <is>
          <t>WHITE FORD</t>
        </is>
      </c>
      <c r="H1159" s="144" t="n">
        <v>1330</v>
      </c>
      <c r="I1159" s="144" t="inlineStr">
        <is>
          <t xml:space="preserve">CONTRACTOR </t>
        </is>
      </c>
    </row>
    <row r="1160" ht="18" customHeight="1" s="7">
      <c r="A1160" s="144" t="inlineStr">
        <is>
          <t>DAVID ESPINOSA</t>
        </is>
      </c>
      <c r="B1160" s="144" t="inlineStr">
        <is>
          <t>*061362977 GA</t>
        </is>
      </c>
      <c r="C1160" s="144" t="inlineStr">
        <is>
          <t>INDUSTRAIL MANUFACTURING</t>
        </is>
      </c>
      <c r="D1160" s="144" t="n">
        <v>2298883992</v>
      </c>
      <c r="E1160" s="144" t="inlineStr">
        <is>
          <t>PU</t>
        </is>
      </c>
      <c r="F1160" s="144" t="inlineStr">
        <is>
          <t>AVU0288 GA</t>
        </is>
      </c>
      <c r="G1160" s="144" t="inlineStr">
        <is>
          <t>WHITE CHEVY</t>
        </is>
      </c>
      <c r="H1160" s="144" t="n">
        <v>1330</v>
      </c>
      <c r="I1160" s="144" t="inlineStr">
        <is>
          <t xml:space="preserve">CONTRACTOR </t>
        </is>
      </c>
    </row>
    <row r="1161" ht="18" customHeight="1" s="7">
      <c r="A1161" s="144" t="inlineStr">
        <is>
          <t>GARY GRIGG</t>
        </is>
      </c>
      <c r="B1161" s="144" t="inlineStr">
        <is>
          <t>*032601563 GA</t>
        </is>
      </c>
      <c r="C1161" s="144" t="inlineStr">
        <is>
          <t>RHC</t>
        </is>
      </c>
      <c r="D1161" s="144" t="n">
        <v>2294353500</v>
      </c>
      <c r="E1161" s="144" t="inlineStr">
        <is>
          <t>PU</t>
        </is>
      </c>
      <c r="F1161" s="144" t="inlineStr">
        <is>
          <t>RIT6935 GA</t>
        </is>
      </c>
      <c r="G1161" s="144" t="inlineStr">
        <is>
          <t>RED FORD</t>
        </is>
      </c>
      <c r="H1161" s="144" t="inlineStr">
        <is>
          <t>HOUSING</t>
        </is>
      </c>
      <c r="I1161" s="144" t="inlineStr">
        <is>
          <t xml:space="preserve">CONTRACTOR </t>
        </is>
      </c>
    </row>
    <row r="1162" ht="18" customHeight="1" s="7">
      <c r="A1162" s="144" t="inlineStr">
        <is>
          <t>MOORE JAMES</t>
        </is>
      </c>
      <c r="B1162" s="144" t="inlineStr">
        <is>
          <t>914707361 AR</t>
        </is>
      </c>
      <c r="C1162" s="144" t="inlineStr">
        <is>
          <t>JMW MOORE</t>
        </is>
      </c>
      <c r="D1162" s="144" t="n">
        <v>9032785254</v>
      </c>
      <c r="E1162" s="144" t="inlineStr">
        <is>
          <t>PU</t>
        </is>
      </c>
      <c r="F1162" s="144" t="inlineStr">
        <is>
          <t>C105986 ARK</t>
        </is>
      </c>
      <c r="G1162" s="144" t="inlineStr">
        <is>
          <t>BLACK CHEVY</t>
        </is>
      </c>
      <c r="H1162" s="144" t="n">
        <v>1221</v>
      </c>
      <c r="I1162" s="144" t="inlineStr">
        <is>
          <t xml:space="preserve">CONTRACTOR </t>
        </is>
      </c>
    </row>
    <row r="1163" ht="18" customHeight="1" s="7">
      <c r="A1163" s="144" t="inlineStr">
        <is>
          <t xml:space="preserve">BROWN LARRY </t>
        </is>
      </c>
      <c r="B1163" s="144" t="inlineStr">
        <is>
          <t>B650525552240 FL</t>
        </is>
      </c>
      <c r="C1163" s="144" t="inlineStr">
        <is>
          <t>BAHF TRUCKING</t>
        </is>
      </c>
      <c r="D1163" s="144" t="n">
        <v>9546488978</v>
      </c>
      <c r="E1163" s="144" t="inlineStr">
        <is>
          <t>FLAT</t>
        </is>
      </c>
      <c r="F1163" s="144" t="inlineStr">
        <is>
          <t>DF78GL FL</t>
        </is>
      </c>
      <c r="G1163" s="144" t="inlineStr">
        <is>
          <t>WHITE FREIGHTLINER</t>
        </is>
      </c>
      <c r="H1163" s="144" t="n">
        <v>1221</v>
      </c>
      <c r="I1163" s="144" t="inlineStr">
        <is>
          <t>COMMERCIAL</t>
        </is>
      </c>
    </row>
    <row r="1164" ht="18" customHeight="1" s="7">
      <c r="A1164" s="144" t="inlineStr">
        <is>
          <t>VASQUEZ MARCO</t>
        </is>
      </c>
      <c r="B1164" s="144" t="inlineStr">
        <is>
          <t>V225541804510 FL</t>
        </is>
      </c>
      <c r="C1164" s="144" t="inlineStr">
        <is>
          <t>TRINITY TRUCKING</t>
        </is>
      </c>
      <c r="D1164" s="144" t="n">
        <v>4077770771</v>
      </c>
      <c r="E1164" s="144" t="inlineStr">
        <is>
          <t>BOX</t>
        </is>
      </c>
      <c r="F1164" s="144" t="inlineStr">
        <is>
          <t>AH66066 PA</t>
        </is>
      </c>
      <c r="G1164" s="144" t="inlineStr">
        <is>
          <t>WHITE FREIGHTLINER</t>
        </is>
      </c>
      <c r="H1164" s="144" t="n">
        <v>1221</v>
      </c>
      <c r="I1164" s="144" t="inlineStr">
        <is>
          <t>COMMERCIAL</t>
        </is>
      </c>
    </row>
    <row r="1165" ht="18" customHeight="1" s="7">
      <c r="A1165" s="144" t="inlineStr">
        <is>
          <t>CHISTOPHER CARTER</t>
        </is>
      </c>
      <c r="B1165" s="144" t="inlineStr">
        <is>
          <t>*052511857 GA</t>
        </is>
      </c>
      <c r="C1165" s="144" t="inlineStr">
        <is>
          <t>OXFORD</t>
        </is>
      </c>
      <c r="D1165" s="144" t="n">
        <v>6787094117</v>
      </c>
      <c r="E1165" s="144" t="inlineStr">
        <is>
          <t>DUMP</t>
        </is>
      </c>
      <c r="F1165" s="144" t="inlineStr">
        <is>
          <t>GAF931 GA</t>
        </is>
      </c>
      <c r="G1165" s="144" t="inlineStr">
        <is>
          <t>WHITE MACK</t>
        </is>
      </c>
      <c r="H1165" s="144" t="inlineStr">
        <is>
          <t>BASEWIDE</t>
        </is>
      </c>
      <c r="I1165" s="144" t="inlineStr">
        <is>
          <t>COMMERCIAL</t>
        </is>
      </c>
    </row>
    <row r="1166" ht="18" customHeight="1" s="7">
      <c r="A1166" s="144" t="inlineStr">
        <is>
          <t xml:space="preserve">FELDMAN JONATHAN </t>
        </is>
      </c>
      <c r="B1166" s="144" t="inlineStr">
        <is>
          <t>F01625350 KY</t>
        </is>
      </c>
      <c r="C1166" s="144" t="inlineStr">
        <is>
          <t xml:space="preserve">STEEL FACTOR </t>
        </is>
      </c>
      <c r="D1166" s="144" t="n">
        <v>8596974618</v>
      </c>
      <c r="E1166" s="144" t="inlineStr">
        <is>
          <t>BOX</t>
        </is>
      </c>
      <c r="F1166" s="144" t="inlineStr">
        <is>
          <t>A99023 KY</t>
        </is>
      </c>
      <c r="G1166" s="144" t="inlineStr">
        <is>
          <t>WHITE INTER</t>
        </is>
      </c>
      <c r="H1166" s="144" t="n">
        <v>1221</v>
      </c>
      <c r="I1166" s="144" t="inlineStr">
        <is>
          <t>COMMERCIAL</t>
        </is>
      </c>
    </row>
    <row r="1167" ht="18" customHeight="1" s="7">
      <c r="A1167" s="144" t="inlineStr">
        <is>
          <t>LINFERNAL MICHEAL</t>
        </is>
      </c>
      <c r="B1167" s="144" t="inlineStr">
        <is>
          <t>L236318110000 FL</t>
        </is>
      </c>
      <c r="C1167" s="144" t="inlineStr">
        <is>
          <t>ALMENAS TRANS</t>
        </is>
      </c>
      <c r="D1167" s="144" t="n">
        <v>4075875928</v>
      </c>
      <c r="E1167" s="144" t="inlineStr">
        <is>
          <t>FLAT</t>
        </is>
      </c>
      <c r="F1167" s="144" t="inlineStr">
        <is>
          <t>R687282 TX</t>
        </is>
      </c>
      <c r="G1167" s="144" t="inlineStr">
        <is>
          <t>RED FREIGHT</t>
        </is>
      </c>
      <c r="H1167" s="144" t="n">
        <v>1221</v>
      </c>
      <c r="I1167" s="144" t="inlineStr">
        <is>
          <t>COMMERCIAL</t>
        </is>
      </c>
    </row>
    <row r="1168" ht="18" customHeight="1" s="7">
      <c r="A1168" s="144" t="inlineStr">
        <is>
          <t>HUNTER JOHN</t>
        </is>
      </c>
      <c r="B1168" s="144" t="inlineStr">
        <is>
          <t>J141124006 MO</t>
        </is>
      </c>
      <c r="C1168" s="144" t="inlineStr">
        <is>
          <t>MDC</t>
        </is>
      </c>
      <c r="D1168" s="144" t="n">
        <v>4177188646</v>
      </c>
      <c r="E1168" s="144" t="inlineStr">
        <is>
          <t>FLAT</t>
        </is>
      </c>
      <c r="F1168" s="144" t="inlineStr">
        <is>
          <t>120976M MO</t>
        </is>
      </c>
      <c r="G1168" s="144" t="inlineStr">
        <is>
          <t>BLUE FREIGHTLINER</t>
        </is>
      </c>
      <c r="H1168" s="144" t="n">
        <v>1221</v>
      </c>
      <c r="I1168" s="144" t="inlineStr">
        <is>
          <t>COMMERCIAL</t>
        </is>
      </c>
    </row>
    <row r="1169" ht="18" customHeight="1" s="7">
      <c r="A1169" s="144" t="inlineStr">
        <is>
          <t>DEVERD BELLAMY</t>
        </is>
      </c>
      <c r="B1169" s="144" t="inlineStr">
        <is>
          <t>*030407844 GA</t>
        </is>
      </c>
      <c r="C1169" s="144" t="inlineStr">
        <is>
          <t xml:space="preserve">RD </t>
        </is>
      </c>
      <c r="D1169" s="144" t="n">
        <v>4045183222</v>
      </c>
      <c r="E1169" s="144" t="inlineStr">
        <is>
          <t>BOX</t>
        </is>
      </c>
      <c r="F1169" s="144" t="inlineStr">
        <is>
          <t>P1263219 IL</t>
        </is>
      </c>
      <c r="G1169" s="144" t="inlineStr">
        <is>
          <t>WHITE FREIGHTLINER</t>
        </is>
      </c>
      <c r="H1169" s="144" t="n">
        <v>1221</v>
      </c>
      <c r="I1169" s="144" t="inlineStr">
        <is>
          <t>COMMERCIAL</t>
        </is>
      </c>
    </row>
    <row r="1170" ht="18" customHeight="1" s="7">
      <c r="A1170" s="144" t="inlineStr">
        <is>
          <t>GREGORY FORTNER</t>
        </is>
      </c>
      <c r="B1170" s="144" t="inlineStr">
        <is>
          <t>*055966131 GA</t>
        </is>
      </c>
      <c r="C1170" s="144" t="inlineStr">
        <is>
          <t>LINK LOGISTICS</t>
        </is>
      </c>
      <c r="D1170" s="144" t="n">
        <v>2295290474</v>
      </c>
      <c r="E1170" s="144" t="inlineStr">
        <is>
          <t>BOX</t>
        </is>
      </c>
      <c r="F1170" s="144" t="inlineStr">
        <is>
          <t>P1243527 IL</t>
        </is>
      </c>
      <c r="G1170" s="144" t="inlineStr">
        <is>
          <t>BLUE FREIGHTLINER</t>
        </is>
      </c>
      <c r="H1170" s="144" t="n">
        <v>1221</v>
      </c>
      <c r="I1170" s="144" t="inlineStr">
        <is>
          <t>COMMERCIAL</t>
        </is>
      </c>
    </row>
    <row r="1171" ht="18" customHeight="1" s="7">
      <c r="A1171" s="144" t="inlineStr">
        <is>
          <t>DAMARA WALTERS</t>
        </is>
      </c>
      <c r="B1171" s="144" t="inlineStr">
        <is>
          <t>*054063320 GA</t>
        </is>
      </c>
      <c r="C1171" s="144" t="inlineStr">
        <is>
          <t>CFN LOGIS</t>
        </is>
      </c>
      <c r="D1171" s="144" t="n">
        <v>4706514390</v>
      </c>
      <c r="E1171" s="144" t="inlineStr">
        <is>
          <t>BOX</t>
        </is>
      </c>
      <c r="F1171" s="144" t="inlineStr">
        <is>
          <t>C770DK GA</t>
        </is>
      </c>
      <c r="G1171" s="144" t="inlineStr">
        <is>
          <t>WHITE VOLVO</t>
        </is>
      </c>
      <c r="H1171" s="144" t="n">
        <v>1221</v>
      </c>
      <c r="I1171" s="144" t="inlineStr">
        <is>
          <t>COMMERCIAL</t>
        </is>
      </c>
    </row>
    <row r="1172" ht="18" customHeight="1" s="7">
      <c r="A1172" s="144" t="inlineStr">
        <is>
          <t>SINGH GURMANINDER</t>
        </is>
      </c>
      <c r="B1172" s="144" t="inlineStr">
        <is>
          <t>S44903080008882 NJ</t>
        </is>
      </c>
      <c r="C1172" s="144" t="inlineStr">
        <is>
          <t>GS EXPRESS</t>
        </is>
      </c>
      <c r="D1172" s="144" t="n">
        <v>5163053269</v>
      </c>
      <c r="E1172" s="144" t="inlineStr">
        <is>
          <t>BOX</t>
        </is>
      </c>
      <c r="F1172" s="144" t="inlineStr">
        <is>
          <t>AT149E NJ</t>
        </is>
      </c>
      <c r="G1172" s="144" t="inlineStr">
        <is>
          <t>WHITE KENWORTH</t>
        </is>
      </c>
      <c r="H1172" s="144" t="n">
        <v>1221</v>
      </c>
      <c r="I1172" s="144" t="inlineStr">
        <is>
          <t>COMMERCIAL</t>
        </is>
      </c>
    </row>
    <row r="1173" ht="18" customHeight="1" s="7">
      <c r="A1173" s="144" t="inlineStr">
        <is>
          <t>SERVIUS JAMES</t>
        </is>
      </c>
      <c r="B1173" s="144" t="inlineStr">
        <is>
          <t>S612441853900 FL</t>
        </is>
      </c>
      <c r="C1173" s="144" t="inlineStr">
        <is>
          <t>KASSIM BROTHERS</t>
        </is>
      </c>
      <c r="D1173" s="144" t="n">
        <v>7542045283</v>
      </c>
      <c r="E1173" s="144" t="inlineStr">
        <is>
          <t>BOX</t>
        </is>
      </c>
      <c r="F1173" s="144" t="inlineStr">
        <is>
          <t>XE883Y FL</t>
        </is>
      </c>
      <c r="G1173" s="144" t="inlineStr">
        <is>
          <t>TAN FREIGHT</t>
        </is>
      </c>
      <c r="H1173" s="144" t="n">
        <v>1221</v>
      </c>
      <c r="I1173" s="144" t="inlineStr">
        <is>
          <t>COMMERCIAL</t>
        </is>
      </c>
    </row>
    <row r="1174" ht="18" customHeight="1" s="7">
      <c r="A1174" s="144" t="inlineStr">
        <is>
          <t>PETERSON WATTHEW II</t>
        </is>
      </c>
      <c r="B1174" s="144" t="inlineStr">
        <is>
          <t>P362540693680 FL</t>
        </is>
      </c>
      <c r="C1174" s="144" t="inlineStr">
        <is>
          <t>GOLD US</t>
        </is>
      </c>
      <c r="D1174" s="144" t="n">
        <v>8503337451</v>
      </c>
      <c r="E1174" s="144" t="inlineStr">
        <is>
          <t>BOX</t>
        </is>
      </c>
      <c r="F1174" s="144" t="inlineStr">
        <is>
          <t>P1070753 IL</t>
        </is>
      </c>
      <c r="G1174" s="144" t="inlineStr">
        <is>
          <t>ORANGE INTER</t>
        </is>
      </c>
      <c r="H1174" s="144" t="n">
        <v>1221</v>
      </c>
      <c r="I1174" s="144" t="inlineStr">
        <is>
          <t>COMMERCIAL</t>
        </is>
      </c>
    </row>
    <row r="1175" ht="18" customHeight="1" s="7">
      <c r="A1175" s="144" t="inlineStr">
        <is>
          <t>ZHOVNIR TARAS</t>
        </is>
      </c>
      <c r="B1175" s="144" t="inlineStr">
        <is>
          <t>VF817554 OH</t>
        </is>
      </c>
      <c r="C1175" s="144" t="inlineStr">
        <is>
          <t>GTS TRANS</t>
        </is>
      </c>
      <c r="D1175" s="144" t="n">
        <v>7176068610</v>
      </c>
      <c r="E1175" s="144" t="inlineStr">
        <is>
          <t>BOX</t>
        </is>
      </c>
      <c r="F1175" s="144" t="inlineStr">
        <is>
          <t>P1180038 IL</t>
        </is>
      </c>
      <c r="G1175" s="144" t="inlineStr">
        <is>
          <t>WHITE VOLVO</t>
        </is>
      </c>
      <c r="H1175" s="144" t="n">
        <v>1221</v>
      </c>
      <c r="I1175" s="144" t="inlineStr">
        <is>
          <t>COMMERCIAL</t>
        </is>
      </c>
    </row>
    <row r="1176" ht="18" customHeight="1" s="7">
      <c r="A1176" s="144" t="inlineStr">
        <is>
          <t>QUINTON CARNEGIE JR</t>
        </is>
      </c>
      <c r="B1176" s="144" t="inlineStr">
        <is>
          <t>*056655939 GA</t>
        </is>
      </c>
      <c r="C1176" s="144" t="inlineStr">
        <is>
          <t>ROUTE</t>
        </is>
      </c>
      <c r="D1176" s="144" t="n">
        <v>2297337731</v>
      </c>
      <c r="E1176" s="144" t="inlineStr">
        <is>
          <t>BOX</t>
        </is>
      </c>
      <c r="F1176" s="144" t="inlineStr">
        <is>
          <t>C212EW GA</t>
        </is>
      </c>
      <c r="G1176" s="144" t="inlineStr">
        <is>
          <t>WHITE FREIGHTLINER</t>
        </is>
      </c>
      <c r="H1176" s="144" t="n">
        <v>1221</v>
      </c>
      <c r="I1176" s="144" t="inlineStr">
        <is>
          <t>COMMERCIAL</t>
        </is>
      </c>
    </row>
    <row r="1177" ht="18" customHeight="1" s="7">
      <c r="A1177" s="144" t="inlineStr">
        <is>
          <t>MARTIN WILLIAMSON</t>
        </is>
      </c>
      <c r="B1177" s="144" t="inlineStr">
        <is>
          <t>*055960200 GA</t>
        </is>
      </c>
      <c r="C1177" s="144" t="inlineStr">
        <is>
          <t>SHORT PAULK</t>
        </is>
      </c>
      <c r="D1177" s="144" t="n">
        <v>2296762709</v>
      </c>
      <c r="E1177" s="144" t="inlineStr">
        <is>
          <t>FLAT</t>
        </is>
      </c>
      <c r="F1177" s="144" t="inlineStr">
        <is>
          <t>P001CF GA</t>
        </is>
      </c>
      <c r="G1177" s="144" t="inlineStr">
        <is>
          <t>WHITE INTER</t>
        </is>
      </c>
      <c r="H1177" s="144" t="n">
        <v>1330</v>
      </c>
      <c r="I1177" s="144" t="inlineStr">
        <is>
          <t>COMMERCIAL</t>
        </is>
      </c>
    </row>
    <row r="1178" ht="18" customHeight="1" s="7">
      <c r="A1178" s="144" t="inlineStr">
        <is>
          <t>JONATHAN SCHULER</t>
        </is>
      </c>
      <c r="B1178" s="144" t="inlineStr">
        <is>
          <t>*054288573 GA</t>
        </is>
      </c>
      <c r="C1178" s="144" t="inlineStr">
        <is>
          <t>MCMC</t>
        </is>
      </c>
      <c r="D1178" s="144" t="n">
        <v>7708258600</v>
      </c>
      <c r="E1178" s="144" t="inlineStr">
        <is>
          <t>PU</t>
        </is>
      </c>
      <c r="F1178" s="144" t="inlineStr">
        <is>
          <t>EHK512 GA</t>
        </is>
      </c>
      <c r="G1178" s="144" t="inlineStr">
        <is>
          <t>WHITE DODGE</t>
        </is>
      </c>
      <c r="H1178" s="144" t="n">
        <v>2200</v>
      </c>
      <c r="I1178" s="144" t="inlineStr">
        <is>
          <t xml:space="preserve">CONTRACTOR </t>
        </is>
      </c>
    </row>
    <row r="1179" ht="18" customHeight="1" s="7">
      <c r="A1179" s="144" t="inlineStr">
        <is>
          <t>MARQUEZ ALVIN</t>
        </is>
      </c>
      <c r="B1179" s="144" t="inlineStr">
        <is>
          <t>34627626 PA</t>
        </is>
      </c>
      <c r="C1179" s="144" t="inlineStr">
        <is>
          <t>LUXTON LOGISTICS</t>
        </is>
      </c>
      <c r="D1179" s="144" t="n">
        <v>9169964342</v>
      </c>
      <c r="E1179" s="144" t="inlineStr">
        <is>
          <t>BOX</t>
        </is>
      </c>
      <c r="F1179" s="144" t="inlineStr">
        <is>
          <t>AH66328 PA</t>
        </is>
      </c>
      <c r="G1179" s="144" t="inlineStr">
        <is>
          <t>WHITE VOLVO</t>
        </is>
      </c>
      <c r="H1179" s="144" t="n">
        <v>1221</v>
      </c>
      <c r="I1179" s="144" t="inlineStr">
        <is>
          <t>COMMERCIAL</t>
        </is>
      </c>
    </row>
    <row r="1180" ht="18" customHeight="1" s="7">
      <c r="A1180" s="144" t="inlineStr">
        <is>
          <t>SANDERS SHAWN</t>
        </is>
      </c>
      <c r="B1180" s="144" t="inlineStr">
        <is>
          <t>*070557974 GA</t>
        </is>
      </c>
      <c r="C1180" s="144" t="inlineStr">
        <is>
          <t>CULLIGAM</t>
        </is>
      </c>
      <c r="D1180" s="144" t="n">
        <v>8508197070</v>
      </c>
      <c r="E1180" s="144" t="inlineStr">
        <is>
          <t>PU</t>
        </is>
      </c>
      <c r="F1180" s="144" t="inlineStr">
        <is>
          <t>BZ16MW FL</t>
        </is>
      </c>
      <c r="G1180" s="144" t="inlineStr">
        <is>
          <t>WHITE FORD</t>
        </is>
      </c>
      <c r="H1180" s="144" t="n">
        <v>2210</v>
      </c>
      <c r="I1180" s="144" t="inlineStr">
        <is>
          <t>CONTRACTOR</t>
        </is>
      </c>
    </row>
    <row r="1181" ht="18" customHeight="1" s="7">
      <c r="A1181" s="144" t="inlineStr">
        <is>
          <t>DALLATORE EDWIN</t>
        </is>
      </c>
      <c r="B1181" s="144" t="inlineStr">
        <is>
          <t>19816336 PA</t>
        </is>
      </c>
      <c r="C1181" s="144" t="inlineStr">
        <is>
          <t>WRIGHT EXPRESS</t>
        </is>
      </c>
      <c r="D1181" s="144" t="n">
        <v>5704928387</v>
      </c>
      <c r="E1181" s="144" t="inlineStr">
        <is>
          <t>BOX</t>
        </is>
      </c>
      <c r="F1181" s="144" t="inlineStr">
        <is>
          <t>AG74401 PA</t>
        </is>
      </c>
      <c r="G1181" s="144" t="inlineStr">
        <is>
          <t>GREY VOLVO</t>
        </is>
      </c>
      <c r="H1181" s="144" t="n">
        <v>1221</v>
      </c>
      <c r="I1181" s="144" t="inlineStr">
        <is>
          <t>COMMERCIAL</t>
        </is>
      </c>
    </row>
    <row r="1182" ht="18" customHeight="1" s="7">
      <c r="A1182" s="144" t="inlineStr">
        <is>
          <t>ESTRADA HUMBERTO</t>
        </is>
      </c>
      <c r="B1182" s="144" t="inlineStr">
        <is>
          <t>E236322683480 FL</t>
        </is>
      </c>
      <c r="C1182" s="144" t="inlineStr">
        <is>
          <t xml:space="preserve">BZ EXPRESS </t>
        </is>
      </c>
      <c r="D1182" s="144" t="n">
        <v>7868048241</v>
      </c>
      <c r="E1182" s="144" t="inlineStr">
        <is>
          <t>BOX</t>
        </is>
      </c>
      <c r="F1182" s="144" t="inlineStr">
        <is>
          <t>R541053 TX</t>
        </is>
      </c>
      <c r="G1182" s="144" t="inlineStr">
        <is>
          <t>RED FREIGHTLINER</t>
        </is>
      </c>
      <c r="H1182" s="144" t="n">
        <v>1221</v>
      </c>
      <c r="I1182" s="144" t="inlineStr">
        <is>
          <t>COMMERCIAL</t>
        </is>
      </c>
    </row>
    <row r="1183" ht="18" customHeight="1" s="7">
      <c r="A1183" s="144" t="inlineStr">
        <is>
          <t>NEAL LAJAMIE</t>
        </is>
      </c>
      <c r="B1183" s="144" t="inlineStr">
        <is>
          <t>1022177612 SC</t>
        </is>
      </c>
      <c r="C1183" s="144" t="inlineStr">
        <is>
          <t>STRAIGHTWAY TRANS</t>
        </is>
      </c>
      <c r="D1183" s="144" t="n">
        <v>8036330500</v>
      </c>
      <c r="E1183" s="144" t="inlineStr">
        <is>
          <t>BOX</t>
        </is>
      </c>
      <c r="F1183" s="144" t="inlineStr">
        <is>
          <t>AO10636 SC</t>
        </is>
      </c>
      <c r="G1183" s="144" t="inlineStr">
        <is>
          <t>GREY FREIGHTLINER</t>
        </is>
      </c>
      <c r="H1183" s="144" t="n">
        <v>1221</v>
      </c>
      <c r="I1183" s="144" t="inlineStr">
        <is>
          <t>COMMERCIAL</t>
        </is>
      </c>
    </row>
    <row r="1184" ht="18" customHeight="1" s="7">
      <c r="A1184" s="144" t="inlineStr">
        <is>
          <t>RODRICK HAMILTON</t>
        </is>
      </c>
      <c r="B1184" s="144" t="inlineStr">
        <is>
          <t>*066695463 GA</t>
        </is>
      </c>
      <c r="C1184" s="144" t="inlineStr">
        <is>
          <t>FRITO LAYS</t>
        </is>
      </c>
      <c r="D1184" s="144" t="n">
        <v>2294001893</v>
      </c>
      <c r="E1184" s="144" t="inlineStr">
        <is>
          <t>BOX</t>
        </is>
      </c>
      <c r="F1184" s="144" t="inlineStr">
        <is>
          <t>3208472 IN</t>
        </is>
      </c>
      <c r="G1184" s="144" t="inlineStr">
        <is>
          <t>YELLOW GMC</t>
        </is>
      </c>
      <c r="H1184" s="144" t="n">
        <v>7501</v>
      </c>
      <c r="I1184" s="144" t="inlineStr">
        <is>
          <t>COMMERCIAL</t>
        </is>
      </c>
    </row>
    <row r="1185" ht="18" customHeight="1" s="7">
      <c r="A1185" s="144" t="inlineStr">
        <is>
          <t>TIMOTHY TINDELL</t>
        </is>
      </c>
      <c r="B1185" s="144" t="inlineStr">
        <is>
          <t>5282240 AL</t>
        </is>
      </c>
      <c r="C1185" s="144" t="inlineStr">
        <is>
          <t>MCLANE</t>
        </is>
      </c>
      <c r="D1185" s="144" t="n">
        <v>3347263550</v>
      </c>
      <c r="E1185" s="144" t="inlineStr">
        <is>
          <t>BOX</t>
        </is>
      </c>
      <c r="F1185" s="144" t="inlineStr">
        <is>
          <t>P956246 IL</t>
        </is>
      </c>
      <c r="G1185" s="144" t="inlineStr">
        <is>
          <t>WHITE VOLVO</t>
        </is>
      </c>
      <c r="H1185" s="144" t="n">
        <v>7500</v>
      </c>
      <c r="I1185" s="144" t="inlineStr">
        <is>
          <t>COMMERCIAL</t>
        </is>
      </c>
    </row>
    <row r="1186" ht="18" customHeight="1" s="7">
      <c r="A1186" s="144" t="inlineStr">
        <is>
          <t>MICHEAL STILLWELL</t>
        </is>
      </c>
      <c r="B1186" s="144" t="inlineStr">
        <is>
          <t>*059476605 GA</t>
        </is>
      </c>
      <c r="C1186" s="144" t="inlineStr">
        <is>
          <t>EXPRESS DISPOSAL</t>
        </is>
      </c>
      <c r="D1186" s="144" t="n">
        <v>2298881904</v>
      </c>
      <c r="E1186" s="144" t="inlineStr">
        <is>
          <t>PU</t>
        </is>
      </c>
      <c r="F1186" s="144" t="inlineStr">
        <is>
          <t>815XJC GA</t>
        </is>
      </c>
      <c r="G1186" s="144" t="inlineStr">
        <is>
          <t>WHITE FORD</t>
        </is>
      </c>
      <c r="H1186" s="144" t="inlineStr">
        <is>
          <t>GOLF</t>
        </is>
      </c>
      <c r="I1186" s="144" t="inlineStr">
        <is>
          <t>CONTRACTOR</t>
        </is>
      </c>
    </row>
    <row r="1187" ht="18" customHeight="1" s="7">
      <c r="A1187" s="144" t="inlineStr">
        <is>
          <t>HUANG YONGJI</t>
        </is>
      </c>
      <c r="B1187" s="144" t="inlineStr">
        <is>
          <t>F7672045 CA</t>
        </is>
      </c>
      <c r="C1187" s="144" t="inlineStr">
        <is>
          <t>BILLY YUN LOGISTICS</t>
        </is>
      </c>
      <c r="D1187" s="144" t="n">
        <v>6262906105</v>
      </c>
      <c r="E1187" s="144" t="inlineStr">
        <is>
          <t>BOX</t>
        </is>
      </c>
      <c r="F1187" s="144" t="inlineStr">
        <is>
          <t>ZP47021CA</t>
        </is>
      </c>
      <c r="G1187" s="144" t="inlineStr">
        <is>
          <t>BLACK FREIGHT</t>
        </is>
      </c>
      <c r="H1187" s="144" t="n">
        <v>1221</v>
      </c>
      <c r="I1187" s="144" t="inlineStr">
        <is>
          <t>COMMERCIAL</t>
        </is>
      </c>
    </row>
    <row r="1188" ht="18" customHeight="1" s="7">
      <c r="A1188" s="144" t="inlineStr">
        <is>
          <t>NEMTELEA LIUBOMIR</t>
        </is>
      </c>
      <c r="B1188" s="144" t="inlineStr">
        <is>
          <t>42304652 TX</t>
        </is>
      </c>
      <c r="C1188" s="144" t="inlineStr">
        <is>
          <t>CONNECT TRANS</t>
        </is>
      </c>
      <c r="D1188" s="144" t="n">
        <v>4097898244</v>
      </c>
      <c r="E1188" s="144" t="inlineStr">
        <is>
          <t>FLAT</t>
        </is>
      </c>
      <c r="F1188" s="144" t="inlineStr">
        <is>
          <t>AH94088 AZ</t>
        </is>
      </c>
      <c r="G1188" s="144" t="inlineStr">
        <is>
          <t>BLUE KENWORTH</t>
        </is>
      </c>
      <c r="H1188" s="144" t="n">
        <v>1221</v>
      </c>
      <c r="I1188" s="144" t="inlineStr">
        <is>
          <t>COMMERCIAL</t>
        </is>
      </c>
    </row>
    <row r="1189" ht="18" customHeight="1" s="7">
      <c r="A1189" s="144" t="inlineStr">
        <is>
          <t>WILLIE BROWN</t>
        </is>
      </c>
      <c r="B1189" s="144" t="inlineStr">
        <is>
          <t>*035437689 GA</t>
        </is>
      </c>
      <c r="C1189" s="144" t="inlineStr">
        <is>
          <t>E TRANSPORT</t>
        </is>
      </c>
      <c r="D1189" s="144" t="n">
        <v>4782949002</v>
      </c>
      <c r="E1189" s="144" t="inlineStr">
        <is>
          <t>BOX</t>
        </is>
      </c>
      <c r="F1189" s="144" t="inlineStr">
        <is>
          <t>PWZ0283 OH</t>
        </is>
      </c>
      <c r="G1189" s="144" t="inlineStr">
        <is>
          <t>BLUE INTER</t>
        </is>
      </c>
      <c r="H1189" s="144" t="n">
        <v>1221</v>
      </c>
      <c r="I1189" s="144" t="inlineStr">
        <is>
          <t>COMMERCIAL</t>
        </is>
      </c>
    </row>
    <row r="1190" ht="18" customHeight="1" s="7">
      <c r="A1190" s="144" t="inlineStr">
        <is>
          <t xml:space="preserve">KENNETH SPAN </t>
        </is>
      </c>
      <c r="B1190" s="144" t="inlineStr">
        <is>
          <t>*055394323 GA</t>
        </is>
      </c>
      <c r="C1190" s="144" t="inlineStr">
        <is>
          <t>K SPAN TRANS</t>
        </is>
      </c>
      <c r="D1190" s="144" t="n">
        <v>2296033477</v>
      </c>
      <c r="E1190" s="144" t="inlineStr">
        <is>
          <t>PU</t>
        </is>
      </c>
      <c r="F1190" s="144" t="inlineStr">
        <is>
          <t>C605CZ GA</t>
        </is>
      </c>
      <c r="G1190" s="144" t="inlineStr">
        <is>
          <t>GRAY FORD</t>
        </is>
      </c>
      <c r="H1190" s="144" t="n">
        <v>7000</v>
      </c>
      <c r="I1190" s="144" t="inlineStr">
        <is>
          <t>CONTRACTOR</t>
        </is>
      </c>
    </row>
    <row r="1191" ht="18" customHeight="1" s="7">
      <c r="A1191" s="144" t="inlineStr">
        <is>
          <t>JUSTIN NANCE</t>
        </is>
      </c>
      <c r="B1191" s="144" t="inlineStr">
        <is>
          <t>*061506334 GA</t>
        </is>
      </c>
      <c r="C1191" s="144" t="inlineStr">
        <is>
          <t>RAYMOND CAROLINA HANDLING</t>
        </is>
      </c>
      <c r="D1191" s="144" t="n">
        <v>4782080125</v>
      </c>
      <c r="E1191" s="144" t="inlineStr">
        <is>
          <t>VAN</t>
        </is>
      </c>
      <c r="F1191" s="144" t="inlineStr">
        <is>
          <t>SDP5202 GA</t>
        </is>
      </c>
      <c r="G1191" s="144" t="inlineStr">
        <is>
          <t>WHITE FORD</t>
        </is>
      </c>
      <c r="H1191" s="144" t="n">
        <v>1351</v>
      </c>
      <c r="I1191" s="144" t="inlineStr">
        <is>
          <t>CONTRACTOR</t>
        </is>
      </c>
    </row>
    <row r="1192" ht="18" customHeight="1" s="7">
      <c r="A1192" s="144" t="inlineStr">
        <is>
          <t>ALLEN MILLER</t>
        </is>
      </c>
      <c r="B1192" s="144" t="inlineStr">
        <is>
          <t>*071998988 GA</t>
        </is>
      </c>
      <c r="C1192" s="144" t="inlineStr">
        <is>
          <t>UINTED MACHINERY</t>
        </is>
      </c>
      <c r="D1192" s="144" t="n">
        <v>2299778643</v>
      </c>
      <c r="E1192" s="144" t="inlineStr">
        <is>
          <t>PU</t>
        </is>
      </c>
      <c r="F1192" s="144" t="inlineStr">
        <is>
          <t>SDV5476 GA</t>
        </is>
      </c>
      <c r="G1192" s="144" t="inlineStr">
        <is>
          <t>WHITE GMC</t>
        </is>
      </c>
      <c r="H1192" s="144" t="inlineStr">
        <is>
          <t>K-9</t>
        </is>
      </c>
      <c r="I1192" s="144" t="inlineStr">
        <is>
          <t>CONTRACTOR</t>
        </is>
      </c>
    </row>
    <row r="1193" ht="18" customHeight="1" s="7">
      <c r="A1193" s="144" t="inlineStr">
        <is>
          <t>MONTE THOMAS</t>
        </is>
      </c>
      <c r="B1193" s="144" t="inlineStr">
        <is>
          <t>*055738778 GA</t>
        </is>
      </c>
      <c r="C1193" s="144" t="inlineStr">
        <is>
          <t>SUNBELT RENTALS</t>
        </is>
      </c>
      <c r="D1193" s="144" t="n">
        <v>2296034649</v>
      </c>
      <c r="E1193" s="144" t="inlineStr">
        <is>
          <t>PU</t>
        </is>
      </c>
      <c r="F1193" s="144" t="inlineStr">
        <is>
          <t>ENN028 GA</t>
        </is>
      </c>
      <c r="G1193" s="144" t="inlineStr">
        <is>
          <t>GREEN FORD</t>
        </is>
      </c>
      <c r="H1193" s="144" t="inlineStr">
        <is>
          <t>P947</t>
        </is>
      </c>
      <c r="I1193" s="144" t="inlineStr">
        <is>
          <t>CONTRACTOR</t>
        </is>
      </c>
    </row>
    <row r="1194" ht="18" customHeight="1" s="7">
      <c r="A1194" s="144" t="inlineStr">
        <is>
          <t>SINGH GURWINDER</t>
        </is>
      </c>
      <c r="B1194" s="144" t="inlineStr">
        <is>
          <t>Y3853219 CA</t>
        </is>
      </c>
      <c r="C1194" s="144" t="inlineStr">
        <is>
          <t>ATL TRANS</t>
        </is>
      </c>
      <c r="D1194" s="144" t="n">
        <v>9096560517</v>
      </c>
      <c r="E1194" s="144" t="inlineStr">
        <is>
          <t>BOX</t>
        </is>
      </c>
      <c r="F1194" s="144" t="inlineStr">
        <is>
          <t>ZP20422 CA</t>
        </is>
      </c>
      <c r="G1194" s="144" t="inlineStr">
        <is>
          <t>WHITE FREIGHTLINER</t>
        </is>
      </c>
      <c r="H1194" s="144" t="n">
        <v>1221</v>
      </c>
      <c r="I1194" s="144" t="inlineStr">
        <is>
          <t>COMMERCIAL</t>
        </is>
      </c>
    </row>
    <row r="1195" ht="18" customHeight="1" s="7">
      <c r="A1195" s="144" t="inlineStr">
        <is>
          <t xml:space="preserve">BRIAN SMITH </t>
        </is>
      </c>
      <c r="B1195" s="144" t="inlineStr">
        <is>
          <t>*070147014 GA</t>
        </is>
      </c>
      <c r="C1195" s="144" t="inlineStr">
        <is>
          <t>FEDEX</t>
        </is>
      </c>
      <c r="D1195" s="144" t="n">
        <v>2294730379</v>
      </c>
      <c r="E1195" s="144" t="inlineStr">
        <is>
          <t>BOX</t>
        </is>
      </c>
      <c r="F1195" s="144" t="inlineStr">
        <is>
          <t>GLS248 GA</t>
        </is>
      </c>
      <c r="G1195" s="144" t="inlineStr">
        <is>
          <t>WHITE FREIGHTLINER</t>
        </is>
      </c>
      <c r="H1195" s="144" t="inlineStr">
        <is>
          <t>BASEWIDE</t>
        </is>
      </c>
      <c r="I1195" s="144" t="inlineStr">
        <is>
          <t>CONTRACTOR</t>
        </is>
      </c>
    </row>
    <row r="1196" ht="18" customHeight="1" s="7">
      <c r="A1196" s="144" t="inlineStr">
        <is>
          <t>MILTON MCCRAY</t>
        </is>
      </c>
      <c r="B1196" s="144" t="inlineStr">
        <is>
          <t>*053313779 GA</t>
        </is>
      </c>
      <c r="C1196" s="144" t="inlineStr">
        <is>
          <t>TTL</t>
        </is>
      </c>
      <c r="D1196" s="144" t="n">
        <v>2292918657</v>
      </c>
      <c r="E1196" s="144" t="inlineStr">
        <is>
          <t>PU</t>
        </is>
      </c>
      <c r="F1196" s="144" t="inlineStr">
        <is>
          <t>SBI9109 GA</t>
        </is>
      </c>
      <c r="G1196" s="144" t="inlineStr">
        <is>
          <t>WHITE TOYOTA</t>
        </is>
      </c>
      <c r="H1196" s="144" t="n">
        <v>1331</v>
      </c>
      <c r="I1196" s="144" t="inlineStr">
        <is>
          <t>CONTRACTOR</t>
        </is>
      </c>
    </row>
    <row r="1197" ht="18" customHeight="1" s="7">
      <c r="A1197" s="144" t="inlineStr">
        <is>
          <t>PATTERSON STEPHEN</t>
        </is>
      </c>
      <c r="B1197" s="144" t="inlineStr">
        <is>
          <t>P362780613790 FL</t>
        </is>
      </c>
      <c r="C1197" s="144" t="inlineStr">
        <is>
          <t>ALLIED</t>
        </is>
      </c>
      <c r="D1197" s="144" t="n">
        <v>8506567100</v>
      </c>
      <c r="E1197" s="144" t="inlineStr">
        <is>
          <t>BOX</t>
        </is>
      </c>
      <c r="F1197" s="144" t="inlineStr">
        <is>
          <t>JW742Q FL</t>
        </is>
      </c>
      <c r="G1197" s="144" t="inlineStr">
        <is>
          <t>ORANGE INTER</t>
        </is>
      </c>
      <c r="H1197" s="144" t="inlineStr">
        <is>
          <t>HOUSING</t>
        </is>
      </c>
      <c r="I1197" s="144" t="inlineStr">
        <is>
          <t>COMMERCIAL</t>
        </is>
      </c>
    </row>
    <row r="1198" ht="18" customHeight="1" s="7">
      <c r="A1198" s="144" t="inlineStr">
        <is>
          <t>BAHTA BINYAM</t>
        </is>
      </c>
      <c r="B1198" s="144" t="inlineStr">
        <is>
          <t>A28194081 VA</t>
        </is>
      </c>
      <c r="C1198" s="144" t="inlineStr">
        <is>
          <t>EXPO TRUCKING</t>
        </is>
      </c>
      <c r="D1198" s="144" t="n">
        <v>2024468279</v>
      </c>
      <c r="E1198" s="144" t="inlineStr">
        <is>
          <t>BOX</t>
        </is>
      </c>
      <c r="F1198" s="144" t="inlineStr">
        <is>
          <t>R749366 TX</t>
        </is>
      </c>
      <c r="G1198" s="144" t="inlineStr">
        <is>
          <t>RED FREIGHTLINER</t>
        </is>
      </c>
      <c r="H1198" s="144" t="n">
        <v>1221</v>
      </c>
      <c r="I1198" s="144" t="inlineStr">
        <is>
          <t>COMMERCIAL</t>
        </is>
      </c>
    </row>
    <row r="1199" ht="18" customHeight="1" s="7">
      <c r="A1199" s="144" t="inlineStr">
        <is>
          <t>COLLINS SEAN</t>
        </is>
      </c>
      <c r="B1199" s="144" t="inlineStr">
        <is>
          <t>C452795872910 FL</t>
        </is>
      </c>
      <c r="C1199" s="144" t="inlineStr">
        <is>
          <t>MOBLIE MOVERS</t>
        </is>
      </c>
      <c r="D1199" s="144" t="n">
        <v>8505973604</v>
      </c>
      <c r="E1199" s="144" t="inlineStr">
        <is>
          <t>BOX</t>
        </is>
      </c>
      <c r="F1199" s="144" t="inlineStr">
        <is>
          <t>CT4646 FL</t>
        </is>
      </c>
      <c r="G1199" s="144" t="inlineStr">
        <is>
          <t>WHITE FREIGHTLINER</t>
        </is>
      </c>
      <c r="H1199" s="144" t="inlineStr">
        <is>
          <t>HOUSING</t>
        </is>
      </c>
      <c r="I1199" s="144" t="inlineStr">
        <is>
          <t>COMMERCIAL</t>
        </is>
      </c>
    </row>
    <row r="1200" ht="18" customHeight="1" s="7">
      <c r="A1200" s="144" t="inlineStr">
        <is>
          <t>JAVAIN DIXON</t>
        </is>
      </c>
      <c r="B1200" s="144" t="inlineStr">
        <is>
          <t>*059050431 GA</t>
        </is>
      </c>
      <c r="C1200" s="144" t="inlineStr">
        <is>
          <t>FEDEX</t>
        </is>
      </c>
      <c r="D1200" s="144" t="n">
        <v>2297334741</v>
      </c>
      <c r="E1200" s="144" t="inlineStr">
        <is>
          <t>VAN</t>
        </is>
      </c>
      <c r="F1200" s="144" t="inlineStr">
        <is>
          <t>ZMX115 GA</t>
        </is>
      </c>
      <c r="G1200" s="144" t="inlineStr">
        <is>
          <t>WHITE FORD</t>
        </is>
      </c>
      <c r="H1200" s="144" t="inlineStr">
        <is>
          <t>BASEWIDE</t>
        </is>
      </c>
      <c r="I1200" s="144" t="inlineStr">
        <is>
          <t>CONTRACTOR</t>
        </is>
      </c>
    </row>
    <row r="1201" ht="18" customHeight="1" s="7">
      <c r="A1201" s="144" t="inlineStr">
        <is>
          <t>STEVEN YANCEY</t>
        </is>
      </c>
      <c r="B1201" s="144" t="inlineStr">
        <is>
          <t>8157532 AL</t>
        </is>
      </c>
      <c r="C1201" s="144" t="inlineStr">
        <is>
          <t>ALABAMA WASHERS</t>
        </is>
      </c>
      <c r="D1201" s="144" t="n">
        <v>2059552562</v>
      </c>
      <c r="E1201" s="144" t="inlineStr">
        <is>
          <t>PU</t>
        </is>
      </c>
      <c r="F1201" s="144" t="inlineStr">
        <is>
          <t>14A2YN8 AL</t>
        </is>
      </c>
      <c r="G1201" s="144" t="inlineStr">
        <is>
          <t>WHITE FORD</t>
        </is>
      </c>
      <c r="H1201" s="144" t="n">
        <v>2211</v>
      </c>
      <c r="I1201" s="144" t="inlineStr">
        <is>
          <t>CONTRACTOR</t>
        </is>
      </c>
    </row>
    <row r="1202" ht="18" customHeight="1" s="7">
      <c r="A1202" s="144" t="inlineStr">
        <is>
          <t>MOORE CHRISTOPHER</t>
        </is>
      </c>
      <c r="B1202" s="144" t="inlineStr">
        <is>
          <t>M600101732479 FL</t>
        </is>
      </c>
      <c r="C1202" s="144" t="inlineStr">
        <is>
          <t xml:space="preserve">AMC </t>
        </is>
      </c>
      <c r="D1202" s="144" t="n">
        <v>8507217748</v>
      </c>
      <c r="E1202" s="144" t="inlineStr">
        <is>
          <t>FLAT</t>
        </is>
      </c>
      <c r="F1202" s="144" t="inlineStr">
        <is>
          <t>KZAJ77 FL</t>
        </is>
      </c>
      <c r="G1202" s="144" t="inlineStr">
        <is>
          <t xml:space="preserve"> WHITE FREIGHT</t>
        </is>
      </c>
      <c r="H1202" s="144" t="inlineStr">
        <is>
          <t>GATE 1/5</t>
        </is>
      </c>
      <c r="I1202" s="144" t="inlineStr">
        <is>
          <t>COMMERCIAL</t>
        </is>
      </c>
    </row>
    <row r="1203" ht="18" customHeight="1" s="7">
      <c r="A1203" s="144" t="inlineStr">
        <is>
          <t xml:space="preserve">ASHELY STRIPLING </t>
        </is>
      </c>
      <c r="B1203" s="144" t="inlineStr">
        <is>
          <t>*050250479 GA</t>
        </is>
      </c>
      <c r="C1203" s="144" t="inlineStr">
        <is>
          <t>ACH TECH</t>
        </is>
      </c>
      <c r="D1203" s="144" t="n">
        <v>2292446412</v>
      </c>
      <c r="E1203" s="144" t="inlineStr">
        <is>
          <t>PU</t>
        </is>
      </c>
      <c r="F1203" s="144" t="inlineStr">
        <is>
          <t>CKE6805 GA</t>
        </is>
      </c>
      <c r="G1203" s="144" t="inlineStr">
        <is>
          <t>RED FORD</t>
        </is>
      </c>
      <c r="H1203" s="144" t="inlineStr">
        <is>
          <t>BASEWIDE</t>
        </is>
      </c>
      <c r="I1203" s="144" t="inlineStr">
        <is>
          <t>CONTRACTOR</t>
        </is>
      </c>
    </row>
    <row r="1204" ht="18" customHeight="1" s="7">
      <c r="A1204" s="144" t="inlineStr">
        <is>
          <t>PAUL HASSON</t>
        </is>
      </c>
      <c r="B1204" s="144" t="inlineStr">
        <is>
          <t>H250685614410 FL</t>
        </is>
      </c>
      <c r="C1204" s="144" t="inlineStr">
        <is>
          <t>WBS</t>
        </is>
      </c>
      <c r="D1204" s="144" t="n">
        <v>3866287905</v>
      </c>
      <c r="E1204" s="144" t="inlineStr">
        <is>
          <t>FLAT</t>
        </is>
      </c>
      <c r="F1204" s="144" t="inlineStr">
        <is>
          <t>A002075 SC</t>
        </is>
      </c>
      <c r="G1204" s="144" t="inlineStr">
        <is>
          <t>WHITE FREIGHTLINER</t>
        </is>
      </c>
      <c r="H1204" s="144" t="n">
        <v>3500</v>
      </c>
      <c r="I1204" s="144" t="inlineStr">
        <is>
          <t>COMMERCIAL</t>
        </is>
      </c>
    </row>
    <row r="1205" ht="18" customHeight="1" s="7">
      <c r="A1205" s="144" t="inlineStr">
        <is>
          <t>AZIZ KEMRAN</t>
        </is>
      </c>
      <c r="B1205" s="144" t="inlineStr">
        <is>
          <t>A06447959 KY</t>
        </is>
      </c>
      <c r="C1205" s="144" t="inlineStr">
        <is>
          <t>A PLUS</t>
        </is>
      </c>
      <c r="D1205" s="144" t="n">
        <v>5023862354</v>
      </c>
      <c r="E1205" s="144" t="inlineStr">
        <is>
          <t>FLAT</t>
        </is>
      </c>
      <c r="F1205" s="144" t="inlineStr">
        <is>
          <t>003570A KY</t>
        </is>
      </c>
      <c r="G1205" s="144" t="inlineStr">
        <is>
          <t>BLUE VOLVO</t>
        </is>
      </c>
      <c r="H1205" s="144" t="n">
        <v>1221</v>
      </c>
      <c r="I1205" s="144" t="inlineStr">
        <is>
          <t>COMMERCIAL</t>
        </is>
      </c>
    </row>
    <row r="1206" ht="18" customHeight="1" s="7">
      <c r="A1206" s="144" t="inlineStr">
        <is>
          <t>HAKEEN MIXSON</t>
        </is>
      </c>
      <c r="B1206" s="144" t="inlineStr">
        <is>
          <t>M215759119000 FL</t>
        </is>
      </c>
      <c r="C1206" s="144" t="inlineStr">
        <is>
          <t>SMJ FREIGHT</t>
        </is>
      </c>
      <c r="D1206" s="144" t="n">
        <v>3056077421</v>
      </c>
      <c r="E1206" s="144" t="inlineStr">
        <is>
          <t>BOX</t>
        </is>
      </c>
      <c r="F1206" s="144" t="inlineStr">
        <is>
          <t>P12331541 IL</t>
        </is>
      </c>
      <c r="G1206" s="144" t="inlineStr">
        <is>
          <t>WHITE PETERBILT</t>
        </is>
      </c>
      <c r="H1206" s="144" t="n">
        <v>1221</v>
      </c>
      <c r="I1206" s="144" t="inlineStr">
        <is>
          <t>COMMERCIAL</t>
        </is>
      </c>
    </row>
    <row r="1207" ht="18" customHeight="1" s="7">
      <c r="A1207" s="144" t="inlineStr">
        <is>
          <t>JAMAINE TORRENCE</t>
        </is>
      </c>
      <c r="B1207" s="144" t="inlineStr">
        <is>
          <t>056951478 GA</t>
        </is>
      </c>
      <c r="C1207" s="144" t="inlineStr">
        <is>
          <t>CYPRESS EXPRESS</t>
        </is>
      </c>
      <c r="D1207" s="144" t="n">
        <v>4782127329</v>
      </c>
      <c r="E1207" s="144" t="inlineStr">
        <is>
          <t>FLAT</t>
        </is>
      </c>
      <c r="F1207" s="144" t="inlineStr">
        <is>
          <t>XE328T FL</t>
        </is>
      </c>
      <c r="G1207" s="144" t="inlineStr">
        <is>
          <t>RED PETERBILT</t>
        </is>
      </c>
      <c r="H1207" s="144" t="n">
        <v>1221</v>
      </c>
      <c r="I1207" s="144" t="inlineStr">
        <is>
          <t>COMMERCIAL</t>
        </is>
      </c>
    </row>
    <row r="1208" ht="18" customHeight="1" s="7">
      <c r="A1208" s="144" t="inlineStr">
        <is>
          <t>ACTION SIMS</t>
        </is>
      </c>
      <c r="B1208" s="144" t="inlineStr">
        <is>
          <t>35698406 TX</t>
        </is>
      </c>
      <c r="C1208" s="144" t="inlineStr">
        <is>
          <t>SMG ROYAL</t>
        </is>
      </c>
      <c r="D1208" s="144" t="n">
        <v>6823369752</v>
      </c>
      <c r="E1208" s="144" t="inlineStr">
        <is>
          <t>BOX</t>
        </is>
      </c>
      <c r="F1208" s="144" t="inlineStr">
        <is>
          <t>R623822 TX</t>
        </is>
      </c>
      <c r="G1208" s="144" t="inlineStr">
        <is>
          <t>WHITE FREIGHTLINER</t>
        </is>
      </c>
      <c r="H1208" s="144" t="n">
        <v>1221</v>
      </c>
      <c r="I1208" s="144" t="inlineStr">
        <is>
          <t>COMMERCIAL</t>
        </is>
      </c>
    </row>
    <row r="1209" ht="18" customHeight="1" s="7">
      <c r="A1209" s="144" t="inlineStr">
        <is>
          <t>VANCHINNAMJIL ZOLGARGAL</t>
        </is>
      </c>
      <c r="B1209" s="144" t="inlineStr">
        <is>
          <t>A66175545 VA</t>
        </is>
      </c>
      <c r="C1209" s="144" t="inlineStr">
        <is>
          <t>ZOLO TRANSPORT</t>
        </is>
      </c>
      <c r="D1209" s="144" t="n">
        <v>5715944500</v>
      </c>
      <c r="E1209" s="144" t="inlineStr">
        <is>
          <t>FLAT</t>
        </is>
      </c>
      <c r="F1209" s="144" t="inlineStr">
        <is>
          <t>MGL0818 VA</t>
        </is>
      </c>
      <c r="G1209" s="144" t="inlineStr">
        <is>
          <t>BLUE PETERBILT</t>
        </is>
      </c>
      <c r="H1209" s="144" t="n">
        <v>1221</v>
      </c>
      <c r="I1209" s="144" t="inlineStr">
        <is>
          <t>COMMERCIAL</t>
        </is>
      </c>
    </row>
    <row r="1210" ht="18" customHeight="1" s="7">
      <c r="A1210" s="144" t="inlineStr">
        <is>
          <t>CHRISTOPHER PRESSLEY</t>
        </is>
      </c>
      <c r="B1210" s="144" t="inlineStr">
        <is>
          <t>049407858 GA</t>
        </is>
      </c>
      <c r="C1210" s="144" t="inlineStr">
        <is>
          <t>CARSWELL BROS</t>
        </is>
      </c>
      <c r="D1210" s="144" t="n">
        <v>2298944707</v>
      </c>
      <c r="E1210" s="144" t="inlineStr">
        <is>
          <t>PU</t>
        </is>
      </c>
      <c r="F1210" s="144" t="inlineStr">
        <is>
          <t>SAY6832 GA</t>
        </is>
      </c>
      <c r="G1210" s="144" t="inlineStr">
        <is>
          <t>WHITE DODGE</t>
        </is>
      </c>
      <c r="H1210" s="144" t="n">
        <v>3700</v>
      </c>
      <c r="I1210" s="144" t="inlineStr">
        <is>
          <t>CONTRACTOR</t>
        </is>
      </c>
    </row>
    <row r="1211" ht="18" customHeight="1" s="7">
      <c r="A1211" s="144" t="inlineStr">
        <is>
          <t>ANTHONY CLARK</t>
        </is>
      </c>
      <c r="B1211" s="144" t="inlineStr">
        <is>
          <t>444695784 NY</t>
        </is>
      </c>
      <c r="C1211" s="144" t="inlineStr">
        <is>
          <t>XLG TRANSPORTATION</t>
        </is>
      </c>
      <c r="D1211" s="144" t="n">
        <v>3154153066</v>
      </c>
      <c r="E1211" s="144" t="inlineStr">
        <is>
          <t>FLAT</t>
        </is>
      </c>
      <c r="F1211" s="144" t="inlineStr">
        <is>
          <t>2610910 IN</t>
        </is>
      </c>
      <c r="G1211" s="144" t="inlineStr">
        <is>
          <t>ORANGE KENWORTH</t>
        </is>
      </c>
      <c r="H1211" s="144" t="n">
        <v>1221</v>
      </c>
      <c r="I1211" s="144" t="inlineStr">
        <is>
          <t>COMMERCIAL</t>
        </is>
      </c>
    </row>
    <row r="1212" ht="18" customHeight="1" s="7">
      <c r="A1212" s="144" t="inlineStr">
        <is>
          <t>DANIEL PATTERSON</t>
        </is>
      </c>
      <c r="B1212" s="144" t="inlineStr">
        <is>
          <t>*025925550 GA</t>
        </is>
      </c>
      <c r="C1212" s="144" t="inlineStr">
        <is>
          <t>SUNBELT RENTALS</t>
        </is>
      </c>
      <c r="D1212" s="144" t="n">
        <v>2292061647</v>
      </c>
      <c r="E1212" s="144" t="inlineStr">
        <is>
          <t>PU</t>
        </is>
      </c>
      <c r="F1212" s="144" t="inlineStr">
        <is>
          <t>ENM037 GA</t>
        </is>
      </c>
      <c r="G1212" s="144" t="inlineStr">
        <is>
          <t>GREEN FORD</t>
        </is>
      </c>
      <c r="H1212" s="144" t="n">
        <v>3500</v>
      </c>
      <c r="I1212" s="144" t="inlineStr">
        <is>
          <t>CONTRACTOR</t>
        </is>
      </c>
    </row>
    <row r="1213" ht="18" customHeight="1" s="7">
      <c r="A1213" s="144" t="inlineStr">
        <is>
          <t>MORRIS BROWN</t>
        </is>
      </c>
      <c r="B1213" s="144" t="inlineStr">
        <is>
          <t>*050463877 GA</t>
        </is>
      </c>
      <c r="C1213" s="144" t="inlineStr">
        <is>
          <t>LOGISTICS APPLIANCES</t>
        </is>
      </c>
      <c r="D1213" s="144" t="n">
        <v>9124286589</v>
      </c>
      <c r="E1213" s="144" t="inlineStr">
        <is>
          <t>BOX</t>
        </is>
      </c>
      <c r="F1213" s="144" t="inlineStr">
        <is>
          <t>3003024 IN</t>
        </is>
      </c>
      <c r="G1213" s="144" t="inlineStr">
        <is>
          <t>WHITE FREIGHTLINER</t>
        </is>
      </c>
      <c r="H1213" s="144" t="n">
        <v>1221</v>
      </c>
      <c r="I1213" s="144" t="inlineStr">
        <is>
          <t>COMMERCIAL</t>
        </is>
      </c>
    </row>
    <row r="1214" ht="18" customHeight="1" s="7">
      <c r="A1214" s="144" t="inlineStr">
        <is>
          <t xml:space="preserve">SUSAN TRIGLOFF </t>
        </is>
      </c>
      <c r="B1214" s="144" t="inlineStr">
        <is>
          <t>P546101405815 MN</t>
        </is>
      </c>
      <c r="C1214" s="144" t="inlineStr">
        <is>
          <t>XLG TRANSPORTATION</t>
        </is>
      </c>
      <c r="D1214" s="144" t="n">
        <v>5093892869</v>
      </c>
      <c r="E1214" s="144" t="inlineStr">
        <is>
          <t>FLAT</t>
        </is>
      </c>
      <c r="F1214" s="144" t="inlineStr">
        <is>
          <t>2588493 IN</t>
        </is>
      </c>
      <c r="G1214" s="144" t="inlineStr">
        <is>
          <t>BLACK PETERBILT</t>
        </is>
      </c>
      <c r="H1214" s="144" t="n">
        <v>1221</v>
      </c>
      <c r="I1214" s="144" t="inlineStr">
        <is>
          <t>COMMERCIAL</t>
        </is>
      </c>
    </row>
    <row r="1215" ht="18" customHeight="1" s="7">
      <c r="A1215" s="144" t="inlineStr">
        <is>
          <t>ROBERTO PAGAN</t>
        </is>
      </c>
      <c r="B1215" s="144" t="inlineStr">
        <is>
          <t>P230494602000 FL</t>
        </is>
      </c>
      <c r="C1215" s="144" t="inlineStr">
        <is>
          <t>SUNBELT RENTALS</t>
        </is>
      </c>
      <c r="D1215" s="144" t="n">
        <v>9044689933</v>
      </c>
      <c r="E1215" s="144" t="inlineStr">
        <is>
          <t>FLAT</t>
        </is>
      </c>
      <c r="F1215" s="144" t="inlineStr">
        <is>
          <t>XE568R FL</t>
        </is>
      </c>
      <c r="G1215" s="144" t="inlineStr">
        <is>
          <t>GREY PETERBILT</t>
        </is>
      </c>
      <c r="H1215" s="144" t="n">
        <v>3700</v>
      </c>
      <c r="I1215" s="144" t="inlineStr">
        <is>
          <t>COMMERCIAL</t>
        </is>
      </c>
    </row>
    <row r="1216" ht="18" customHeight="1" s="7">
      <c r="A1216" s="144" t="inlineStr">
        <is>
          <t>MATTHEW BRUNER</t>
        </is>
      </c>
      <c r="B1216" s="144" t="inlineStr">
        <is>
          <t>*059023279 GA</t>
        </is>
      </c>
      <c r="C1216" s="144" t="inlineStr">
        <is>
          <t>RHC</t>
        </is>
      </c>
      <c r="D1216" s="144" t="n">
        <v>2298544988</v>
      </c>
      <c r="E1216" s="144" t="inlineStr">
        <is>
          <t>PU</t>
        </is>
      </c>
      <c r="F1216" s="144" t="inlineStr">
        <is>
          <t>PLX3052 GA</t>
        </is>
      </c>
      <c r="G1216" s="144" t="inlineStr">
        <is>
          <t>BLACK FORD</t>
        </is>
      </c>
      <c r="H1216" s="144" t="n">
        <v>10300</v>
      </c>
      <c r="I1216" s="144" t="inlineStr">
        <is>
          <t>CONTRACTOR</t>
        </is>
      </c>
    </row>
    <row r="1217" ht="18" customHeight="1" s="7">
      <c r="A1217" s="144" t="inlineStr">
        <is>
          <t>RANDALL WHIDDON</t>
        </is>
      </c>
      <c r="B1217" s="144" t="inlineStr">
        <is>
          <t>*049103344 GA</t>
        </is>
      </c>
      <c r="C1217" s="144" t="inlineStr">
        <is>
          <t>ENVISION</t>
        </is>
      </c>
      <c r="D1217" s="144" t="n">
        <v>2294462004</v>
      </c>
      <c r="E1217" s="144" t="inlineStr">
        <is>
          <t>VAN</t>
        </is>
      </c>
      <c r="F1217" s="144" t="inlineStr">
        <is>
          <t>CMM4211 GA</t>
        </is>
      </c>
      <c r="G1217" s="144" t="inlineStr">
        <is>
          <t>WHITE NISSAN</t>
        </is>
      </c>
      <c r="H1217" s="144" t="n">
        <v>10300</v>
      </c>
      <c r="I1217" s="144" t="inlineStr">
        <is>
          <t>CONTRACTOR</t>
        </is>
      </c>
    </row>
    <row r="1218" ht="18" customHeight="1" s="7">
      <c r="A1218" s="144" t="inlineStr">
        <is>
          <t>ARTHUR WHEELER</t>
        </is>
      </c>
      <c r="B1218" s="144" t="inlineStr">
        <is>
          <t>W460052643240 FL</t>
        </is>
      </c>
      <c r="C1218" s="144" t="inlineStr">
        <is>
          <t>MJW CONSOLIDATED</t>
        </is>
      </c>
      <c r="D1218" s="144" t="n">
        <v>9045918405</v>
      </c>
      <c r="E1218" s="144" t="inlineStr">
        <is>
          <t>VAN</t>
        </is>
      </c>
      <c r="F1218" s="144" t="inlineStr">
        <is>
          <t>19ANEM FL</t>
        </is>
      </c>
      <c r="G1218" s="144" t="inlineStr">
        <is>
          <t>WHITE FORD</t>
        </is>
      </c>
      <c r="H1218" s="144" t="n">
        <v>1231</v>
      </c>
      <c r="I1218" s="144" t="inlineStr">
        <is>
          <t>CONTRACTOR</t>
        </is>
      </c>
    </row>
    <row r="1219" ht="18" customHeight="1" s="7">
      <c r="A1219" s="144" t="inlineStr">
        <is>
          <t>BRYAN REUTER</t>
        </is>
      </c>
      <c r="B1219" s="144" t="inlineStr">
        <is>
          <t>R360060820530 FL</t>
        </is>
      </c>
      <c r="C1219" s="144" t="inlineStr">
        <is>
          <t>MJW CONSOLIDATED</t>
        </is>
      </c>
      <c r="D1219" s="144" t="n">
        <v>9045454448</v>
      </c>
      <c r="E1219" s="144" t="inlineStr">
        <is>
          <t>VAN</t>
        </is>
      </c>
      <c r="F1219" s="144" t="inlineStr">
        <is>
          <t>RQLY76 FL</t>
        </is>
      </c>
      <c r="G1219" s="144" t="inlineStr">
        <is>
          <t>WHITE FORD</t>
        </is>
      </c>
      <c r="H1219" s="144" t="n">
        <v>1231</v>
      </c>
      <c r="I1219" s="144" t="inlineStr">
        <is>
          <t>CONTRACTOR</t>
        </is>
      </c>
    </row>
    <row r="1220" ht="18" customHeight="1" s="7">
      <c r="A1220" s="144" t="inlineStr">
        <is>
          <t>ZACHARY GRIMES</t>
        </is>
      </c>
      <c r="B1220" s="144" t="inlineStr">
        <is>
          <t>*051745075 GA</t>
        </is>
      </c>
      <c r="C1220" s="144" t="inlineStr">
        <is>
          <t>ABF FREIGHT</t>
        </is>
      </c>
      <c r="D1220" s="144" t="n">
        <v>2294570969</v>
      </c>
      <c r="E1220" s="144" t="inlineStr">
        <is>
          <t>BOX</t>
        </is>
      </c>
      <c r="F1220" s="144" t="inlineStr">
        <is>
          <t>3195384 IN</t>
        </is>
      </c>
      <c r="G1220" s="144" t="inlineStr">
        <is>
          <t>WHITE INTERNATIONAL</t>
        </is>
      </c>
      <c r="H1220" s="144" t="n">
        <v>2200</v>
      </c>
      <c r="I1220" s="144" t="inlineStr">
        <is>
          <t>COMMERCIAL</t>
        </is>
      </c>
    </row>
    <row r="1221" ht="18" customHeight="1" s="7">
      <c r="A1221" s="144" t="inlineStr">
        <is>
          <t>JOSEPH HOLMES</t>
        </is>
      </c>
      <c r="B1221" s="144" t="inlineStr">
        <is>
          <t>H452492840420 FL</t>
        </is>
      </c>
      <c r="C1221" s="144" t="inlineStr">
        <is>
          <t>AAT CARRIERS</t>
        </is>
      </c>
      <c r="D1221" s="144" t="n">
        <v>8504808849</v>
      </c>
      <c r="E1221" s="144" t="inlineStr">
        <is>
          <t>BOX</t>
        </is>
      </c>
      <c r="F1221" s="144" t="inlineStr">
        <is>
          <t>3619892 IN</t>
        </is>
      </c>
      <c r="G1221" s="144" t="inlineStr">
        <is>
          <t>WHITE VOLVO</t>
        </is>
      </c>
      <c r="H1221" s="144" t="n">
        <v>1221</v>
      </c>
      <c r="I1221" s="144" t="inlineStr">
        <is>
          <t>COMMERCIAL</t>
        </is>
      </c>
    </row>
    <row r="1222" ht="18" customHeight="1" s="7">
      <c r="A1222" s="144" t="inlineStr">
        <is>
          <t>CIN THANG</t>
        </is>
      </c>
      <c r="B1222" s="144" t="inlineStr">
        <is>
          <t>C5008127930008 WI</t>
        </is>
      </c>
      <c r="C1222" s="144" t="inlineStr">
        <is>
          <t>TRITON LOGISTICS</t>
        </is>
      </c>
      <c r="D1222" s="144" t="n">
        <v>4144770775</v>
      </c>
      <c r="E1222" s="144" t="inlineStr">
        <is>
          <t>BOX</t>
        </is>
      </c>
      <c r="F1222" s="144" t="inlineStr">
        <is>
          <t>P984366 IL</t>
        </is>
      </c>
      <c r="G1222" s="144" t="inlineStr">
        <is>
          <t>WHITE INTERNATIONAL</t>
        </is>
      </c>
      <c r="H1222" s="144" t="n">
        <v>1221</v>
      </c>
      <c r="I1222" s="144" t="inlineStr">
        <is>
          <t>COMMERCIAL</t>
        </is>
      </c>
    </row>
    <row r="1223" ht="18" customHeight="1" s="7">
      <c r="A1223" s="144" t="inlineStr">
        <is>
          <t>BRODIO MICHAEL</t>
        </is>
      </c>
      <c r="B1223" s="144" t="inlineStr">
        <is>
          <t>100503581 TN</t>
        </is>
      </c>
      <c r="C1223" s="144" t="inlineStr">
        <is>
          <t>XLG</t>
        </is>
      </c>
      <c r="D1223" s="144" t="n">
        <v>4233417366</v>
      </c>
      <c r="E1223" s="144" t="inlineStr">
        <is>
          <t>FLAT</t>
        </is>
      </c>
      <c r="F1223" s="144" t="inlineStr">
        <is>
          <t>2423304 IN</t>
        </is>
      </c>
      <c r="G1223" s="144" t="inlineStr">
        <is>
          <t>YELLOW KENWORTH</t>
        </is>
      </c>
      <c r="H1223" s="144" t="n">
        <v>1221</v>
      </c>
      <c r="I1223" s="144" t="inlineStr">
        <is>
          <t>COMMERCIAL</t>
        </is>
      </c>
    </row>
    <row r="1224" ht="18" customHeight="1" s="7">
      <c r="A1224" s="144" t="inlineStr">
        <is>
          <t>ROBERTSON EWEULLE</t>
        </is>
      </c>
      <c r="B1224" s="144" t="inlineStr">
        <is>
          <t>*076C232002 MO</t>
        </is>
      </c>
      <c r="C1224" s="144" t="inlineStr">
        <is>
          <t>J5 CONTRACTING</t>
        </is>
      </c>
      <c r="D1224" s="144" t="n">
        <v>9283013458</v>
      </c>
      <c r="E1224" s="144" t="inlineStr">
        <is>
          <t>PU</t>
        </is>
      </c>
      <c r="F1224" s="144" t="inlineStr">
        <is>
          <t>13KH7B MO</t>
        </is>
      </c>
      <c r="G1224" s="144" t="inlineStr">
        <is>
          <t>GREY DODGE</t>
        </is>
      </c>
      <c r="H1224" s="144" t="n">
        <v>1221</v>
      </c>
      <c r="I1224" s="144" t="inlineStr">
        <is>
          <t>CONTRACTOR</t>
        </is>
      </c>
    </row>
    <row r="1225" ht="18" customHeight="1" s="7">
      <c r="A1225" s="144" t="inlineStr">
        <is>
          <t>CHRISTOPHER ST CLAIR</t>
        </is>
      </c>
      <c r="B1225" s="144" t="inlineStr">
        <is>
          <t>T136094001 MO</t>
        </is>
      </c>
      <c r="C1225" s="144" t="inlineStr">
        <is>
          <t>SAFE AIR</t>
        </is>
      </c>
      <c r="D1225" s="144" t="n">
        <v>8168740197</v>
      </c>
      <c r="E1225" s="144" t="inlineStr">
        <is>
          <t>VAN</t>
        </is>
      </c>
      <c r="F1225" s="144" t="inlineStr">
        <is>
          <t>KVJC76 FL</t>
        </is>
      </c>
      <c r="G1225" s="144" t="inlineStr">
        <is>
          <t>WHITE MERCEDES</t>
        </is>
      </c>
      <c r="H1225" s="144" t="inlineStr">
        <is>
          <t>FIRE STATION</t>
        </is>
      </c>
      <c r="I1225" s="144" t="inlineStr">
        <is>
          <t>CONTRACTOR</t>
        </is>
      </c>
    </row>
    <row r="1226" ht="18" customHeight="1" s="7">
      <c r="A1226" s="144" t="inlineStr">
        <is>
          <t>PATRICK QUINN</t>
        </is>
      </c>
      <c r="B1226" s="144" t="inlineStr">
        <is>
          <t>*026827248 GA</t>
        </is>
      </c>
      <c r="C1226" s="144" t="inlineStr">
        <is>
          <t>ATLANTA DASH</t>
        </is>
      </c>
      <c r="D1226" s="144" t="n">
        <v>7709002114</v>
      </c>
      <c r="E1226" s="144" t="inlineStr">
        <is>
          <t>VAN</t>
        </is>
      </c>
      <c r="F1226" s="144" t="inlineStr">
        <is>
          <t>TAI3423 GA</t>
        </is>
      </c>
      <c r="G1226" s="144" t="inlineStr">
        <is>
          <t>BLACK FORD</t>
        </is>
      </c>
      <c r="H1226" s="144" t="n">
        <v>1221</v>
      </c>
      <c r="I1226" s="144" t="inlineStr">
        <is>
          <t>CONTRACTOR</t>
        </is>
      </c>
    </row>
    <row r="1227" ht="18" customHeight="1" s="7">
      <c r="A1227" s="144" t="inlineStr">
        <is>
          <t>SZABO BELA</t>
        </is>
      </c>
      <c r="B1227" s="144" t="inlineStr">
        <is>
          <t>S100060751090 FL</t>
        </is>
      </c>
      <c r="C1227" s="144" t="inlineStr">
        <is>
          <t>YK EXPRESS</t>
        </is>
      </c>
      <c r="D1227" s="144" t="n">
        <v>9048810197</v>
      </c>
      <c r="E1227" s="144" t="inlineStr">
        <is>
          <t>FLAT</t>
        </is>
      </c>
      <c r="F1227" s="144" t="inlineStr">
        <is>
          <t>XE824S FL</t>
        </is>
      </c>
      <c r="G1227" s="144" t="inlineStr">
        <is>
          <t>RED PETERBILT</t>
        </is>
      </c>
      <c r="H1227" s="144" t="n">
        <v>1221</v>
      </c>
      <c r="I1227" s="144" t="inlineStr">
        <is>
          <t>COMMERCIAL</t>
        </is>
      </c>
    </row>
    <row r="1228" ht="18" customHeight="1" s="7">
      <c r="A1228" s="144" t="inlineStr">
        <is>
          <t>GREGORY WILSON</t>
        </is>
      </c>
      <c r="B1228" s="144" t="inlineStr">
        <is>
          <t>*061248971 GA</t>
        </is>
      </c>
      <c r="C1228" s="144" t="inlineStr">
        <is>
          <t>TRI STATE</t>
        </is>
      </c>
      <c r="D1228" s="144" t="n">
        <v>3343227575</v>
      </c>
      <c r="E1228" s="144" t="inlineStr">
        <is>
          <t>BOX</t>
        </is>
      </c>
      <c r="F1228" s="144" t="inlineStr">
        <is>
          <t>AL27488 AZ</t>
        </is>
      </c>
      <c r="G1228" s="144" t="inlineStr">
        <is>
          <t>GREY KENWORTH</t>
        </is>
      </c>
      <c r="H1228" s="144" t="n">
        <v>1221</v>
      </c>
      <c r="I1228" s="144" t="inlineStr">
        <is>
          <t>COMMERCIAL</t>
        </is>
      </c>
    </row>
    <row r="1229" ht="18" customHeight="1" s="7">
      <c r="A1229" s="144" t="inlineStr">
        <is>
          <t>GLENN PRESTON</t>
        </is>
      </c>
      <c r="B1229" s="144" t="inlineStr">
        <is>
          <t>*026100970 GA</t>
        </is>
      </c>
      <c r="C1229" s="144" t="inlineStr">
        <is>
          <t>US FOODS</t>
        </is>
      </c>
      <c r="D1229" s="144" t="n">
        <v>6782064226</v>
      </c>
      <c r="E1229" s="144" t="inlineStr">
        <is>
          <t>BOX</t>
        </is>
      </c>
      <c r="F1229" s="144" t="inlineStr">
        <is>
          <t>3047671 IN</t>
        </is>
      </c>
      <c r="G1229" s="144" t="inlineStr">
        <is>
          <t>WHITE FREIGHTLINER</t>
        </is>
      </c>
      <c r="H1229" s="144" t="n">
        <v>7501</v>
      </c>
      <c r="I1229" s="144" t="inlineStr">
        <is>
          <t>COMMERCIAL</t>
        </is>
      </c>
    </row>
    <row r="1230" ht="18" customHeight="1" s="7">
      <c r="A1230" s="144" t="inlineStr">
        <is>
          <t>ROGERIO DOS SANTOS</t>
        </is>
      </c>
      <c r="B1230" s="144" t="inlineStr">
        <is>
          <t>*000030906055 NC</t>
        </is>
      </c>
      <c r="C1230" s="144" t="inlineStr">
        <is>
          <t>TRI STATE</t>
        </is>
      </c>
      <c r="D1230" s="144" t="n">
        <v>9843106090</v>
      </c>
      <c r="E1230" s="144" t="inlineStr">
        <is>
          <t>BOX</t>
        </is>
      </c>
      <c r="F1230" s="144" t="inlineStr">
        <is>
          <t>AL23734 AZ</t>
        </is>
      </c>
      <c r="G1230" s="144" t="inlineStr">
        <is>
          <t>GREY KENWORTH</t>
        </is>
      </c>
      <c r="H1230" s="144" t="n">
        <v>1221</v>
      </c>
      <c r="I1230" s="144" t="inlineStr">
        <is>
          <t>COMMERCIAL</t>
        </is>
      </c>
    </row>
    <row r="1231" ht="18" customHeight="1" s="7">
      <c r="A1231" s="144" t="inlineStr">
        <is>
          <t>LANNON MCALPIN</t>
        </is>
      </c>
      <c r="B1231" s="144" t="inlineStr">
        <is>
          <t>4769061 AL</t>
        </is>
      </c>
      <c r="C1231" s="144" t="inlineStr">
        <is>
          <t>TRI STATE</t>
        </is>
      </c>
      <c r="D1231" s="144" t="n">
        <v>2053812650</v>
      </c>
      <c r="E1231" s="144" t="inlineStr">
        <is>
          <t>BOX</t>
        </is>
      </c>
      <c r="F1231" s="144" t="inlineStr">
        <is>
          <t>AM20807 AZ</t>
        </is>
      </c>
      <c r="G1231" s="144" t="inlineStr">
        <is>
          <t>WHITE KENWORTH</t>
        </is>
      </c>
      <c r="H1231" s="144" t="n">
        <v>1221</v>
      </c>
      <c r="I1231" s="144" t="inlineStr">
        <is>
          <t>COMMERCIAL</t>
        </is>
      </c>
    </row>
    <row r="1232" ht="18" customHeight="1" s="7">
      <c r="A1232" s="144" t="inlineStr">
        <is>
          <t>KELVIN LANE</t>
        </is>
      </c>
      <c r="B1232" s="144" t="inlineStr">
        <is>
          <t>L500517834210 FL</t>
        </is>
      </c>
      <c r="C1232" s="144" t="inlineStr">
        <is>
          <t>KLB SOUTH</t>
        </is>
      </c>
      <c r="D1232" s="144" t="n">
        <v>8503225247</v>
      </c>
      <c r="E1232" s="144" t="inlineStr">
        <is>
          <t>BOX</t>
        </is>
      </c>
      <c r="F1232" s="144" t="inlineStr">
        <is>
          <t>R773043 TX</t>
        </is>
      </c>
      <c r="G1232" s="144" t="inlineStr">
        <is>
          <t>WHITE FREIGHTLINER</t>
        </is>
      </c>
      <c r="H1232" s="144" t="n">
        <v>7501</v>
      </c>
      <c r="I1232" s="144" t="inlineStr">
        <is>
          <t>COMMERCIAL</t>
        </is>
      </c>
    </row>
    <row r="1233" ht="18" customHeight="1" s="7">
      <c r="A1233" s="144" t="inlineStr">
        <is>
          <t>IURIE GURIN</t>
        </is>
      </c>
      <c r="B1233" s="144" t="inlineStr">
        <is>
          <t>G65040088172 IL</t>
        </is>
      </c>
      <c r="C1233" s="144" t="inlineStr">
        <is>
          <t>GREEN LIGHT INC</t>
        </is>
      </c>
      <c r="D1233" s="144" t="n">
        <v>6307408660</v>
      </c>
      <c r="E1233" s="144" t="inlineStr">
        <is>
          <t>FLAT</t>
        </is>
      </c>
      <c r="F1233" s="144" t="inlineStr">
        <is>
          <t>P1283501 IL</t>
        </is>
      </c>
      <c r="G1233" s="144" t="inlineStr">
        <is>
          <t>WHITE FREIGHTLINER</t>
        </is>
      </c>
      <c r="H1233" s="144" t="n">
        <v>1221</v>
      </c>
      <c r="I1233" s="144" t="inlineStr">
        <is>
          <t>COMMERCIAL</t>
        </is>
      </c>
    </row>
    <row r="1234" ht="18" customHeight="1" s="7">
      <c r="A1234" s="144" t="inlineStr">
        <is>
          <t>JESSE STEPP</t>
        </is>
      </c>
      <c r="B1234" s="144" t="inlineStr">
        <is>
          <t>031188877 GA</t>
        </is>
      </c>
      <c r="C1234" s="144" t="inlineStr">
        <is>
          <t>GEM CAR</t>
        </is>
      </c>
      <c r="D1234" s="144" t="n">
        <v>9122701948</v>
      </c>
      <c r="E1234" s="144" t="inlineStr">
        <is>
          <t>PU</t>
        </is>
      </c>
      <c r="F1234" s="144" t="inlineStr">
        <is>
          <t>SEJ8920 GA</t>
        </is>
      </c>
      <c r="G1234" s="144" t="inlineStr">
        <is>
          <t>GRAY DODGE</t>
        </is>
      </c>
      <c r="H1234" s="144" t="n">
        <v>5400</v>
      </c>
      <c r="I1234" s="144" t="inlineStr">
        <is>
          <t>CONTRACTOR</t>
        </is>
      </c>
    </row>
    <row r="1235" ht="18" customHeight="1" s="7">
      <c r="A1235" s="144" t="inlineStr">
        <is>
          <t>GARY SALTER</t>
        </is>
      </c>
      <c r="B1235" s="144" t="inlineStr">
        <is>
          <t>049672621 GA</t>
        </is>
      </c>
      <c r="C1235" s="144" t="inlineStr">
        <is>
          <t>INVISION TECH</t>
        </is>
      </c>
      <c r="D1235" s="144" t="n">
        <v>2294462004</v>
      </c>
      <c r="E1235" s="144" t="inlineStr">
        <is>
          <t>VAN</t>
        </is>
      </c>
      <c r="F1235" s="144" t="inlineStr">
        <is>
          <t>RRY4270 GA</t>
        </is>
      </c>
      <c r="G1235" s="144" t="inlineStr">
        <is>
          <t>WHITE NISSAN</t>
        </is>
      </c>
      <c r="H1235" s="144" t="n">
        <v>2608</v>
      </c>
      <c r="I1235" s="144" t="inlineStr">
        <is>
          <t>CONTRACTOR</t>
        </is>
      </c>
    </row>
    <row r="1236" ht="18" customHeight="1" s="7">
      <c r="A1236" s="144" t="inlineStr">
        <is>
          <t>ARTHUR MOROZ</t>
        </is>
      </c>
      <c r="B1236" s="144" t="inlineStr">
        <is>
          <t>32510136 PA</t>
        </is>
      </c>
      <c r="C1236" s="144" t="inlineStr">
        <is>
          <t>LUXTON LOGISTICS</t>
        </is>
      </c>
      <c r="D1236" s="144" t="n">
        <v>7078501098</v>
      </c>
      <c r="E1236" s="144" t="inlineStr">
        <is>
          <t>BOX</t>
        </is>
      </c>
      <c r="F1236" s="144" t="inlineStr">
        <is>
          <t>AH45233 PA</t>
        </is>
      </c>
      <c r="G1236" s="144" t="inlineStr">
        <is>
          <t>GRAY VOLVO</t>
        </is>
      </c>
      <c r="H1236" s="144" t="n">
        <v>1221</v>
      </c>
      <c r="I1236" s="144" t="inlineStr">
        <is>
          <t>COMMERCIAL</t>
        </is>
      </c>
    </row>
    <row r="1237" ht="18" customHeight="1" s="7">
      <c r="A1237" s="144" t="inlineStr">
        <is>
          <t>KIA ZEWUDE</t>
        </is>
      </c>
      <c r="B1237" s="144" t="inlineStr">
        <is>
          <t>172488223 CO</t>
        </is>
      </c>
      <c r="C1237" s="144" t="inlineStr">
        <is>
          <t>DR TRANS LLC</t>
        </is>
      </c>
      <c r="D1237" s="144" t="n">
        <v>5153182460</v>
      </c>
      <c r="E1237" s="144" t="inlineStr">
        <is>
          <t>BOX</t>
        </is>
      </c>
      <c r="F1237" s="144" t="inlineStr">
        <is>
          <t>BLDU26 CO</t>
        </is>
      </c>
      <c r="G1237" s="144" t="inlineStr">
        <is>
          <t>WHITE FREIGHTLINER</t>
        </is>
      </c>
      <c r="H1237" s="144" t="n">
        <v>1221</v>
      </c>
      <c r="I1237" s="144" t="inlineStr">
        <is>
          <t>COMMERCIAL</t>
        </is>
      </c>
    </row>
    <row r="1238" ht="18" customHeight="1" s="7">
      <c r="A1238" s="144" t="inlineStr">
        <is>
          <t>MUMUNI MUBARIK</t>
        </is>
      </c>
      <c r="B1238" s="144" t="inlineStr">
        <is>
          <t>UT942740 OH</t>
        </is>
      </c>
      <c r="C1238" s="144" t="inlineStr">
        <is>
          <t>TRI STARS</t>
        </is>
      </c>
      <c r="D1238" s="144" t="n">
        <v>6142182767</v>
      </c>
      <c r="E1238" s="144" t="inlineStr">
        <is>
          <t>BOX</t>
        </is>
      </c>
      <c r="F1238" s="144" t="inlineStr">
        <is>
          <t>PXC4047 OH</t>
        </is>
      </c>
      <c r="G1238" s="144" t="inlineStr">
        <is>
          <t>WHITE FREIGHTLINER</t>
        </is>
      </c>
      <c r="H1238" s="144" t="n">
        <v>1221</v>
      </c>
      <c r="I1238" s="144" t="inlineStr">
        <is>
          <t>COMMERCIAL</t>
        </is>
      </c>
    </row>
    <row r="1239" ht="18" customHeight="1" s="7">
      <c r="A1239" s="144" t="inlineStr">
        <is>
          <t>BENJAMIN WARRICK</t>
        </is>
      </c>
      <c r="B1239" s="144" t="inlineStr">
        <is>
          <t>W09860819 KY</t>
        </is>
      </c>
      <c r="C1239" s="144" t="inlineStr">
        <is>
          <t>BENNETT</t>
        </is>
      </c>
      <c r="D1239" s="144" t="n">
        <v>2298342696</v>
      </c>
      <c r="E1239" s="144" t="inlineStr">
        <is>
          <t>BOX</t>
        </is>
      </c>
      <c r="F1239" s="144" t="inlineStr">
        <is>
          <t>P990658 IL</t>
        </is>
      </c>
      <c r="G1239" s="144" t="inlineStr">
        <is>
          <t>BLACK KENWORTH</t>
        </is>
      </c>
      <c r="H1239" s="144" t="n">
        <v>1221</v>
      </c>
      <c r="I1239" s="144" t="inlineStr">
        <is>
          <t>COMMERCIAL</t>
        </is>
      </c>
    </row>
    <row r="1240" ht="18" customHeight="1" s="7">
      <c r="A1240" s="144" t="inlineStr">
        <is>
          <t>TADD VASSELL</t>
        </is>
      </c>
      <c r="B1240" s="144" t="inlineStr">
        <is>
          <t>070470553 GA</t>
        </is>
      </c>
      <c r="C1240" s="144" t="inlineStr">
        <is>
          <t>EVERGREEN DALEY</t>
        </is>
      </c>
      <c r="D1240" s="144" t="n">
        <v>4705320253</v>
      </c>
      <c r="E1240" s="144" t="inlineStr">
        <is>
          <t>BOX</t>
        </is>
      </c>
      <c r="F1240" s="144" t="inlineStr">
        <is>
          <t>YFN973 GA</t>
        </is>
      </c>
      <c r="G1240" s="144" t="inlineStr">
        <is>
          <t>YELLOW FREIGHTLINER</t>
        </is>
      </c>
      <c r="H1240" s="144" t="n">
        <v>1221</v>
      </c>
      <c r="I1240" s="144" t="inlineStr">
        <is>
          <t>COMMERCIAL</t>
        </is>
      </c>
    </row>
    <row r="1241" ht="18" customHeight="1" s="7">
      <c r="A1241" s="144" t="inlineStr">
        <is>
          <t>PAMELA YOUNG</t>
        </is>
      </c>
      <c r="B1241" s="144" t="inlineStr">
        <is>
          <t>Y520677528440 FL</t>
        </is>
      </c>
      <c r="C1241" s="144" t="inlineStr">
        <is>
          <t>BENNETT</t>
        </is>
      </c>
      <c r="D1241" s="144" t="n">
        <v>8634090030</v>
      </c>
      <c r="E1241" s="144" t="inlineStr">
        <is>
          <t>BOX</t>
        </is>
      </c>
      <c r="F1241" s="144" t="inlineStr">
        <is>
          <t>DD11DL FL</t>
        </is>
      </c>
      <c r="G1241" s="144" t="inlineStr">
        <is>
          <t>WHITE FREIGHTLINER</t>
        </is>
      </c>
      <c r="H1241" s="144" t="n">
        <v>1221</v>
      </c>
      <c r="I1241" s="144" t="inlineStr">
        <is>
          <t>COMMERCIAL</t>
        </is>
      </c>
    </row>
    <row r="1242" ht="18" customHeight="1" s="7">
      <c r="A1242" s="144" t="inlineStr">
        <is>
          <t>RANDY HACKER</t>
        </is>
      </c>
      <c r="B1242" s="144" t="inlineStr">
        <is>
          <t>0890009808 IN</t>
        </is>
      </c>
      <c r="C1242" s="144" t="inlineStr">
        <is>
          <t>AAT CARRIERS</t>
        </is>
      </c>
      <c r="D1242" s="144" t="n">
        <v>7193548178</v>
      </c>
      <c r="E1242" s="144" t="inlineStr">
        <is>
          <t>BOX</t>
        </is>
      </c>
      <c r="F1242" s="144" t="inlineStr">
        <is>
          <t>3119352 IN</t>
        </is>
      </c>
      <c r="G1242" s="144" t="inlineStr">
        <is>
          <t>WHITE PETERBILT</t>
        </is>
      </c>
      <c r="H1242" s="144" t="n">
        <v>1221</v>
      </c>
      <c r="I1242" s="144" t="inlineStr">
        <is>
          <t>COMMERCIAL</t>
        </is>
      </c>
    </row>
    <row r="1243" ht="18" customHeight="1" s="7">
      <c r="A1243" s="144" t="inlineStr">
        <is>
          <t>BRIAN RHODES</t>
        </is>
      </c>
      <c r="B1243" s="144" t="inlineStr">
        <is>
          <t>134959142 TN</t>
        </is>
      </c>
      <c r="C1243" s="144" t="inlineStr">
        <is>
          <t>JENBACHER</t>
        </is>
      </c>
      <c r="D1243" s="144" t="n">
        <v>7044509192</v>
      </c>
      <c r="E1243" s="144" t="inlineStr">
        <is>
          <t>VAN</t>
        </is>
      </c>
      <c r="F1243" s="144" t="inlineStr">
        <is>
          <t>BGK3007 TN</t>
        </is>
      </c>
      <c r="G1243" s="144" t="inlineStr">
        <is>
          <t>WHITE MERCEDES</t>
        </is>
      </c>
      <c r="H1243" s="144" t="n">
        <v>2288</v>
      </c>
      <c r="I1243" s="144" t="inlineStr">
        <is>
          <t>CONTRACTOR</t>
        </is>
      </c>
    </row>
    <row r="1244" ht="18" customHeight="1" s="7">
      <c r="A1244" s="144" t="inlineStr">
        <is>
          <t>FRANK THOMPSON</t>
        </is>
      </c>
      <c r="B1244" s="144" t="inlineStr">
        <is>
          <t>048415913 GA</t>
        </is>
      </c>
      <c r="C1244" s="144" t="inlineStr">
        <is>
          <t>G &amp; G</t>
        </is>
      </c>
      <c r="D1244" s="144" t="n">
        <v>2297592700</v>
      </c>
      <c r="E1244" s="144" t="inlineStr">
        <is>
          <t>VAN</t>
        </is>
      </c>
      <c r="F1244" s="144" t="inlineStr">
        <is>
          <t>SBC9900 GA</t>
        </is>
      </c>
      <c r="G1244" s="144" t="inlineStr">
        <is>
          <t>WHITE DODGE</t>
        </is>
      </c>
      <c r="H1244" s="144" t="n">
        <v>1331</v>
      </c>
      <c r="I1244" s="144" t="inlineStr">
        <is>
          <t>CONTRACTOR</t>
        </is>
      </c>
    </row>
    <row r="1245" ht="18" customHeight="1" s="7">
      <c r="A1245" s="144" t="inlineStr">
        <is>
          <t>AIBASHOV ZHETIGEN</t>
        </is>
      </c>
      <c r="B1245" s="144" t="inlineStr">
        <is>
          <t>35282343 PA</t>
        </is>
      </c>
      <c r="C1245" s="144" t="inlineStr">
        <is>
          <t>KG STAR</t>
        </is>
      </c>
      <c r="D1245" s="144" t="n">
        <v>3127745805</v>
      </c>
      <c r="E1245" s="144" t="inlineStr">
        <is>
          <t>BOX</t>
        </is>
      </c>
      <c r="F1245" s="144" t="inlineStr">
        <is>
          <t>P1286691 IL</t>
        </is>
      </c>
      <c r="G1245" s="144" t="inlineStr">
        <is>
          <t>WHITE FREIGHTLINER</t>
        </is>
      </c>
      <c r="H1245" s="144" t="n">
        <v>1340</v>
      </c>
      <c r="I1245" s="144" t="inlineStr">
        <is>
          <t>COMMERCIAL</t>
        </is>
      </c>
    </row>
    <row r="1246" ht="18" customHeight="1" s="7">
      <c r="A1246" s="144" t="inlineStr">
        <is>
          <t>DAVID JACKSON</t>
        </is>
      </c>
      <c r="B1246" s="144" t="inlineStr">
        <is>
          <t>*049254862 GA</t>
        </is>
      </c>
      <c r="C1246" s="144" t="inlineStr">
        <is>
          <t>XTREAM</t>
        </is>
      </c>
      <c r="D1246" s="144" t="n">
        <v>2298819281</v>
      </c>
      <c r="E1246" s="144" t="inlineStr">
        <is>
          <t>PU</t>
        </is>
      </c>
      <c r="F1246" s="144" t="inlineStr">
        <is>
          <t>GCR526 GA</t>
        </is>
      </c>
      <c r="G1246" s="144" t="inlineStr">
        <is>
          <t>WHITE FORD</t>
        </is>
      </c>
      <c r="H1246" s="144" t="inlineStr">
        <is>
          <t>HOUSING</t>
        </is>
      </c>
      <c r="I1246" s="144" t="inlineStr">
        <is>
          <t>CONTRACTOR</t>
        </is>
      </c>
    </row>
    <row r="1247" ht="18" customHeight="1" s="7">
      <c r="A1247" s="144" t="inlineStr">
        <is>
          <t>CHARLES LOWE</t>
        </is>
      </c>
      <c r="B1247" s="144" t="inlineStr">
        <is>
          <t>116942975 TN</t>
        </is>
      </c>
      <c r="C1247" s="144" t="inlineStr">
        <is>
          <t>KECNO</t>
        </is>
      </c>
      <c r="D1247" s="144" t="n">
        <v>4235047250</v>
      </c>
      <c r="E1247" s="144" t="inlineStr">
        <is>
          <t>BOX</t>
        </is>
      </c>
      <c r="F1247" s="144" t="inlineStr">
        <is>
          <t>246935 KS</t>
        </is>
      </c>
      <c r="G1247" s="144" t="inlineStr">
        <is>
          <t>WHITE KENWORTH</t>
        </is>
      </c>
      <c r="H1247" s="144" t="inlineStr">
        <is>
          <t>FIRE STATION</t>
        </is>
      </c>
      <c r="I1247" s="144" t="inlineStr">
        <is>
          <t>COMMERCIAL</t>
        </is>
      </c>
    </row>
    <row r="1248" ht="18" customHeight="1" s="7">
      <c r="A1248" s="144" t="inlineStr">
        <is>
          <t>BURKES ERIC</t>
        </is>
      </c>
      <c r="B1248" s="144" t="inlineStr">
        <is>
          <t>B622212921070 FL</t>
        </is>
      </c>
      <c r="C1248" s="144" t="inlineStr">
        <is>
          <t>RT</t>
        </is>
      </c>
      <c r="D1248" s="144" t="n">
        <v>8636049691</v>
      </c>
      <c r="E1248" s="144" t="inlineStr">
        <is>
          <t>BOX</t>
        </is>
      </c>
      <c r="F1248" s="144" t="inlineStr">
        <is>
          <t>P1166519 IL</t>
        </is>
      </c>
      <c r="G1248" s="144" t="inlineStr">
        <is>
          <t>RED VOLVO</t>
        </is>
      </c>
      <c r="H1248" s="144" t="n">
        <v>1221</v>
      </c>
      <c r="I1248" s="144" t="inlineStr">
        <is>
          <t>COMMERCIAL</t>
        </is>
      </c>
    </row>
    <row r="1249" ht="18" customHeight="1" s="7">
      <c r="A1249" s="144" t="inlineStr">
        <is>
          <t>JAMIE BURDESHAW</t>
        </is>
      </c>
      <c r="B1249" s="144" t="inlineStr">
        <is>
          <t>B632432902850 FL</t>
        </is>
      </c>
      <c r="C1249" s="144" t="inlineStr">
        <is>
          <t>EXCULSIVE EXPRESS</t>
        </is>
      </c>
      <c r="D1249" s="144" t="n">
        <v>8508600769</v>
      </c>
      <c r="E1249" s="144" t="inlineStr">
        <is>
          <t>BOX</t>
        </is>
      </c>
      <c r="F1249" s="144" t="inlineStr">
        <is>
          <t>NJVW01 FL</t>
        </is>
      </c>
      <c r="G1249" s="144" t="inlineStr">
        <is>
          <t>WHITE INTER</t>
        </is>
      </c>
      <c r="H1249" s="144" t="inlineStr">
        <is>
          <t>HOUSING</t>
        </is>
      </c>
      <c r="I1249" s="144" t="inlineStr">
        <is>
          <t>CONTRACTOR</t>
        </is>
      </c>
    </row>
    <row r="1250" ht="18" customHeight="1" s="7">
      <c r="A1250" s="144" t="inlineStr">
        <is>
          <t>JENNINGS GRANT</t>
        </is>
      </c>
      <c r="B1250" s="144" t="inlineStr">
        <is>
          <t>J552288745351 MD</t>
        </is>
      </c>
      <c r="C1250" s="144" t="inlineStr">
        <is>
          <t>TRIPLE J</t>
        </is>
      </c>
      <c r="D1250" s="144" t="n">
        <v>4438108232</v>
      </c>
      <c r="E1250" s="144" t="inlineStr">
        <is>
          <t>FLAT</t>
        </is>
      </c>
      <c r="F1250" s="144" t="inlineStr">
        <is>
          <t>970F84 MD</t>
        </is>
      </c>
      <c r="G1250" s="144" t="inlineStr">
        <is>
          <t>RED PETERBILT</t>
        </is>
      </c>
      <c r="H1250" s="144" t="n">
        <v>1221</v>
      </c>
      <c r="I1250" s="144" t="inlineStr">
        <is>
          <t>COMMERCIAL</t>
        </is>
      </c>
    </row>
    <row r="1251" ht="18" customHeight="1" s="7">
      <c r="A1251" s="144" t="inlineStr">
        <is>
          <t>EDWIN HEMINGWAY</t>
        </is>
      </c>
      <c r="B1251" s="144" t="inlineStr">
        <is>
          <t>*060924204 GA</t>
        </is>
      </c>
      <c r="C1251" s="144" t="inlineStr">
        <is>
          <t xml:space="preserve">GOLD TRANS </t>
        </is>
      </c>
      <c r="D1251" s="144" t="n">
        <v>8504204264</v>
      </c>
      <c r="E1251" s="144" t="inlineStr">
        <is>
          <t>VAN</t>
        </is>
      </c>
      <c r="F1251" s="144" t="inlineStr">
        <is>
          <t>SIC4424 GA</t>
        </is>
      </c>
      <c r="G1251" s="144" t="inlineStr">
        <is>
          <t>WHITE MEB</t>
        </is>
      </c>
      <c r="H1251" s="144" t="n">
        <v>1221</v>
      </c>
      <c r="I1251" s="144" t="inlineStr">
        <is>
          <t>CONTRACTOR</t>
        </is>
      </c>
    </row>
    <row r="1252" ht="18" customHeight="1" s="7">
      <c r="A1252" s="144" t="inlineStr">
        <is>
          <t>AMIRAN IBRAGIMOV</t>
        </is>
      </c>
      <c r="B1252" s="144" t="inlineStr">
        <is>
          <t>*052630733 GA</t>
        </is>
      </c>
      <c r="C1252" s="144" t="inlineStr">
        <is>
          <t>EXCEL TRANS</t>
        </is>
      </c>
      <c r="D1252" s="144" t="n">
        <v>6787936639</v>
      </c>
      <c r="E1252" s="144" t="inlineStr">
        <is>
          <t>FLAT</t>
        </is>
      </c>
      <c r="F1252" s="144" t="inlineStr">
        <is>
          <t>C880ER GA</t>
        </is>
      </c>
      <c r="G1252" s="144" t="inlineStr">
        <is>
          <t>WHITE VOLVO</t>
        </is>
      </c>
      <c r="H1252" s="144" t="n">
        <v>1221</v>
      </c>
      <c r="I1252" s="144" t="inlineStr">
        <is>
          <t>COMMERCIAL</t>
        </is>
      </c>
    </row>
    <row r="1253" ht="18" customHeight="1" s="7">
      <c r="A1253" s="144" t="inlineStr">
        <is>
          <t>CHANDLER JED</t>
        </is>
      </c>
      <c r="B1253" s="144" t="inlineStr">
        <is>
          <t>F2034322 CA</t>
        </is>
      </c>
      <c r="C1253" s="144" t="inlineStr">
        <is>
          <t>LUXTON LOGISTICS</t>
        </is>
      </c>
      <c r="D1253" s="144" t="n">
        <v>2138416073</v>
      </c>
      <c r="E1253" s="144" t="inlineStr">
        <is>
          <t>BOX</t>
        </is>
      </c>
      <c r="F1253" s="144" t="inlineStr">
        <is>
          <t>AH32912 PA</t>
        </is>
      </c>
      <c r="G1253" s="144" t="inlineStr">
        <is>
          <t>GRAY VOLVO</t>
        </is>
      </c>
      <c r="H1253" s="144" t="n">
        <v>1221</v>
      </c>
      <c r="I1253" s="144" t="inlineStr">
        <is>
          <t>COMMERCIAL</t>
        </is>
      </c>
    </row>
    <row r="1254" ht="18" customHeight="1" s="7">
      <c r="A1254" s="144" t="inlineStr">
        <is>
          <t>FLOYD CARROLL</t>
        </is>
      </c>
      <c r="B1254" s="144" t="inlineStr">
        <is>
          <t>*053548233 GA</t>
        </is>
      </c>
      <c r="C1254" s="144" t="inlineStr">
        <is>
          <t>SAFE AIR</t>
        </is>
      </c>
      <c r="D1254" s="144" t="n">
        <v>2298835100</v>
      </c>
      <c r="E1254" s="144" t="inlineStr">
        <is>
          <t>PU</t>
        </is>
      </c>
      <c r="F1254" s="144" t="inlineStr">
        <is>
          <t>PGK2707 GA</t>
        </is>
      </c>
      <c r="G1254" s="144" t="inlineStr">
        <is>
          <t>WHITE CHEVY</t>
        </is>
      </c>
      <c r="H1254" s="144" t="inlineStr">
        <is>
          <t>K-9</t>
        </is>
      </c>
      <c r="I1254" s="144" t="inlineStr">
        <is>
          <t>CONTRACTOR</t>
        </is>
      </c>
    </row>
    <row r="1255" ht="18" customHeight="1" s="7">
      <c r="A1255" s="144" t="inlineStr">
        <is>
          <t>CHADRICK SELMAN</t>
        </is>
      </c>
      <c r="B1255" s="144" t="inlineStr">
        <is>
          <t>*046844172 GA</t>
        </is>
      </c>
      <c r="C1255" s="144" t="inlineStr">
        <is>
          <t>SAFE AIR</t>
        </is>
      </c>
      <c r="D1255" s="144" t="n">
        <v>2298835100</v>
      </c>
      <c r="E1255" s="144" t="inlineStr">
        <is>
          <t>PU</t>
        </is>
      </c>
      <c r="F1255" s="144" t="inlineStr">
        <is>
          <t>SFZ8028 GA</t>
        </is>
      </c>
      <c r="G1255" s="144" t="inlineStr">
        <is>
          <t>WHITE CHEVY</t>
        </is>
      </c>
      <c r="H1255" s="144" t="inlineStr">
        <is>
          <t>K-9</t>
        </is>
      </c>
      <c r="I1255" s="144" t="inlineStr">
        <is>
          <t>CONTRACTOR</t>
        </is>
      </c>
    </row>
    <row r="1256" ht="18" customHeight="1" s="7">
      <c r="A1256" s="144" t="inlineStr">
        <is>
          <t>VERONICA MINCEY</t>
        </is>
      </c>
      <c r="B1256" s="144" t="inlineStr">
        <is>
          <t>*060731400 GA</t>
        </is>
      </c>
      <c r="C1256" s="144" t="inlineStr">
        <is>
          <t>ATLANTA DASH</t>
        </is>
      </c>
      <c r="D1256" s="144" t="n">
        <v>6784580567</v>
      </c>
      <c r="E1256" s="144" t="inlineStr">
        <is>
          <t>VAN</t>
        </is>
      </c>
      <c r="F1256" s="144" t="inlineStr">
        <is>
          <t>XFE733 GA</t>
        </is>
      </c>
      <c r="G1256" s="144" t="inlineStr">
        <is>
          <t>WHITE NISSAN</t>
        </is>
      </c>
      <c r="H1256" s="144" t="n">
        <v>1221</v>
      </c>
      <c r="I1256" s="144" t="inlineStr">
        <is>
          <t>CONTRACTOR</t>
        </is>
      </c>
    </row>
    <row r="1257" ht="18" customHeight="1" s="7">
      <c r="A1257" s="144" t="inlineStr">
        <is>
          <t>JIMMY JOHNSON</t>
        </is>
      </c>
      <c r="B1257" s="144" t="inlineStr">
        <is>
          <t>*041364493</t>
        </is>
      </c>
      <c r="C1257" s="144" t="inlineStr">
        <is>
          <t xml:space="preserve">YANKEE </t>
        </is>
      </c>
      <c r="D1257" s="144" t="n">
        <v>4708951545</v>
      </c>
      <c r="E1257" s="144" t="inlineStr">
        <is>
          <t>BOX</t>
        </is>
      </c>
      <c r="F1257" s="144" t="inlineStr">
        <is>
          <t>P1058397 IL</t>
        </is>
      </c>
      <c r="G1257" s="144" t="inlineStr">
        <is>
          <t>WHITE VOLVO</t>
        </is>
      </c>
      <c r="H1257" s="144" t="n">
        <v>1221</v>
      </c>
      <c r="I1257" s="144" t="inlineStr">
        <is>
          <t>COMMERCIAL</t>
        </is>
      </c>
    </row>
    <row r="1258" ht="18" customHeight="1" s="7">
      <c r="A1258" s="144" t="inlineStr">
        <is>
          <t>ION PAVEL</t>
        </is>
      </c>
      <c r="B1258" s="144" t="inlineStr">
        <is>
          <t>10161625 AL</t>
        </is>
      </c>
      <c r="C1258" s="144" t="inlineStr">
        <is>
          <t>OTIS AIR</t>
        </is>
      </c>
      <c r="D1258" s="144" t="n">
        <v>7705687788</v>
      </c>
      <c r="E1258" s="144" t="inlineStr">
        <is>
          <t>VAN</t>
        </is>
      </c>
      <c r="F1258" s="144" t="inlineStr">
        <is>
          <t>47AEYN5 AL</t>
        </is>
      </c>
      <c r="G1258" s="144" t="inlineStr">
        <is>
          <t>WHITE MERCEDES</t>
        </is>
      </c>
      <c r="H1258" s="144" t="n">
        <v>1351</v>
      </c>
      <c r="I1258" s="144" t="inlineStr">
        <is>
          <t>CONTRACTOR</t>
        </is>
      </c>
    </row>
    <row r="1259" ht="18" customHeight="1" s="7">
      <c r="A1259" s="144" t="inlineStr">
        <is>
          <t>MARCIANO CABRALES</t>
        </is>
      </c>
      <c r="B1259" s="144" t="inlineStr">
        <is>
          <t>C164540731470 FL</t>
        </is>
      </c>
      <c r="C1259" s="144" t="inlineStr">
        <is>
          <t>CUESTA LOGISTICS</t>
        </is>
      </c>
      <c r="D1259" s="144" t="n">
        <v>7026907631</v>
      </c>
      <c r="E1259" s="144" t="inlineStr">
        <is>
          <t>FLAT</t>
        </is>
      </c>
      <c r="F1259" s="144" t="inlineStr">
        <is>
          <t>86162A NV</t>
        </is>
      </c>
      <c r="G1259" s="144" t="inlineStr">
        <is>
          <t>RED PETERBILT</t>
        </is>
      </c>
      <c r="H1259" s="144" t="n">
        <v>1221</v>
      </c>
      <c r="I1259" s="144" t="inlineStr">
        <is>
          <t>COMMERCIAL</t>
        </is>
      </c>
    </row>
    <row r="1260" ht="18" customHeight="1" s="7">
      <c r="A1260" s="144" t="inlineStr">
        <is>
          <t>DONALD BRADFORD</t>
        </is>
      </c>
      <c r="B1260" s="144" t="inlineStr">
        <is>
          <t>P0569855 CA</t>
        </is>
      </c>
      <c r="C1260" s="144" t="inlineStr">
        <is>
          <t>GREEN VALLEY TRAN</t>
        </is>
      </c>
      <c r="D1260" s="144" t="n">
        <v>2094996563</v>
      </c>
      <c r="E1260" s="144" t="inlineStr">
        <is>
          <t>VAN</t>
        </is>
      </c>
      <c r="F1260" s="144" t="inlineStr">
        <is>
          <t>39635CP TN</t>
        </is>
      </c>
      <c r="G1260" s="144" t="inlineStr">
        <is>
          <t>YELLOW MERCEDES</t>
        </is>
      </c>
      <c r="H1260" s="144" t="n">
        <v>1221</v>
      </c>
      <c r="I1260" s="144" t="inlineStr">
        <is>
          <t>CONTRACTOR</t>
        </is>
      </c>
    </row>
    <row r="1261" ht="18" customHeight="1" s="7">
      <c r="A1261" s="144" t="inlineStr">
        <is>
          <t>DONNA CHAMBERS</t>
        </is>
      </c>
      <c r="B1261" s="144" t="inlineStr">
        <is>
          <t>*03925584 TX</t>
        </is>
      </c>
      <c r="C1261" s="144" t="inlineStr">
        <is>
          <t>LANDSTAR</t>
        </is>
      </c>
      <c r="D1261" s="144" t="n">
        <v>2145437773</v>
      </c>
      <c r="E1261" s="144" t="inlineStr">
        <is>
          <t>VAN</t>
        </is>
      </c>
      <c r="F1261" s="144" t="inlineStr">
        <is>
          <t>JURNEY TX</t>
        </is>
      </c>
      <c r="G1261" s="144" t="inlineStr">
        <is>
          <t>GREY MERCEDES</t>
        </is>
      </c>
      <c r="H1261" s="144" t="n">
        <v>1221</v>
      </c>
      <c r="I1261" s="144" t="inlineStr">
        <is>
          <t>CONTRACTOR</t>
        </is>
      </c>
    </row>
    <row r="1262" ht="18" customHeight="1" s="7">
      <c r="A1262" s="144" t="inlineStr">
        <is>
          <t>STEVEN MILTON</t>
        </is>
      </c>
      <c r="B1262" s="144" t="inlineStr">
        <is>
          <t>*000007978496 NC</t>
        </is>
      </c>
      <c r="C1262" s="144" t="inlineStr">
        <is>
          <t>MIGWAY</t>
        </is>
      </c>
      <c r="D1262" s="144" t="n">
        <v>3364653415</v>
      </c>
      <c r="E1262" s="144" t="inlineStr">
        <is>
          <t>BOX</t>
        </is>
      </c>
      <c r="F1262" s="144" t="inlineStr">
        <is>
          <t>NL6455 NC</t>
        </is>
      </c>
      <c r="G1262" s="144" t="inlineStr">
        <is>
          <t>WHITE FREIGHTLINER</t>
        </is>
      </c>
      <c r="H1262" s="144" t="n">
        <v>1221</v>
      </c>
      <c r="I1262" s="144" t="inlineStr">
        <is>
          <t>COMMERCIAL</t>
        </is>
      </c>
    </row>
    <row r="1263" ht="18" customHeight="1" s="7">
      <c r="A1263" s="144" t="inlineStr">
        <is>
          <t>DOMONICK STEVENSON</t>
        </is>
      </c>
      <c r="B1263" s="144" t="inlineStr">
        <is>
          <t>*055288244 GA</t>
        </is>
      </c>
      <c r="C1263" s="144" t="inlineStr">
        <is>
          <t>STREET TRANS</t>
        </is>
      </c>
      <c r="D1263" s="144" t="n">
        <v>4707869210</v>
      </c>
      <c r="E1263" s="144" t="inlineStr">
        <is>
          <t>BOX</t>
        </is>
      </c>
      <c r="F1263" s="144" t="inlineStr">
        <is>
          <t>3290595 IN</t>
        </is>
      </c>
      <c r="G1263" s="144" t="inlineStr">
        <is>
          <t>YELLOW INTERNATIONAL</t>
        </is>
      </c>
      <c r="H1263" s="144" t="n">
        <v>1360</v>
      </c>
      <c r="I1263" s="144" t="inlineStr">
        <is>
          <t>COMMERCIAL</t>
        </is>
      </c>
    </row>
    <row r="1264" ht="18" customHeight="1" s="7">
      <c r="A1264" s="144" t="inlineStr">
        <is>
          <t>TOHIR KURBONOV</t>
        </is>
      </c>
      <c r="B1264" s="144" t="inlineStr">
        <is>
          <t>*000049643879 NC</t>
        </is>
      </c>
      <c r="C1264" s="144" t="inlineStr">
        <is>
          <t>ECHO EXPRESS</t>
        </is>
      </c>
      <c r="D1264" s="144" t="n">
        <v>6468373969</v>
      </c>
      <c r="E1264" s="144" t="inlineStr">
        <is>
          <t>VAN</t>
        </is>
      </c>
      <c r="F1264" s="144" t="inlineStr">
        <is>
          <t>222X NC</t>
        </is>
      </c>
      <c r="G1264" s="144" t="inlineStr">
        <is>
          <t>GREY FORD</t>
        </is>
      </c>
      <c r="H1264" s="144" t="n">
        <v>1351</v>
      </c>
      <c r="I1264" s="144" t="inlineStr">
        <is>
          <t>CONTRACTOR</t>
        </is>
      </c>
    </row>
    <row r="1265" ht="18" customHeight="1" s="7">
      <c r="A1265" s="144" t="inlineStr">
        <is>
          <t>DOUGLAS VAUGHT</t>
        </is>
      </c>
      <c r="B1265" s="144" t="inlineStr">
        <is>
          <t>*05612834 TX</t>
        </is>
      </c>
      <c r="C1265" s="144" t="inlineStr">
        <is>
          <t>BENNETT</t>
        </is>
      </c>
      <c r="D1265" s="144" t="n">
        <v>9035733411</v>
      </c>
      <c r="E1265" s="144" t="inlineStr">
        <is>
          <t>FLAT</t>
        </is>
      </c>
      <c r="F1265" s="144" t="inlineStr">
        <is>
          <t>P1272680 IL</t>
        </is>
      </c>
      <c r="G1265" s="144" t="inlineStr">
        <is>
          <t>BLUE KENWORTH</t>
        </is>
      </c>
      <c r="H1265" s="144" t="n">
        <v>1221</v>
      </c>
      <c r="I1265" s="144" t="inlineStr">
        <is>
          <t>COMMERCIAL</t>
        </is>
      </c>
    </row>
    <row r="1266" ht="18" customHeight="1" s="7">
      <c r="A1266" s="144" t="inlineStr">
        <is>
          <t>SINGH SURINDER</t>
        </is>
      </c>
      <c r="B1266" s="144" t="inlineStr">
        <is>
          <t>908012263 NY</t>
        </is>
      </c>
      <c r="C1266" s="144" t="inlineStr">
        <is>
          <t>BDH</t>
        </is>
      </c>
      <c r="D1266" s="144" t="n">
        <v>8596309867</v>
      </c>
      <c r="E1266" s="144" t="inlineStr">
        <is>
          <t>BOX</t>
        </is>
      </c>
      <c r="F1266" s="144" t="inlineStr">
        <is>
          <t>PXB1357 OH</t>
        </is>
      </c>
      <c r="G1266" s="144" t="inlineStr">
        <is>
          <t>WHITE INTERNATIONAL</t>
        </is>
      </c>
      <c r="H1266" s="144" t="n">
        <v>1221</v>
      </c>
      <c r="I1266" s="144" t="inlineStr">
        <is>
          <t>COMMERCIAL</t>
        </is>
      </c>
    </row>
    <row r="1267" ht="18" customHeight="1" s="7">
      <c r="A1267" s="144" t="inlineStr">
        <is>
          <t>WILL FARRAR</t>
        </is>
      </c>
      <c r="B1267" s="144" t="inlineStr">
        <is>
          <t>7908495 AL</t>
        </is>
      </c>
      <c r="C1267" s="144" t="inlineStr">
        <is>
          <t>ARBON</t>
        </is>
      </c>
      <c r="D1267" s="144" t="n">
        <v>18003577260</v>
      </c>
      <c r="E1267" s="144" t="inlineStr">
        <is>
          <t>PU</t>
        </is>
      </c>
      <c r="F1267" s="144" t="inlineStr">
        <is>
          <t>58AH1H6 AL</t>
        </is>
      </c>
      <c r="G1267" s="144" t="inlineStr">
        <is>
          <t>BLACK FORD</t>
        </is>
      </c>
      <c r="H1267" s="144" t="inlineStr">
        <is>
          <t>BASEWIDE</t>
        </is>
      </c>
      <c r="I1267" s="144" t="inlineStr">
        <is>
          <t>CONTRACTOR</t>
        </is>
      </c>
    </row>
    <row r="1268" ht="18" customHeight="1" s="7">
      <c r="A1268" s="144" t="inlineStr">
        <is>
          <t>JAKWUAN DAVIS</t>
        </is>
      </c>
      <c r="B1268" s="144" t="inlineStr">
        <is>
          <t>*059813550 GA</t>
        </is>
      </c>
      <c r="C1268" s="144" t="inlineStr">
        <is>
          <t>ABMERE</t>
        </is>
      </c>
      <c r="D1268" s="144" t="n">
        <v>2293107590</v>
      </c>
      <c r="E1268" s="144" t="inlineStr">
        <is>
          <t>BOX</t>
        </is>
      </c>
      <c r="F1268" s="144" t="inlineStr">
        <is>
          <t>C700EU GA</t>
        </is>
      </c>
      <c r="G1268" s="144" t="inlineStr">
        <is>
          <t>WHITE VOLVO</t>
        </is>
      </c>
      <c r="H1268" s="144" t="n">
        <v>1221</v>
      </c>
      <c r="I1268" s="144" t="inlineStr">
        <is>
          <t>COMMERCIAL</t>
        </is>
      </c>
    </row>
    <row r="1269" ht="18" customHeight="1" s="7">
      <c r="A1269" s="144" t="inlineStr">
        <is>
          <t>AHMED OMAR</t>
        </is>
      </c>
      <c r="B1269" s="144" t="inlineStr">
        <is>
          <t>*0466309 ME</t>
        </is>
      </c>
      <c r="C1269" s="144" t="inlineStr">
        <is>
          <t>GOODS IN TRANSIT</t>
        </is>
      </c>
      <c r="D1269" s="144" t="n">
        <v>2076052874</v>
      </c>
      <c r="E1269" s="144" t="inlineStr">
        <is>
          <t>BOX</t>
        </is>
      </c>
      <c r="F1269" s="144" t="inlineStr">
        <is>
          <t>PXB7086 OH</t>
        </is>
      </c>
      <c r="G1269" s="144" t="inlineStr">
        <is>
          <t>GREY FREIGHTLINER</t>
        </is>
      </c>
      <c r="H1269" s="144" t="n">
        <v>1221</v>
      </c>
      <c r="I1269" s="144" t="inlineStr">
        <is>
          <t>COMMERCIAL</t>
        </is>
      </c>
    </row>
    <row r="1270" ht="18" customHeight="1" s="7">
      <c r="A1270" s="144" t="inlineStr">
        <is>
          <t>PHILLIP GATTEN</t>
        </is>
      </c>
      <c r="B1270" s="144" t="inlineStr">
        <is>
          <t>24766480 PA</t>
        </is>
      </c>
      <c r="C1270" s="144" t="inlineStr">
        <is>
          <t>WRIGHT EXPRESS</t>
        </is>
      </c>
      <c r="D1270" s="144" t="n">
        <v>7177126601</v>
      </c>
      <c r="E1270" s="144" t="inlineStr">
        <is>
          <t>BOX</t>
        </is>
      </c>
      <c r="F1270" s="144" t="inlineStr">
        <is>
          <t>AH67056 PA</t>
        </is>
      </c>
      <c r="G1270" s="144" t="inlineStr">
        <is>
          <t>GREY FREIGHTLINER</t>
        </is>
      </c>
      <c r="H1270" s="144" t="n">
        <v>1221</v>
      </c>
      <c r="I1270" s="144" t="inlineStr">
        <is>
          <t>COMMERCIAL</t>
        </is>
      </c>
    </row>
    <row r="1271" ht="18" customHeight="1" s="7">
      <c r="A1271" s="144" t="inlineStr">
        <is>
          <t xml:space="preserve">LUIS GALLEGOS </t>
        </is>
      </c>
      <c r="B1271" s="144" t="inlineStr">
        <is>
          <t>*060215428 GA</t>
        </is>
      </c>
      <c r="C1271" s="144" t="inlineStr">
        <is>
          <t>CROWN</t>
        </is>
      </c>
      <c r="D1271" s="144" t="n">
        <v>2293889500</v>
      </c>
      <c r="E1271" s="144" t="inlineStr">
        <is>
          <t>VAN</t>
        </is>
      </c>
      <c r="F1271" s="144" t="inlineStr">
        <is>
          <t>TBV8124 GA</t>
        </is>
      </c>
      <c r="G1271" s="144" t="inlineStr">
        <is>
          <t>WHITE FREIGHTLINER</t>
        </is>
      </c>
      <c r="H1271" s="144" t="n">
        <v>1361</v>
      </c>
      <c r="I1271" s="144" t="inlineStr">
        <is>
          <t>CONTRACTOR</t>
        </is>
      </c>
    </row>
    <row r="1272" ht="18" customHeight="1" s="7">
      <c r="A1272" s="144" t="inlineStr">
        <is>
          <t>EASTMAN MARCUS</t>
        </is>
      </c>
      <c r="B1272" s="144" t="inlineStr">
        <is>
          <t>*000005679727 NC</t>
        </is>
      </c>
      <c r="C1272" s="144" t="inlineStr">
        <is>
          <t>TARGET TRANS</t>
        </is>
      </c>
      <c r="D1272" s="144" t="n">
        <v>3366181894</v>
      </c>
      <c r="E1272" s="144" t="inlineStr">
        <is>
          <t>BOX</t>
        </is>
      </c>
      <c r="F1272" s="144" t="inlineStr">
        <is>
          <t>A83934 KY</t>
        </is>
      </c>
      <c r="G1272" s="144" t="inlineStr">
        <is>
          <t>ORANGE FREIGHTLINER</t>
        </is>
      </c>
      <c r="H1272" s="144" t="n">
        <v>1221</v>
      </c>
      <c r="I1272" s="144" t="inlineStr">
        <is>
          <t>COMMERCIAL</t>
        </is>
      </c>
    </row>
    <row r="1273" ht="18" customHeight="1" s="7">
      <c r="A1273" s="144" t="inlineStr">
        <is>
          <t>ERIC SAMS JR</t>
        </is>
      </c>
      <c r="B1273" s="144" t="inlineStr">
        <is>
          <t>*057039002 GA</t>
        </is>
      </c>
      <c r="C1273" s="144" t="inlineStr">
        <is>
          <t>TEMCO</t>
        </is>
      </c>
      <c r="D1273" s="144" t="n">
        <v>4782627065</v>
      </c>
      <c r="E1273" s="144" t="inlineStr">
        <is>
          <t>BOX</t>
        </is>
      </c>
      <c r="F1273" s="144" t="inlineStr">
        <is>
          <t>YUH445 GA</t>
        </is>
      </c>
      <c r="G1273" s="144" t="inlineStr">
        <is>
          <t>WHITE HINO</t>
        </is>
      </c>
      <c r="H1273" s="144" t="inlineStr">
        <is>
          <t>HOUSING</t>
        </is>
      </c>
      <c r="I1273" s="144" t="inlineStr">
        <is>
          <t>COMMERCIAL</t>
        </is>
      </c>
    </row>
    <row r="1274" ht="18" customHeight="1" s="7">
      <c r="A1274" s="144" t="inlineStr">
        <is>
          <t>HODEL TIMOTHY</t>
        </is>
      </c>
      <c r="B1274" s="144" t="inlineStr">
        <is>
          <t>H34080766083 IL</t>
        </is>
      </c>
      <c r="C1274" s="144" t="inlineStr">
        <is>
          <t>RAYNOR</t>
        </is>
      </c>
      <c r="D1274" s="144" t="n">
        <v>3093705256</v>
      </c>
      <c r="E1274" s="144" t="inlineStr">
        <is>
          <t>BOX</t>
        </is>
      </c>
      <c r="F1274" s="144" t="inlineStr">
        <is>
          <t>P1139029 IL</t>
        </is>
      </c>
      <c r="G1274" s="144" t="inlineStr">
        <is>
          <t>BLUE FREIGHTLINER</t>
        </is>
      </c>
      <c r="H1274" s="144" t="n">
        <v>1340</v>
      </c>
      <c r="I1274" s="144" t="inlineStr">
        <is>
          <t>COMMERCIAL</t>
        </is>
      </c>
    </row>
    <row r="1275" ht="18" customHeight="1" s="7">
      <c r="A1275" s="144" t="inlineStr">
        <is>
          <t>LADARRIUS FLOWERS</t>
        </is>
      </c>
      <c r="B1275" s="144" t="inlineStr">
        <is>
          <t>802674431 MS</t>
        </is>
      </c>
      <c r="C1275" s="144" t="inlineStr">
        <is>
          <t>F2F TRANS</t>
        </is>
      </c>
      <c r="D1275" s="144" t="n">
        <v>6625922629</v>
      </c>
      <c r="E1275" s="144" t="inlineStr">
        <is>
          <t>BOX</t>
        </is>
      </c>
      <c r="F1275" s="144" t="inlineStr">
        <is>
          <t>VT365HY TN</t>
        </is>
      </c>
      <c r="G1275" s="144" t="inlineStr">
        <is>
          <t>WHITE INTERNATIONAL</t>
        </is>
      </c>
      <c r="H1275" s="144" t="n">
        <v>1221</v>
      </c>
      <c r="I1275" s="144" t="inlineStr">
        <is>
          <t>COMMERCIAL</t>
        </is>
      </c>
    </row>
    <row r="1276" ht="18" customHeight="1" s="7">
      <c r="A1276" s="144" t="inlineStr">
        <is>
          <t>DAVID PRACHT</t>
        </is>
      </c>
      <c r="B1276" s="144" t="inlineStr">
        <is>
          <t>UQ376102 OH</t>
        </is>
      </c>
      <c r="C1276" s="144" t="inlineStr">
        <is>
          <t>AATCO</t>
        </is>
      </c>
      <c r="D1276" s="144" t="n">
        <v>9372729896</v>
      </c>
      <c r="E1276" s="144" t="inlineStr">
        <is>
          <t>VAN</t>
        </is>
      </c>
      <c r="F1276" s="144" t="inlineStr">
        <is>
          <t>PNL1628 OH</t>
        </is>
      </c>
      <c r="G1276" s="144" t="inlineStr">
        <is>
          <t>WHITE MEB</t>
        </is>
      </c>
      <c r="H1276" s="144" t="n">
        <v>1221</v>
      </c>
      <c r="I1276" s="144" t="inlineStr">
        <is>
          <t>CONTRACTOR</t>
        </is>
      </c>
    </row>
    <row r="1277" ht="18" customHeight="1" s="7">
      <c r="A1277" s="144" t="inlineStr">
        <is>
          <t>MAHAD DIRIYE</t>
        </is>
      </c>
      <c r="B1277" s="144" t="inlineStr">
        <is>
          <t>R318113411112 MN</t>
        </is>
      </c>
      <c r="C1277" s="144" t="inlineStr">
        <is>
          <t>BASKILLE TRUCKING</t>
        </is>
      </c>
      <c r="D1277" s="144" t="n">
        <v>6125176633</v>
      </c>
      <c r="E1277" s="144" t="inlineStr">
        <is>
          <t>BOX</t>
        </is>
      </c>
      <c r="F1277" s="144" t="inlineStr">
        <is>
          <t>PAW1383 MN</t>
        </is>
      </c>
      <c r="G1277" s="144" t="inlineStr">
        <is>
          <t>WHITE VOLVO</t>
        </is>
      </c>
      <c r="H1277" s="144" t="n">
        <v>1221</v>
      </c>
      <c r="I1277" s="144" t="inlineStr">
        <is>
          <t>COMMERCIAL</t>
        </is>
      </c>
    </row>
    <row r="1278" ht="18" customHeight="1" s="7">
      <c r="A1278" s="144" t="inlineStr">
        <is>
          <t>PATRICIA LYNN</t>
        </is>
      </c>
      <c r="B1278" s="144" t="inlineStr">
        <is>
          <t>*049198925 GA</t>
        </is>
      </c>
      <c r="C1278" s="144" t="inlineStr">
        <is>
          <t>BM TRANSPORT</t>
        </is>
      </c>
      <c r="D1278" s="144" t="n">
        <v>4047163231</v>
      </c>
      <c r="E1278" s="144" t="inlineStr">
        <is>
          <t>BOX</t>
        </is>
      </c>
      <c r="F1278" s="144" t="inlineStr">
        <is>
          <t>P045CL GA</t>
        </is>
      </c>
      <c r="G1278" s="144" t="inlineStr">
        <is>
          <t>WHITE FREIGHTLINER</t>
        </is>
      </c>
      <c r="H1278" s="144" t="n">
        <v>1221</v>
      </c>
      <c r="I1278" s="144" t="inlineStr">
        <is>
          <t>COMMERCIAL</t>
        </is>
      </c>
    </row>
    <row r="1279" ht="18" customHeight="1" s="7">
      <c r="A1279" s="144" t="inlineStr">
        <is>
          <t>LEDERIOUS CARTER</t>
        </is>
      </c>
      <c r="B1279" s="144" t="inlineStr">
        <is>
          <t>802319531 MS</t>
        </is>
      </c>
      <c r="C1279" s="144" t="inlineStr">
        <is>
          <t>SMJ FREIGHT</t>
        </is>
      </c>
      <c r="D1279" s="144" t="n">
        <v>6019663729</v>
      </c>
      <c r="E1279" s="144" t="inlineStr">
        <is>
          <t>BOX</t>
        </is>
      </c>
      <c r="F1279" s="144" t="inlineStr">
        <is>
          <t>P1252727 IL</t>
        </is>
      </c>
      <c r="G1279" s="144" t="inlineStr">
        <is>
          <t>RED INTERNATIONAL</t>
        </is>
      </c>
      <c r="H1279" s="144" t="n">
        <v>1221</v>
      </c>
      <c r="I1279" s="144" t="inlineStr">
        <is>
          <t>COMMERCIAL</t>
        </is>
      </c>
    </row>
    <row r="1280" ht="18" customHeight="1" s="7">
      <c r="A1280" s="144" t="inlineStr">
        <is>
          <t>EMANUEL BYRD</t>
        </is>
      </c>
      <c r="B1280" s="144" t="inlineStr">
        <is>
          <t>*057062631 GA</t>
        </is>
      </c>
      <c r="C1280" s="144" t="inlineStr">
        <is>
          <t>XTREAM</t>
        </is>
      </c>
      <c r="D1280" s="144" t="n">
        <v>8455945022</v>
      </c>
      <c r="E1280" s="144" t="inlineStr">
        <is>
          <t>VAN</t>
        </is>
      </c>
      <c r="F1280" s="144" t="inlineStr">
        <is>
          <t>CLA9660 GA</t>
        </is>
      </c>
      <c r="G1280" s="144" t="inlineStr">
        <is>
          <t>WHITE FORD</t>
        </is>
      </c>
      <c r="H1280" s="144" t="inlineStr">
        <is>
          <t>HOUSING</t>
        </is>
      </c>
      <c r="I1280" s="144" t="inlineStr">
        <is>
          <t>CONTRACTOR</t>
        </is>
      </c>
    </row>
    <row r="1281" ht="18" customHeight="1" s="7">
      <c r="A1281" s="144" t="inlineStr">
        <is>
          <t>GERALD STACHOWIAK</t>
        </is>
      </c>
      <c r="B1281" s="144" t="inlineStr">
        <is>
          <t>S99241707 KY</t>
        </is>
      </c>
      <c r="C1281" s="144" t="inlineStr">
        <is>
          <t>LANDSTAR</t>
        </is>
      </c>
      <c r="D1281" s="144" t="n">
        <v>8595827111</v>
      </c>
      <c r="E1281" s="144" t="inlineStr">
        <is>
          <t>BOX</t>
        </is>
      </c>
      <c r="F1281" s="144" t="inlineStr">
        <is>
          <t>2389786 IN</t>
        </is>
      </c>
      <c r="G1281" s="144" t="inlineStr">
        <is>
          <t>WHITE VOLVO</t>
        </is>
      </c>
      <c r="H1281" s="144" t="n">
        <v>1600</v>
      </c>
      <c r="I1281" s="144" t="inlineStr">
        <is>
          <t>COMMERCIAL</t>
        </is>
      </c>
    </row>
    <row r="1282" ht="18" customHeight="1" s="7">
      <c r="A1282" s="144" t="inlineStr">
        <is>
          <t>ROMAN ZHUKOV</t>
        </is>
      </c>
      <c r="B1282" s="144" t="inlineStr">
        <is>
          <t>TD882649 OH</t>
        </is>
      </c>
      <c r="C1282" s="144" t="inlineStr">
        <is>
          <t>TRUST LOGISTICS</t>
        </is>
      </c>
      <c r="D1282" s="144" t="n">
        <v>5139818182</v>
      </c>
      <c r="E1282" s="144" t="inlineStr">
        <is>
          <t>BOX</t>
        </is>
      </c>
      <c r="F1282" s="144" t="inlineStr">
        <is>
          <t>PWW6959 OH</t>
        </is>
      </c>
      <c r="G1282" s="144" t="inlineStr">
        <is>
          <t>WHITE INTERNATIONAL</t>
        </is>
      </c>
      <c r="H1282" s="144" t="n">
        <v>1221</v>
      </c>
      <c r="I1282" s="144" t="inlineStr">
        <is>
          <t>COMMERCIAL</t>
        </is>
      </c>
    </row>
    <row r="1283" ht="18" customHeight="1" s="7">
      <c r="A1283" s="144" t="inlineStr">
        <is>
          <t>NOLAN WHITLOCK</t>
        </is>
      </c>
      <c r="B1283" s="144" t="inlineStr">
        <is>
          <t>*054783436 GA</t>
        </is>
      </c>
      <c r="C1283" s="144" t="inlineStr">
        <is>
          <t>STANDARD LOGISTICS</t>
        </is>
      </c>
      <c r="D1283" s="144" t="n">
        <v>9125368452</v>
      </c>
      <c r="E1283" s="144" t="inlineStr">
        <is>
          <t>BOX</t>
        </is>
      </c>
      <c r="F1283" s="144" t="inlineStr">
        <is>
          <t>3448926 IN</t>
        </is>
      </c>
      <c r="G1283" s="144" t="inlineStr">
        <is>
          <t>WHITE INTERNATIONAL</t>
        </is>
      </c>
      <c r="H1283" s="144" t="n">
        <v>1221</v>
      </c>
      <c r="I1283" s="144" t="inlineStr">
        <is>
          <t>COMMERCIAL</t>
        </is>
      </c>
    </row>
    <row r="1284" ht="18" customHeight="1" s="7">
      <c r="A1284" s="144" t="inlineStr">
        <is>
          <t>MOHAMED ABDULLAHI</t>
        </is>
      </c>
      <c r="B1284" s="144" t="inlineStr">
        <is>
          <t>M17891268 KY</t>
        </is>
      </c>
      <c r="C1284" s="144" t="inlineStr">
        <is>
          <t>SUBANE LOGISTICS</t>
        </is>
      </c>
      <c r="D1284" s="144" t="n">
        <v>5027995664</v>
      </c>
      <c r="E1284" s="144" t="inlineStr">
        <is>
          <t>BOX</t>
        </is>
      </c>
      <c r="F1284" s="144" t="inlineStr">
        <is>
          <t>007831A KY</t>
        </is>
      </c>
      <c r="G1284" s="144" t="inlineStr">
        <is>
          <t>WHITE INTERNATIONAL</t>
        </is>
      </c>
      <c r="H1284" s="144" t="n">
        <v>1221</v>
      </c>
      <c r="I1284" s="144" t="inlineStr">
        <is>
          <t>COMMERCIAL</t>
        </is>
      </c>
    </row>
    <row r="1285" ht="18" customHeight="1" s="7">
      <c r="A1285" s="144" t="inlineStr">
        <is>
          <t>GURPREET SINGH</t>
        </is>
      </c>
      <c r="B1285" s="144" t="inlineStr">
        <is>
          <t>3090067022 IN</t>
        </is>
      </c>
      <c r="C1285" s="144" t="inlineStr">
        <is>
          <t>SAINI BROS CARRIER</t>
        </is>
      </c>
      <c r="D1285" s="144" t="n">
        <v>3472078477</v>
      </c>
      <c r="E1285" s="144" t="inlineStr">
        <is>
          <t>BOX</t>
        </is>
      </c>
      <c r="F1285" s="144" t="inlineStr">
        <is>
          <t>275157 IN</t>
        </is>
      </c>
      <c r="G1285" s="144" t="inlineStr">
        <is>
          <t>WHITE VOLVO</t>
        </is>
      </c>
      <c r="H1285" s="144" t="n">
        <v>1221</v>
      </c>
      <c r="I1285" s="144" t="inlineStr">
        <is>
          <t>COMMERCIAL</t>
        </is>
      </c>
    </row>
    <row r="1286" ht="18" customHeight="1" s="7">
      <c r="A1286" s="144" t="inlineStr">
        <is>
          <t>SCOTT BOYLES</t>
        </is>
      </c>
      <c r="B1286" s="144" t="inlineStr">
        <is>
          <t>*058236044 GA</t>
        </is>
      </c>
      <c r="C1286" s="144" t="inlineStr">
        <is>
          <t>DS TRUCKING</t>
        </is>
      </c>
      <c r="D1286" s="144" t="n">
        <v>9124125256</v>
      </c>
      <c r="E1286" s="144" t="inlineStr">
        <is>
          <t>BOX</t>
        </is>
      </c>
      <c r="F1286" s="144" t="inlineStr">
        <is>
          <t>C888ES GA</t>
        </is>
      </c>
      <c r="G1286" s="144" t="inlineStr">
        <is>
          <t>WHITE FREIGHTLINER</t>
        </is>
      </c>
      <c r="H1286" s="144" t="n">
        <v>3700</v>
      </c>
      <c r="I1286" s="144" t="inlineStr">
        <is>
          <t>COMMERCIAL</t>
        </is>
      </c>
    </row>
    <row r="1287" ht="18" customHeight="1" s="7">
      <c r="A1287" s="144" t="inlineStr">
        <is>
          <t>CALEB MILLER</t>
        </is>
      </c>
      <c r="B1287" s="144" t="inlineStr">
        <is>
          <t>*052230402 GA</t>
        </is>
      </c>
      <c r="C1287" s="144" t="inlineStr">
        <is>
          <t>YANCEY RENTALS</t>
        </is>
      </c>
      <c r="D1287" s="144" t="n">
        <v>2298546096</v>
      </c>
      <c r="E1287" s="144" t="inlineStr">
        <is>
          <t>PU</t>
        </is>
      </c>
      <c r="F1287" s="144" t="inlineStr">
        <is>
          <t>YGY775 GA</t>
        </is>
      </c>
      <c r="G1287" s="144" t="inlineStr">
        <is>
          <t>WHITE FORD</t>
        </is>
      </c>
      <c r="H1287" s="144" t="n">
        <v>2500</v>
      </c>
      <c r="I1287" s="144" t="inlineStr">
        <is>
          <t>CONTRACTOR</t>
        </is>
      </c>
    </row>
    <row r="1288" ht="18" customHeight="1" s="7">
      <c r="A1288" s="144" t="inlineStr">
        <is>
          <t>TODD ALLAN</t>
        </is>
      </c>
      <c r="B1288" s="144" t="inlineStr">
        <is>
          <t>T447878680000 FL</t>
        </is>
      </c>
      <c r="C1288" s="144" t="inlineStr">
        <is>
          <t>ALL STATE EXPRESS</t>
        </is>
      </c>
      <c r="D1288" s="144" t="n">
        <v>5615418464</v>
      </c>
      <c r="E1288" s="144" t="inlineStr">
        <is>
          <t>BOX</t>
        </is>
      </c>
      <c r="F1288" s="144" t="inlineStr">
        <is>
          <t>P1246018 IL</t>
        </is>
      </c>
      <c r="G1288" s="144" t="inlineStr">
        <is>
          <t>WHITE FREIGHTLINER</t>
        </is>
      </c>
      <c r="H1288" s="144" t="n">
        <v>1221</v>
      </c>
      <c r="I1288" s="144" t="inlineStr">
        <is>
          <t>COMMERCIAL</t>
        </is>
      </c>
    </row>
    <row r="1289" ht="18" customHeight="1" s="7">
      <c r="A1289" s="144" t="inlineStr">
        <is>
          <t>MOSLYE WILLIAMS JR</t>
        </is>
      </c>
      <c r="B1289" s="144" t="inlineStr">
        <is>
          <t>1602363610 NV</t>
        </is>
      </c>
      <c r="C1289" s="144" t="inlineStr">
        <is>
          <t>GOZAL INC</t>
        </is>
      </c>
      <c r="D1289" s="144" t="n">
        <v>7022044851</v>
      </c>
      <c r="E1289" s="144" t="inlineStr">
        <is>
          <t>BOX</t>
        </is>
      </c>
      <c r="F1289" s="144" t="inlineStr">
        <is>
          <t>3267720 IN</t>
        </is>
      </c>
      <c r="G1289" s="144" t="inlineStr">
        <is>
          <t>WHITEFRIEGHTLINER</t>
        </is>
      </c>
      <c r="H1289" s="144" t="n">
        <v>1221</v>
      </c>
      <c r="I1289" s="144" t="inlineStr">
        <is>
          <t>COMMERCIAL</t>
        </is>
      </c>
    </row>
    <row r="1290" ht="18" customHeight="1" s="7">
      <c r="A1290" s="144" t="inlineStr">
        <is>
          <t>JACKSON DONALD</t>
        </is>
      </c>
      <c r="B1290" s="144" t="inlineStr">
        <is>
          <t>SK267970 OH</t>
        </is>
      </c>
      <c r="C1290" s="144" t="inlineStr">
        <is>
          <t>BBH</t>
        </is>
      </c>
      <c r="D1290" s="144" t="n">
        <v>5132271688</v>
      </c>
      <c r="E1290" s="144" t="inlineStr">
        <is>
          <t>BOX</t>
        </is>
      </c>
      <c r="F1290" s="144" t="inlineStr">
        <is>
          <t>PWU8237 OH</t>
        </is>
      </c>
      <c r="G1290" s="144" t="inlineStr">
        <is>
          <t>RED INTER</t>
        </is>
      </c>
      <c r="H1290" s="144" t="n">
        <v>1221</v>
      </c>
      <c r="I1290" s="144" t="inlineStr">
        <is>
          <t>COMMERCIAL</t>
        </is>
      </c>
    </row>
    <row r="1291" ht="18" customHeight="1" s="7">
      <c r="A1291" s="144" t="inlineStr">
        <is>
          <t>JAMES GULLEY</t>
        </is>
      </c>
      <c r="B1291" s="144" t="inlineStr">
        <is>
          <t>*053941605 GA</t>
        </is>
      </c>
      <c r="C1291" s="144" t="inlineStr">
        <is>
          <t>CITY RELOCATION</t>
        </is>
      </c>
      <c r="D1291" s="144" t="n">
        <v>7708960562</v>
      </c>
      <c r="E1291" s="144" t="inlineStr">
        <is>
          <t>BOX</t>
        </is>
      </c>
      <c r="F1291" s="144" t="inlineStr">
        <is>
          <t>3262783 IN</t>
        </is>
      </c>
      <c r="G1291" s="144" t="inlineStr">
        <is>
          <t>WHITE INTER</t>
        </is>
      </c>
      <c r="H1291" s="144" t="inlineStr">
        <is>
          <t>HOUSING</t>
        </is>
      </c>
      <c r="I1291" s="144" t="inlineStr">
        <is>
          <t>COMMERCIAL</t>
        </is>
      </c>
    </row>
    <row r="1292" ht="18" customHeight="1" s="7">
      <c r="A1292" s="144" t="inlineStr">
        <is>
          <t>CHANDLER JED</t>
        </is>
      </c>
      <c r="B1292" s="144" t="inlineStr">
        <is>
          <t>F2034322 CA</t>
        </is>
      </c>
      <c r="C1292" s="144" t="inlineStr">
        <is>
          <t>LUXTON LOGISTICS</t>
        </is>
      </c>
      <c r="D1292" s="144" t="n">
        <v>2138416073</v>
      </c>
      <c r="E1292" s="144" t="inlineStr">
        <is>
          <t>BOX</t>
        </is>
      </c>
      <c r="F1292" s="144" t="inlineStr">
        <is>
          <t>AH32912 PA</t>
        </is>
      </c>
      <c r="G1292" s="144" t="inlineStr">
        <is>
          <t>GRAY VOLVO</t>
        </is>
      </c>
      <c r="H1292" s="144" t="n">
        <v>7501</v>
      </c>
      <c r="I1292" s="144" t="inlineStr">
        <is>
          <t>COMMERCIAL</t>
        </is>
      </c>
    </row>
    <row r="1293" ht="18" customHeight="1" s="7">
      <c r="A1293" s="144" t="inlineStr">
        <is>
          <t>MICHEAL CASTILLO</t>
        </is>
      </c>
      <c r="B1293" s="144" t="inlineStr">
        <is>
          <t>C2366384160000 FL</t>
        </is>
      </c>
      <c r="C1293" s="144" t="inlineStr">
        <is>
          <t>USA TRANS CARGO</t>
        </is>
      </c>
      <c r="D1293" s="144" t="n">
        <v>7867405231</v>
      </c>
      <c r="E1293" s="144" t="inlineStr">
        <is>
          <t>FLAT</t>
        </is>
      </c>
      <c r="F1293" s="144" t="inlineStr">
        <is>
          <t>XA913P FL</t>
        </is>
      </c>
      <c r="G1293" s="144" t="inlineStr">
        <is>
          <t>GRAY VOLVO</t>
        </is>
      </c>
      <c r="H1293" s="144" t="n">
        <v>1260</v>
      </c>
      <c r="I1293" s="144" t="inlineStr">
        <is>
          <t>COMMERCIAL</t>
        </is>
      </c>
    </row>
    <row r="1294" ht="18" customHeight="1" s="7">
      <c r="A1294" s="144" t="inlineStr">
        <is>
          <t>GOLOD ANDREI</t>
        </is>
      </c>
      <c r="B1294" s="144" t="inlineStr">
        <is>
          <t>TG019176 OH</t>
        </is>
      </c>
      <c r="C1294" s="144" t="inlineStr">
        <is>
          <t>TRUST LOGISTICS</t>
        </is>
      </c>
      <c r="D1294" s="144" t="n">
        <v>5133757333</v>
      </c>
      <c r="E1294" s="144" t="inlineStr">
        <is>
          <t>BOX</t>
        </is>
      </c>
      <c r="F1294" s="144" t="inlineStr">
        <is>
          <t>PWT0165 OH</t>
        </is>
      </c>
      <c r="G1294" s="144" t="inlineStr">
        <is>
          <t>WHITE VOLVO</t>
        </is>
      </c>
      <c r="H1294" s="144" t="n">
        <v>1221</v>
      </c>
      <c r="I1294" s="144" t="inlineStr">
        <is>
          <t>COMMERCIAL</t>
        </is>
      </c>
    </row>
    <row r="1295" ht="18" customHeight="1" s="7">
      <c r="A1295" s="144" t="inlineStr">
        <is>
          <t>JACOB BROWN</t>
        </is>
      </c>
      <c r="B1295" s="144" t="inlineStr">
        <is>
          <t>8772848 AL</t>
        </is>
      </c>
      <c r="C1295" s="144" t="inlineStr">
        <is>
          <t>NANTZE SPRINGS</t>
        </is>
      </c>
      <c r="D1295" s="144" t="n">
        <v>3346944218</v>
      </c>
      <c r="E1295" s="144" t="inlineStr">
        <is>
          <t>BOX</t>
        </is>
      </c>
      <c r="F1295" s="144" t="inlineStr">
        <is>
          <t>38A6W29 AL</t>
        </is>
      </c>
      <c r="G1295" s="144" t="inlineStr">
        <is>
          <t>WHITE FL</t>
        </is>
      </c>
      <c r="H1295" s="144" t="n">
        <v>3500</v>
      </c>
      <c r="I1295" s="144" t="inlineStr">
        <is>
          <t>COMMERCIAL</t>
        </is>
      </c>
    </row>
    <row r="1296" ht="18" customHeight="1" s="7">
      <c r="A1296" s="144" t="inlineStr">
        <is>
          <t>BRIAN BUNCH</t>
        </is>
      </c>
      <c r="B1296" s="144" t="inlineStr">
        <is>
          <t>*049882514 GA</t>
        </is>
      </c>
      <c r="C1296" s="144" t="inlineStr">
        <is>
          <t>BEVERAGE SOUTH</t>
        </is>
      </c>
      <c r="D1296" s="144" t="n">
        <v>2293766713</v>
      </c>
      <c r="E1296" s="144" t="inlineStr">
        <is>
          <t>BOX</t>
        </is>
      </c>
      <c r="F1296" s="144" t="inlineStr">
        <is>
          <t>XJL507 GA</t>
        </is>
      </c>
      <c r="G1296" s="144" t="inlineStr">
        <is>
          <t>WHITE KW</t>
        </is>
      </c>
      <c r="H1296" s="144" t="n">
        <v>7501</v>
      </c>
      <c r="I1296" s="144" t="inlineStr">
        <is>
          <t>COMMERCIAL</t>
        </is>
      </c>
    </row>
    <row r="1297" ht="18" customHeight="1" s="7">
      <c r="A1297" s="144" t="inlineStr">
        <is>
          <t>ANBESAGER TESFAYOHANNES</t>
        </is>
      </c>
      <c r="B1297" s="144" t="inlineStr">
        <is>
          <t>MD10273772112 MD</t>
        </is>
      </c>
      <c r="C1297" s="144" t="inlineStr">
        <is>
          <t>FORGIVE LLC</t>
        </is>
      </c>
      <c r="D1297" s="144" t="n">
        <v>2402811987</v>
      </c>
      <c r="E1297" s="144" t="inlineStr">
        <is>
          <t>BOX</t>
        </is>
      </c>
      <c r="F1297" s="144" t="inlineStr">
        <is>
          <t>0660F1 MD</t>
        </is>
      </c>
      <c r="G1297" s="144" t="inlineStr">
        <is>
          <t>GREEN FREIGHTLINER</t>
        </is>
      </c>
      <c r="H1297" s="144" t="n">
        <v>1221</v>
      </c>
      <c r="I1297" s="144" t="inlineStr">
        <is>
          <t>COMMERCIAL</t>
        </is>
      </c>
    </row>
    <row r="1298" ht="18" customHeight="1" s="7">
      <c r="A1298" s="144" t="inlineStr">
        <is>
          <t>GISSELLE SEGURA</t>
        </is>
      </c>
      <c r="B1298" s="144" t="inlineStr">
        <is>
          <t>43643557 TX</t>
        </is>
      </c>
      <c r="C1298" s="144" t="inlineStr">
        <is>
          <t>PANTHER</t>
        </is>
      </c>
      <c r="D1298" s="144" t="n">
        <v>9563587668</v>
      </c>
      <c r="E1298" s="144" t="inlineStr">
        <is>
          <t>BOX</t>
        </is>
      </c>
      <c r="F1298" s="144" t="inlineStr">
        <is>
          <t>3613711 IN</t>
        </is>
      </c>
      <c r="G1298" s="144" t="inlineStr">
        <is>
          <t>BLUE PETERBILT</t>
        </is>
      </c>
      <c r="H1298" s="144" t="n">
        <v>1221</v>
      </c>
      <c r="I1298" s="144" t="inlineStr">
        <is>
          <t>COMMERCIAL</t>
        </is>
      </c>
    </row>
    <row r="1299" ht="18" customHeight="1" s="7">
      <c r="A1299" s="144" t="inlineStr">
        <is>
          <t>RAYMOND YODER</t>
        </is>
      </c>
      <c r="B1299" s="144" t="inlineStr">
        <is>
          <t>10455194 AL</t>
        </is>
      </c>
      <c r="C1299" s="144" t="inlineStr">
        <is>
          <t>ANGUS STEEL</t>
        </is>
      </c>
      <c r="D1299" s="144" t="n">
        <v>4705594925</v>
      </c>
      <c r="E1299" s="144" t="inlineStr">
        <is>
          <t>PU</t>
        </is>
      </c>
      <c r="F1299" s="144" t="inlineStr">
        <is>
          <t>SIT6338 GA</t>
        </is>
      </c>
      <c r="G1299" s="144" t="inlineStr">
        <is>
          <t>WHITE RAM</t>
        </is>
      </c>
      <c r="H1299" s="144" t="inlineStr">
        <is>
          <t>HOBBY SHOP</t>
        </is>
      </c>
      <c r="I1299" s="144" t="inlineStr">
        <is>
          <t>CONTRACTOR</t>
        </is>
      </c>
    </row>
    <row r="1300" ht="18" customHeight="1" s="7">
      <c r="A1300" s="144" t="inlineStr">
        <is>
          <t xml:space="preserve">PHILLIP WRIGHT </t>
        </is>
      </c>
      <c r="B1300" s="144" t="inlineStr">
        <is>
          <t>*057469464 GA</t>
        </is>
      </c>
      <c r="C1300" s="144" t="inlineStr">
        <is>
          <t>LANDSTAR</t>
        </is>
      </c>
      <c r="D1300" s="144" t="n">
        <v>7709761780</v>
      </c>
      <c r="E1300" s="144" t="inlineStr">
        <is>
          <t>BOX</t>
        </is>
      </c>
      <c r="F1300" s="144" t="inlineStr">
        <is>
          <t>3615784 IN</t>
        </is>
      </c>
      <c r="G1300" s="144" t="inlineStr">
        <is>
          <t>GREEN VOLVO</t>
        </is>
      </c>
      <c r="H1300" s="144" t="n">
        <v>1221</v>
      </c>
      <c r="I1300" s="144" t="inlineStr">
        <is>
          <t>COMMERCIAL</t>
        </is>
      </c>
    </row>
    <row r="1301" ht="18" customHeight="1" s="7">
      <c r="A1301" s="144" t="inlineStr">
        <is>
          <t xml:space="preserve">JOSE MORALES </t>
        </is>
      </c>
      <c r="B1301" s="144" t="inlineStr">
        <is>
          <t>M642424844470 FL</t>
        </is>
      </c>
      <c r="C1301" s="144" t="inlineStr">
        <is>
          <t>ATD</t>
        </is>
      </c>
      <c r="D1301" s="144" t="n">
        <v>3392163048</v>
      </c>
      <c r="E1301" s="144" t="inlineStr">
        <is>
          <t>BOX</t>
        </is>
      </c>
      <c r="F1301" s="144" t="inlineStr">
        <is>
          <t>RQZW01 FL</t>
        </is>
      </c>
      <c r="G1301" s="144" t="inlineStr">
        <is>
          <t>WHITE HINO</t>
        </is>
      </c>
      <c r="H1301" s="144" t="inlineStr">
        <is>
          <t>HOBBY SHOP</t>
        </is>
      </c>
      <c r="I1301" s="144" t="inlineStr">
        <is>
          <t>COMMERCIAL</t>
        </is>
      </c>
    </row>
    <row r="1302" ht="18" customHeight="1" s="7">
      <c r="A1302" s="144" t="inlineStr">
        <is>
          <t>MARKELL CARTER</t>
        </is>
      </c>
      <c r="B1302" s="144" t="inlineStr">
        <is>
          <t>106709744 SC</t>
        </is>
      </c>
      <c r="C1302" s="144" t="inlineStr">
        <is>
          <t>JAY BAR</t>
        </is>
      </c>
      <c r="D1302" s="144" t="n">
        <v>7275656589</v>
      </c>
      <c r="E1302" s="144" t="inlineStr">
        <is>
          <t>BOX</t>
        </is>
      </c>
      <c r="F1302" s="144" t="inlineStr">
        <is>
          <t>DG38BK FL</t>
        </is>
      </c>
      <c r="G1302" s="144" t="inlineStr">
        <is>
          <t>RED FREIGHTLINER</t>
        </is>
      </c>
      <c r="H1302" s="144" t="n">
        <v>1221</v>
      </c>
      <c r="I1302" s="144" t="inlineStr">
        <is>
          <t>COMMERCIAL</t>
        </is>
      </c>
    </row>
    <row r="1303" ht="18" customHeight="1" s="7">
      <c r="A1303" s="144" t="inlineStr">
        <is>
          <t>JOSUE ALVAREZ</t>
        </is>
      </c>
      <c r="B1303" s="144" t="inlineStr">
        <is>
          <t>*060273983 GA</t>
        </is>
      </c>
      <c r="C1303" s="144" t="inlineStr">
        <is>
          <t>WATERPROOFING</t>
        </is>
      </c>
      <c r="D1303" s="144" t="n">
        <v>8885174300</v>
      </c>
      <c r="E1303" s="144" t="inlineStr">
        <is>
          <t>PU</t>
        </is>
      </c>
      <c r="F1303" s="144" t="inlineStr">
        <is>
          <t>PZX7862 GA</t>
        </is>
      </c>
      <c r="G1303" s="144" t="inlineStr">
        <is>
          <t>WHIYE FORD</t>
        </is>
      </c>
      <c r="H1303" s="144" t="n">
        <v>1220</v>
      </c>
      <c r="I1303" s="144" t="inlineStr">
        <is>
          <t>CONTRACTOR</t>
        </is>
      </c>
    </row>
    <row r="1304" ht="18" customHeight="1" s="7">
      <c r="A1304" s="144" t="inlineStr">
        <is>
          <t>BERNARD WHITE</t>
        </is>
      </c>
      <c r="B1304" s="144" t="inlineStr">
        <is>
          <t>049056914 GA</t>
        </is>
      </c>
      <c r="C1304" s="144" t="inlineStr">
        <is>
          <t>BOYD BROS</t>
        </is>
      </c>
      <c r="D1304" s="144" t="n">
        <v>2294023111</v>
      </c>
      <c r="E1304" s="144" t="inlineStr">
        <is>
          <t>FLAT</t>
        </is>
      </c>
      <c r="F1304" s="144" t="inlineStr">
        <is>
          <t>PVX2136 OH</t>
        </is>
      </c>
      <c r="G1304" s="144" t="inlineStr">
        <is>
          <t>WHITE KENWORTH</t>
        </is>
      </c>
      <c r="H1304" s="144" t="n">
        <v>1221</v>
      </c>
      <c r="I1304" s="144" t="inlineStr">
        <is>
          <t>COMMERCIAL</t>
        </is>
      </c>
    </row>
    <row r="1305" ht="18" customHeight="1" s="7">
      <c r="A1305" s="144" t="inlineStr">
        <is>
          <t>OLIM ABBASOV</t>
        </is>
      </c>
      <c r="B1305" s="144" t="inlineStr">
        <is>
          <t>060664829 GA</t>
        </is>
      </c>
      <c r="C1305" s="144" t="inlineStr">
        <is>
          <t>AOA TRANSPORT</t>
        </is>
      </c>
      <c r="D1305" s="144" t="n">
        <v>4845976762</v>
      </c>
      <c r="E1305" s="144" t="inlineStr">
        <is>
          <t>FLAT</t>
        </is>
      </c>
      <c r="F1305" s="144" t="inlineStr">
        <is>
          <t>C613EZ GA</t>
        </is>
      </c>
      <c r="G1305" s="144" t="inlineStr">
        <is>
          <t>BLUE VOLVO</t>
        </is>
      </c>
      <c r="H1305" s="144" t="n">
        <v>1221</v>
      </c>
      <c r="I1305" s="144" t="inlineStr">
        <is>
          <t>COMMERCIAL</t>
        </is>
      </c>
    </row>
    <row r="1306" ht="18" customHeight="1" s="7">
      <c r="A1306" s="144" t="inlineStr">
        <is>
          <t>ALFRED BENTON</t>
        </is>
      </c>
      <c r="B1306" s="144" t="inlineStr">
        <is>
          <t>44617028 TX</t>
        </is>
      </c>
      <c r="C1306" s="144" t="inlineStr">
        <is>
          <t>AL BENTON</t>
        </is>
      </c>
      <c r="D1306" s="144" t="n">
        <v>4094338175</v>
      </c>
      <c r="E1306" s="144" t="inlineStr">
        <is>
          <t>PU</t>
        </is>
      </c>
      <c r="F1306" s="144" t="inlineStr">
        <is>
          <t>K085295 TX</t>
        </is>
      </c>
      <c r="G1306" s="144" t="inlineStr">
        <is>
          <t>WHITE DODGE</t>
        </is>
      </c>
      <c r="H1306" s="144" t="n">
        <v>1221</v>
      </c>
      <c r="I1306" s="144" t="inlineStr">
        <is>
          <t>CONTRACTOR</t>
        </is>
      </c>
    </row>
    <row r="1307" ht="18" customHeight="1" s="7">
      <c r="A1307" s="144" t="inlineStr">
        <is>
          <t>JOSE SAUCEDO</t>
        </is>
      </c>
      <c r="B1307" s="144" t="inlineStr">
        <is>
          <t>1006885468 NV</t>
        </is>
      </c>
      <c r="C1307" s="144" t="inlineStr">
        <is>
          <t>GONZAL</t>
        </is>
      </c>
      <c r="D1307" s="144" t="n">
        <v>7758153744</v>
      </c>
      <c r="E1307" s="144" t="inlineStr">
        <is>
          <t>BOX</t>
        </is>
      </c>
      <c r="F1307" s="144" t="inlineStr">
        <is>
          <t>PWY7906 OH</t>
        </is>
      </c>
      <c r="G1307" s="144" t="inlineStr">
        <is>
          <t>WHITE FREIGHTLINER</t>
        </is>
      </c>
      <c r="H1307" s="144" t="n">
        <v>1221</v>
      </c>
      <c r="I1307" s="144" t="inlineStr">
        <is>
          <t>COMMERCIAL</t>
        </is>
      </c>
    </row>
    <row r="1308" ht="18" customHeight="1" s="7">
      <c r="A1308" s="144" t="inlineStr">
        <is>
          <t>ALCEUS PIERRE</t>
        </is>
      </c>
      <c r="B1308" s="144" t="inlineStr">
        <is>
          <t>A422673681380 FL</t>
        </is>
      </c>
      <c r="C1308" s="144" t="inlineStr">
        <is>
          <t>GONZAL</t>
        </is>
      </c>
      <c r="D1308" s="144" t="n">
        <v>6892221097</v>
      </c>
      <c r="E1308" s="144" t="inlineStr">
        <is>
          <t>BOX</t>
        </is>
      </c>
      <c r="F1308" s="144" t="inlineStr">
        <is>
          <t>PWP1755 OH</t>
        </is>
      </c>
      <c r="G1308" s="144" t="inlineStr">
        <is>
          <t>WHITE FREIGHTLINER</t>
        </is>
      </c>
      <c r="H1308" s="144" t="n">
        <v>1221</v>
      </c>
      <c r="I1308" s="144" t="inlineStr">
        <is>
          <t>COMMERCIAL</t>
        </is>
      </c>
    </row>
    <row r="1309" ht="18" customHeight="1" s="7">
      <c r="A1309" s="144" t="inlineStr">
        <is>
          <t>PIERRE LENICE</t>
        </is>
      </c>
      <c r="B1309" s="144" t="inlineStr">
        <is>
          <t>P238039130000 FL</t>
        </is>
      </c>
      <c r="C1309" s="144" t="inlineStr">
        <is>
          <t>SI LOGISTICS</t>
        </is>
      </c>
      <c r="D1309" s="144" t="n">
        <v>2398678494</v>
      </c>
      <c r="E1309" s="144" t="inlineStr">
        <is>
          <t>BOX</t>
        </is>
      </c>
      <c r="F1309" s="144" t="inlineStr">
        <is>
          <t>P1271877 IL</t>
        </is>
      </c>
      <c r="G1309" s="144" t="inlineStr">
        <is>
          <t>WHITE VOLVO</t>
        </is>
      </c>
      <c r="H1309" s="144" t="n">
        <v>1221</v>
      </c>
      <c r="I1309" s="144" t="inlineStr">
        <is>
          <t>COMMERCIAL</t>
        </is>
      </c>
    </row>
    <row r="1310" ht="18" customHeight="1" s="7">
      <c r="A1310" s="144" t="inlineStr">
        <is>
          <t>CLARRENCE WILLIAMSON</t>
        </is>
      </c>
      <c r="B1310" s="144" t="inlineStr">
        <is>
          <t>057851552 GA</t>
        </is>
      </c>
      <c r="C1310" s="144" t="inlineStr">
        <is>
          <t>US FOODS</t>
        </is>
      </c>
      <c r="D1310" s="144" t="n">
        <v>2299420210</v>
      </c>
      <c r="E1310" s="144" t="inlineStr">
        <is>
          <t>BOX</t>
        </is>
      </c>
      <c r="F1310" s="144" t="inlineStr">
        <is>
          <t>3047671 IN</t>
        </is>
      </c>
      <c r="G1310" s="144" t="inlineStr">
        <is>
          <t>WHITE FREIGHTLINER</t>
        </is>
      </c>
      <c r="H1310" s="144" t="n">
        <v>7501</v>
      </c>
      <c r="I1310" s="144" t="inlineStr">
        <is>
          <t>COMMERCIAL</t>
        </is>
      </c>
    </row>
    <row r="1311" ht="18" customHeight="1" s="7">
      <c r="A1311" s="144" t="inlineStr">
        <is>
          <t>DAVON HOWARD</t>
        </is>
      </c>
      <c r="B1311" s="144" t="inlineStr">
        <is>
          <t>H630160920600 FL</t>
        </is>
      </c>
      <c r="C1311" s="144" t="inlineStr">
        <is>
          <t>YK EXPRESS</t>
        </is>
      </c>
      <c r="D1311" s="144" t="n">
        <v>7862106336</v>
      </c>
      <c r="E1311" s="144" t="inlineStr">
        <is>
          <t>FLAT</t>
        </is>
      </c>
      <c r="F1311" s="144" t="inlineStr">
        <is>
          <t>XE829S FL</t>
        </is>
      </c>
      <c r="G1311" s="144" t="inlineStr">
        <is>
          <t>WHITE KENWORTH</t>
        </is>
      </c>
      <c r="H1311" s="144" t="n">
        <v>1221</v>
      </c>
      <c r="I1311" s="144" t="inlineStr">
        <is>
          <t>COMMERCIAL</t>
        </is>
      </c>
    </row>
    <row r="1312" ht="18" customHeight="1" s="7">
      <c r="A1312" s="144" t="inlineStr">
        <is>
          <t>VICTOR NISTOR</t>
        </is>
      </c>
      <c r="B1312" s="144" t="inlineStr">
        <is>
          <t>45620009 TX</t>
        </is>
      </c>
      <c r="C1312" s="144" t="inlineStr">
        <is>
          <t>UACL LOGISTICS</t>
        </is>
      </c>
      <c r="D1312" s="144" t="n">
        <v>2142896919</v>
      </c>
      <c r="E1312" s="144" t="inlineStr">
        <is>
          <t>FLAT</t>
        </is>
      </c>
      <c r="F1312" s="144" t="inlineStr">
        <is>
          <t>R709272 TX</t>
        </is>
      </c>
      <c r="G1312" s="144" t="inlineStr">
        <is>
          <t>WHITE INTERNATIONAL</t>
        </is>
      </c>
      <c r="H1312" s="144" t="n">
        <v>1221</v>
      </c>
      <c r="I1312" s="144" t="inlineStr">
        <is>
          <t>COMMERCIAL</t>
        </is>
      </c>
    </row>
    <row r="1313" ht="18" customHeight="1" s="7">
      <c r="A1313" s="144" t="inlineStr">
        <is>
          <t>MEZA ANDREW</t>
        </is>
      </c>
      <c r="B1313" s="144" t="inlineStr">
        <is>
          <t>22492210 TX</t>
        </is>
      </c>
      <c r="C1313" s="144" t="inlineStr">
        <is>
          <t>TIGER LOGISTICS</t>
        </is>
      </c>
      <c r="D1313" s="144" t="n">
        <v>8308573564</v>
      </c>
      <c r="E1313" s="144" t="inlineStr">
        <is>
          <t>FLAT</t>
        </is>
      </c>
      <c r="F1313" s="144" t="inlineStr">
        <is>
          <t>C069DW GA</t>
        </is>
      </c>
      <c r="G1313" s="144" t="inlineStr">
        <is>
          <t>RED VOLVO</t>
        </is>
      </c>
      <c r="H1313" s="144" t="n">
        <v>1221</v>
      </c>
      <c r="I1313" s="144" t="inlineStr">
        <is>
          <t>COMMERCIAL</t>
        </is>
      </c>
    </row>
    <row r="1314" ht="18" customHeight="1" s="7">
      <c r="A1314" s="144" t="inlineStr">
        <is>
          <t>RICKIE ROSS</t>
        </is>
      </c>
      <c r="B1314" s="144" t="inlineStr">
        <is>
          <t>054565051 GA</t>
        </is>
      </c>
      <c r="C1314" s="144" t="inlineStr">
        <is>
          <t>BAD WOLF</t>
        </is>
      </c>
      <c r="D1314" s="144" t="n">
        <v>7064574079</v>
      </c>
      <c r="E1314" s="144" t="inlineStr">
        <is>
          <t>BOX</t>
        </is>
      </c>
      <c r="F1314" s="144" t="inlineStr">
        <is>
          <t>TGK9184 GA</t>
        </is>
      </c>
      <c r="G1314" s="144" t="inlineStr">
        <is>
          <t>WHITE FORD</t>
        </is>
      </c>
      <c r="H1314" s="144" t="n">
        <v>1331</v>
      </c>
      <c r="I1314" s="144" t="inlineStr">
        <is>
          <t>CONTRACTOR</t>
        </is>
      </c>
    </row>
    <row r="1315" ht="18" customHeight="1" s="7">
      <c r="A1315" s="144" t="inlineStr">
        <is>
          <t>CHRISTOPHER SUGGS</t>
        </is>
      </c>
      <c r="B1315" s="144" t="inlineStr">
        <is>
          <t>053508724 GA</t>
        </is>
      </c>
      <c r="C1315" s="144" t="inlineStr">
        <is>
          <t>TTL</t>
        </is>
      </c>
      <c r="D1315" s="144" t="n">
        <v>2292917619</v>
      </c>
      <c r="E1315" s="144" t="inlineStr">
        <is>
          <t>PU</t>
        </is>
      </c>
      <c r="F1315" s="144" t="inlineStr">
        <is>
          <t>TGK157 GA</t>
        </is>
      </c>
      <c r="G1315" s="144" t="inlineStr">
        <is>
          <t>WHITE TOYOTA</t>
        </is>
      </c>
      <c r="H1315" s="144" t="inlineStr">
        <is>
          <t>P947</t>
        </is>
      </c>
      <c r="I1315" s="144" t="inlineStr">
        <is>
          <t>CONTRACTOR</t>
        </is>
      </c>
    </row>
    <row r="1316" ht="18" customHeight="1" s="7">
      <c r="A1316" s="144" t="inlineStr">
        <is>
          <t>NICHOLAS SIMPSON</t>
        </is>
      </c>
      <c r="B1316" s="144" t="inlineStr">
        <is>
          <t>007261760 LA</t>
        </is>
      </c>
      <c r="C1316" s="144" t="inlineStr">
        <is>
          <t>MIDOS</t>
        </is>
      </c>
      <c r="D1316" s="144" t="n">
        <v>3186074114</v>
      </c>
      <c r="E1316" s="144" t="inlineStr">
        <is>
          <t>BOX</t>
        </is>
      </c>
      <c r="F1316" s="144" t="inlineStr">
        <is>
          <t>02KS2W MI</t>
        </is>
      </c>
      <c r="G1316" s="144" t="inlineStr">
        <is>
          <t>BLACK FREIGHTLINER</t>
        </is>
      </c>
      <c r="H1316" s="144" t="n">
        <v>1260</v>
      </c>
      <c r="I1316" s="144" t="inlineStr">
        <is>
          <t>COMMERCIAL</t>
        </is>
      </c>
    </row>
    <row r="1317" ht="18" customHeight="1" s="7">
      <c r="A1317" s="144" t="inlineStr">
        <is>
          <t>STEVEN HEARD</t>
        </is>
      </c>
      <c r="B1317" s="144" t="inlineStr">
        <is>
          <t>050603802 GA</t>
        </is>
      </c>
      <c r="C1317" s="144" t="inlineStr">
        <is>
          <t>BLOC</t>
        </is>
      </c>
      <c r="D1317" s="144" t="n">
        <v>2294360131</v>
      </c>
      <c r="E1317" s="144" t="inlineStr">
        <is>
          <t>TANK</t>
        </is>
      </c>
      <c r="F1317" s="144" t="inlineStr">
        <is>
          <t>EBA242 GA</t>
        </is>
      </c>
      <c r="G1317" s="144" t="inlineStr">
        <is>
          <t>WHITE FREIGHTLINER</t>
        </is>
      </c>
      <c r="H1317" s="144" t="inlineStr">
        <is>
          <t>POWERWORKS</t>
        </is>
      </c>
      <c r="I1317" s="144" t="inlineStr">
        <is>
          <t>COMMERCIAL</t>
        </is>
      </c>
    </row>
    <row r="1318" ht="18" customHeight="1" s="7">
      <c r="A1318" s="144" t="inlineStr">
        <is>
          <t>SCOTT FRAIZE</t>
        </is>
      </c>
      <c r="B1318" s="144" t="inlineStr">
        <is>
          <t>F620781661350 FL</t>
        </is>
      </c>
      <c r="C1318" s="144" t="inlineStr">
        <is>
          <t>AGX</t>
        </is>
      </c>
      <c r="D1318" s="144" t="n">
        <v>9043341652</v>
      </c>
      <c r="E1318" s="144" t="inlineStr">
        <is>
          <t>BOX</t>
        </is>
      </c>
      <c r="F1318" s="144" t="inlineStr">
        <is>
          <t>P1193701 IL</t>
        </is>
      </c>
      <c r="G1318" s="144" t="inlineStr">
        <is>
          <t>GRAY INTERNATIONAL</t>
        </is>
      </c>
      <c r="H1318" s="144" t="n">
        <v>1221</v>
      </c>
      <c r="I1318" s="144" t="inlineStr">
        <is>
          <t>COMMERCIAL</t>
        </is>
      </c>
    </row>
    <row r="1319" ht="18" customHeight="1" s="7">
      <c r="A1319" s="144" t="inlineStr">
        <is>
          <t>KEVIN BECCA</t>
        </is>
      </c>
      <c r="B1319" s="144" t="inlineStr">
        <is>
          <t>072210926 GA</t>
        </is>
      </c>
      <c r="C1319" s="144" t="inlineStr">
        <is>
          <t>MCA</t>
        </is>
      </c>
      <c r="D1319" s="144" t="n">
        <v>8507561793</v>
      </c>
      <c r="E1319" s="144" t="inlineStr">
        <is>
          <t>PU</t>
        </is>
      </c>
      <c r="F1319" s="144" t="inlineStr">
        <is>
          <t>28EWMW FL</t>
        </is>
      </c>
      <c r="G1319" s="144" t="inlineStr">
        <is>
          <t>WHITE NISSAN</t>
        </is>
      </c>
      <c r="H1319" s="144" t="n">
        <v>7520</v>
      </c>
      <c r="I1319" s="144" t="inlineStr">
        <is>
          <t>CONTRACTOR</t>
        </is>
      </c>
    </row>
    <row r="1320" ht="18" customHeight="1" s="7">
      <c r="A1320" s="144" t="inlineStr">
        <is>
          <t>GARIBAI GUILLERMO</t>
        </is>
      </c>
      <c r="B1320" s="144" t="inlineStr">
        <is>
          <t>8438245 AL</t>
        </is>
      </c>
      <c r="C1320" s="144" t="inlineStr">
        <is>
          <t>QFS</t>
        </is>
      </c>
      <c r="D1320" s="144" t="n">
        <v>6785725060</v>
      </c>
      <c r="E1320" s="144" t="inlineStr">
        <is>
          <t>BOX</t>
        </is>
      </c>
      <c r="F1320" s="144" t="inlineStr">
        <is>
          <t>1210441 AL</t>
        </is>
      </c>
      <c r="G1320" s="144" t="inlineStr">
        <is>
          <t>BLUE KENWORTH</t>
        </is>
      </c>
      <c r="H1320" s="144" t="n">
        <v>1221</v>
      </c>
      <c r="I1320" s="144" t="inlineStr">
        <is>
          <t>COMMERCIAL</t>
        </is>
      </c>
    </row>
    <row r="1321" ht="18" customHeight="1" s="7">
      <c r="A1321" s="144" t="inlineStr">
        <is>
          <t>JOEL AMOS</t>
        </is>
      </c>
      <c r="B1321" s="144" t="inlineStr">
        <is>
          <t>054190154 GA</t>
        </is>
      </c>
      <c r="C1321" s="144" t="inlineStr">
        <is>
          <t>COMFORT SYSTEMS</t>
        </is>
      </c>
      <c r="D1321" s="144" t="n">
        <v>2292559128</v>
      </c>
      <c r="E1321" s="144" t="inlineStr">
        <is>
          <t>VAN</t>
        </is>
      </c>
      <c r="F1321" s="144" t="inlineStr">
        <is>
          <t>SHS9757 GA</t>
        </is>
      </c>
      <c r="G1321" s="144" t="inlineStr">
        <is>
          <t>WHITE FORD</t>
        </is>
      </c>
      <c r="H1321" s="144" t="n">
        <v>1250</v>
      </c>
      <c r="I1321" s="144" t="inlineStr">
        <is>
          <t>CONTRACTOR</t>
        </is>
      </c>
    </row>
    <row r="1322" ht="18" customHeight="1" s="7">
      <c r="A1322" s="144" t="inlineStr">
        <is>
          <t>RONNIE ALSTON</t>
        </is>
      </c>
      <c r="B1322" s="144" t="inlineStr">
        <is>
          <t>*054244873 GA</t>
        </is>
      </c>
      <c r="C1322" s="144" t="inlineStr">
        <is>
          <t>ALSTON TRUCKING</t>
        </is>
      </c>
      <c r="D1322" s="144" t="n">
        <v>8505566310</v>
      </c>
      <c r="E1322" s="144" t="inlineStr">
        <is>
          <t>BOX</t>
        </is>
      </c>
      <c r="F1322" s="144" t="inlineStr">
        <is>
          <t>R778767 TX</t>
        </is>
      </c>
      <c r="G1322" s="144" t="inlineStr">
        <is>
          <t>BLUE FL</t>
        </is>
      </c>
      <c r="H1322" s="144" t="n">
        <v>7501</v>
      </c>
      <c r="I1322" s="144" t="inlineStr">
        <is>
          <t>COMMERCIAL</t>
        </is>
      </c>
    </row>
    <row r="1323" ht="18" customHeight="1" s="7">
      <c r="A1323" s="144" t="inlineStr">
        <is>
          <t>NAPOLEAO ASTROGILDO</t>
        </is>
      </c>
      <c r="B1323" s="144" t="inlineStr">
        <is>
          <t>N140321684511 FL</t>
        </is>
      </c>
      <c r="C1323" s="144" t="inlineStr">
        <is>
          <t>LUMA TRUCKING</t>
        </is>
      </c>
      <c r="D1323" s="144" t="n">
        <v>8632068656</v>
      </c>
      <c r="E1323" s="144" t="inlineStr">
        <is>
          <t>FLAT</t>
        </is>
      </c>
      <c r="F1323" s="144" t="inlineStr">
        <is>
          <t>DF9OEV FL</t>
        </is>
      </c>
      <c r="G1323" s="144" t="inlineStr">
        <is>
          <t>WHITE FL</t>
        </is>
      </c>
      <c r="H1323" s="144" t="n">
        <v>1221</v>
      </c>
      <c r="I1323" s="144" t="inlineStr">
        <is>
          <t>COMMERCIAL</t>
        </is>
      </c>
    </row>
    <row r="1324" ht="18" customHeight="1" s="7">
      <c r="A1324" s="144" t="inlineStr">
        <is>
          <t>MOLINA ROLANDO</t>
        </is>
      </c>
      <c r="B1324" s="144" t="inlineStr">
        <is>
          <t>51827732 TX</t>
        </is>
      </c>
      <c r="C1324" s="144" t="inlineStr">
        <is>
          <t>VALDEZ LOG</t>
        </is>
      </c>
      <c r="D1324" s="144" t="n">
        <v>9566299526</v>
      </c>
      <c r="E1324" s="144" t="inlineStr">
        <is>
          <t>PU</t>
        </is>
      </c>
      <c r="F1324" s="144" t="inlineStr">
        <is>
          <t>SZR9635 TX</t>
        </is>
      </c>
      <c r="G1324" s="144" t="inlineStr">
        <is>
          <t>GRAY FORD</t>
        </is>
      </c>
      <c r="H1324" s="144" t="n">
        <v>1221</v>
      </c>
      <c r="I1324" s="144" t="inlineStr">
        <is>
          <t>CONTRACTOR</t>
        </is>
      </c>
    </row>
    <row r="1325" ht="18" customHeight="1" s="7">
      <c r="A1325" s="144" t="inlineStr">
        <is>
          <t>TATLA SINGH</t>
        </is>
      </c>
      <c r="B1325" s="144" t="inlineStr">
        <is>
          <t>WDL47T5BJ83B WA</t>
        </is>
      </c>
      <c r="C1325" s="144" t="inlineStr">
        <is>
          <t>TERA TRANS</t>
        </is>
      </c>
      <c r="D1325" s="144" t="n">
        <v>4259089928</v>
      </c>
      <c r="E1325" s="144" t="inlineStr">
        <is>
          <t>BOX</t>
        </is>
      </c>
      <c r="F1325" s="144" t="inlineStr">
        <is>
          <t>RPO3762 WA</t>
        </is>
      </c>
      <c r="G1325" s="144" t="inlineStr">
        <is>
          <t>BLUE KW</t>
        </is>
      </c>
      <c r="H1325" s="144" t="n">
        <v>1221</v>
      </c>
      <c r="I1325" s="144" t="inlineStr">
        <is>
          <t>COMMERCIAL</t>
        </is>
      </c>
    </row>
    <row r="1326" ht="18" customHeight="1" s="7">
      <c r="A1326" s="144" t="inlineStr">
        <is>
          <t>DENYSKIN DMYTRO</t>
        </is>
      </c>
      <c r="B1326" s="144" t="inlineStr">
        <is>
          <t>D525174702490 FL</t>
        </is>
      </c>
      <c r="C1326" s="144" t="inlineStr">
        <is>
          <t>3XD LLC</t>
        </is>
      </c>
      <c r="D1326" s="144" t="n">
        <v>3862831047</v>
      </c>
      <c r="E1326" s="144" t="inlineStr">
        <is>
          <t>FLAT</t>
        </is>
      </c>
      <c r="F1326" s="144" t="inlineStr">
        <is>
          <t>XE320P FL</t>
        </is>
      </c>
      <c r="G1326" s="144" t="inlineStr">
        <is>
          <t>WHITE FL</t>
        </is>
      </c>
      <c r="H1326" s="144" t="n">
        <v>1221</v>
      </c>
      <c r="I1326" s="144" t="inlineStr">
        <is>
          <t>COMMERCIAL</t>
        </is>
      </c>
    </row>
    <row r="1327" ht="18" customHeight="1" s="7">
      <c r="A1327" s="144" t="inlineStr">
        <is>
          <t>KRISTIAN BYRANT</t>
        </is>
      </c>
      <c r="B1327" s="144" t="inlineStr">
        <is>
          <t>*058954282 GA</t>
        </is>
      </c>
      <c r="C1327" s="144" t="inlineStr">
        <is>
          <t>RIGHT ON TIME</t>
        </is>
      </c>
      <c r="D1327" s="144" t="n">
        <v>4782907562</v>
      </c>
      <c r="E1327" s="144" t="inlineStr">
        <is>
          <t>PU</t>
        </is>
      </c>
      <c r="F1327" s="144" t="inlineStr">
        <is>
          <t>RPN6281 GA</t>
        </is>
      </c>
      <c r="G1327" s="144" t="inlineStr">
        <is>
          <t>BLACK DODGE</t>
        </is>
      </c>
      <c r="H1327" s="144" t="n">
        <v>1351</v>
      </c>
      <c r="I1327" s="144" t="inlineStr">
        <is>
          <t>CONTRACTOR</t>
        </is>
      </c>
    </row>
    <row r="1328" ht="18" customHeight="1" s="7">
      <c r="A1328" s="144" t="inlineStr">
        <is>
          <t>ROBERT WILSON</t>
        </is>
      </c>
      <c r="B1328" s="144" t="inlineStr">
        <is>
          <t>W425765862870 FL</t>
        </is>
      </c>
      <c r="C1328" s="144" t="inlineStr">
        <is>
          <t>WILLSCOT</t>
        </is>
      </c>
      <c r="D1328" s="144" t="n">
        <v>8505456111</v>
      </c>
      <c r="E1328" s="144" t="inlineStr">
        <is>
          <t>BOX</t>
        </is>
      </c>
      <c r="F1328" s="144" t="inlineStr">
        <is>
          <t>2823047 IN</t>
        </is>
      </c>
      <c r="G1328" s="144" t="inlineStr">
        <is>
          <t>YELLOW FREIGHTLINER</t>
        </is>
      </c>
      <c r="H1328" s="144" t="inlineStr">
        <is>
          <t>GATE 1/5</t>
        </is>
      </c>
      <c r="I1328" s="144" t="inlineStr">
        <is>
          <t>CONTRACTOR</t>
        </is>
      </c>
    </row>
    <row r="1329" ht="18" customHeight="1" s="7">
      <c r="A1329" s="144" t="inlineStr">
        <is>
          <t>MATTHEW GREEN</t>
        </is>
      </c>
      <c r="B1329" s="144" t="inlineStr">
        <is>
          <t>052939509 GA</t>
        </is>
      </c>
      <c r="C1329" s="144" t="inlineStr">
        <is>
          <t>FEDEX</t>
        </is>
      </c>
      <c r="D1329" s="144" t="n">
        <v>2298696778</v>
      </c>
      <c r="E1329" s="144" t="inlineStr">
        <is>
          <t>BOX</t>
        </is>
      </c>
      <c r="F1329" s="144" t="inlineStr">
        <is>
          <t>3619366 IN</t>
        </is>
      </c>
      <c r="G1329" s="144" t="inlineStr">
        <is>
          <t>WHITE FREIGHTLINER</t>
        </is>
      </c>
      <c r="H1329" s="144" t="inlineStr">
        <is>
          <t>BASEWIDE</t>
        </is>
      </c>
      <c r="I1329" s="144" t="inlineStr">
        <is>
          <t>COMMERCIAL</t>
        </is>
      </c>
    </row>
    <row r="1330" ht="18" customHeight="1" s="7">
      <c r="A1330" s="144" t="inlineStr">
        <is>
          <t xml:space="preserve">FELTON WALLACE </t>
        </is>
      </c>
      <c r="B1330" s="144" t="inlineStr">
        <is>
          <t>004923236 GA</t>
        </is>
      </c>
      <c r="C1330" s="144" t="inlineStr">
        <is>
          <t>T FORCE</t>
        </is>
      </c>
      <c r="D1330" s="144" t="n">
        <v>4782441480</v>
      </c>
      <c r="E1330" s="144" t="inlineStr">
        <is>
          <t>BOX</t>
        </is>
      </c>
      <c r="F1330" s="144" t="inlineStr">
        <is>
          <t xml:space="preserve">3418493 IN </t>
        </is>
      </c>
      <c r="G1330" s="144" t="inlineStr">
        <is>
          <t>WHITE INTERNATIONAL</t>
        </is>
      </c>
      <c r="H1330" s="144" t="n">
        <v>1221</v>
      </c>
      <c r="I1330" s="144" t="inlineStr">
        <is>
          <t>COMMERCIAL</t>
        </is>
      </c>
    </row>
    <row r="1331" ht="18" customHeight="1" s="7">
      <c r="A1331" s="144" t="inlineStr">
        <is>
          <t>BETANCOURT JOE</t>
        </is>
      </c>
      <c r="B1331" s="144" t="inlineStr">
        <is>
          <t>39810807 TX</t>
        </is>
      </c>
      <c r="C1331" s="144" t="inlineStr">
        <is>
          <t>JT SPEED</t>
        </is>
      </c>
      <c r="D1331" s="144" t="n">
        <v>7026106802</v>
      </c>
      <c r="E1331" s="144" t="inlineStr">
        <is>
          <t>FLAT</t>
        </is>
      </c>
      <c r="F1331" s="144" t="inlineStr">
        <is>
          <t>R679158 TX</t>
        </is>
      </c>
      <c r="G1331" s="144" t="inlineStr">
        <is>
          <t>WHITE PETERBILT</t>
        </is>
      </c>
      <c r="H1331" s="144" t="n">
        <v>1221</v>
      </c>
      <c r="I1331" s="144" t="inlineStr">
        <is>
          <t>COMMERCIAL</t>
        </is>
      </c>
    </row>
    <row r="1332" ht="18" customHeight="1" s="7">
      <c r="A1332" s="144" t="inlineStr">
        <is>
          <t>AVANCE SIDBERRY JR</t>
        </is>
      </c>
      <c r="B1332" s="144" t="inlineStr">
        <is>
          <t>*000000630031 NC</t>
        </is>
      </c>
      <c r="C1332" s="144" t="inlineStr">
        <is>
          <t>A&amp;E TRUCKING</t>
        </is>
      </c>
      <c r="D1332" s="144" t="n">
        <v>9102979512</v>
      </c>
      <c r="E1332" s="144" t="inlineStr">
        <is>
          <t>FLAT</t>
        </is>
      </c>
      <c r="F1332" s="144" t="inlineStr">
        <is>
          <t>NH4213 NC</t>
        </is>
      </c>
      <c r="G1332" s="144" t="inlineStr">
        <is>
          <t>BLUE INTERNATIONAL</t>
        </is>
      </c>
      <c r="H1332" s="144" t="n">
        <v>1221</v>
      </c>
      <c r="I1332" s="144" t="inlineStr">
        <is>
          <t>COMMERCIAL</t>
        </is>
      </c>
    </row>
    <row r="1333" ht="18" customHeight="1" s="7">
      <c r="A1333" s="144" t="inlineStr">
        <is>
          <t>STEPHEN HOWELL</t>
        </is>
      </c>
      <c r="B1333" s="144" t="inlineStr">
        <is>
          <t>*055057111 GA</t>
        </is>
      </c>
      <c r="C1333" s="144" t="inlineStr">
        <is>
          <t>LANDSTAR</t>
        </is>
      </c>
      <c r="D1333" s="144" t="n">
        <v>7707809151</v>
      </c>
      <c r="E1333" s="144" t="inlineStr">
        <is>
          <t>BOX</t>
        </is>
      </c>
      <c r="F1333" s="144" t="inlineStr">
        <is>
          <t>IC8W99 GA</t>
        </is>
      </c>
      <c r="G1333" s="144" t="inlineStr">
        <is>
          <t>WHITE FREIGHTLINER</t>
        </is>
      </c>
      <c r="H1333" s="144" t="n">
        <v>1221</v>
      </c>
      <c r="I1333" s="144" t="inlineStr">
        <is>
          <t>COMMERCIAL</t>
        </is>
      </c>
    </row>
    <row r="1334" ht="18" customHeight="1" s="7">
      <c r="A1334" s="144" t="inlineStr">
        <is>
          <t xml:space="preserve">WILLIAM WOLFE </t>
        </is>
      </c>
      <c r="B1334" s="144" t="inlineStr">
        <is>
          <t>20985697 PA</t>
        </is>
      </c>
      <c r="C1334" s="144" t="inlineStr">
        <is>
          <t>THE WOLFE'S</t>
        </is>
      </c>
      <c r="D1334" s="144" t="n">
        <v>7243328328</v>
      </c>
      <c r="E1334" s="144" t="inlineStr">
        <is>
          <t>BOX</t>
        </is>
      </c>
      <c r="F1334" s="144" t="inlineStr">
        <is>
          <t>P1272438 IL</t>
        </is>
      </c>
      <c r="G1334" s="144" t="inlineStr">
        <is>
          <t>RED VOLVO</t>
        </is>
      </c>
      <c r="H1334" s="144" t="n">
        <v>1221</v>
      </c>
      <c r="I1334" s="144" t="inlineStr">
        <is>
          <t>COMMERCIAL</t>
        </is>
      </c>
    </row>
    <row r="1335" ht="18" customHeight="1" s="7">
      <c r="A1335" s="144" t="inlineStr">
        <is>
          <t>CESAR INESTROZA</t>
        </is>
      </c>
      <c r="B1335" s="144" t="inlineStr">
        <is>
          <t>*000037581382</t>
        </is>
      </c>
      <c r="C1335" s="144" t="inlineStr">
        <is>
          <t>ALPHA TRANS</t>
        </is>
      </c>
      <c r="D1335" s="144" t="n">
        <v>9102472641</v>
      </c>
      <c r="E1335" s="144" t="inlineStr">
        <is>
          <t>PU</t>
        </is>
      </c>
      <c r="F1335" s="144" t="inlineStr">
        <is>
          <t>NM2501 NC</t>
        </is>
      </c>
      <c r="G1335" s="144" t="inlineStr">
        <is>
          <t>SILVER DODGE</t>
        </is>
      </c>
      <c r="H1335" s="144" t="n">
        <v>1221</v>
      </c>
      <c r="I1335" s="144" t="inlineStr">
        <is>
          <t>CONTRACTER</t>
        </is>
      </c>
    </row>
    <row r="1336" ht="18" customHeight="1" s="7">
      <c r="A1336" s="144" t="inlineStr">
        <is>
          <t>CHRISTOPHER B BROWN</t>
        </is>
      </c>
      <c r="B1336" s="144" t="inlineStr">
        <is>
          <t>*052046717 GA</t>
        </is>
      </c>
      <c r="C1336" s="144" t="inlineStr">
        <is>
          <t>XPO</t>
        </is>
      </c>
      <c r="D1336" s="144" t="n">
        <v>2292563232</v>
      </c>
      <c r="E1336" s="144" t="inlineStr">
        <is>
          <t>BOX</t>
        </is>
      </c>
      <c r="F1336" s="144" t="inlineStr">
        <is>
          <t>3786124 IN</t>
        </is>
      </c>
      <c r="G1336" s="144" t="inlineStr">
        <is>
          <t>WHITE KW</t>
        </is>
      </c>
      <c r="H1336" s="144" t="n">
        <v>7000</v>
      </c>
      <c r="I1336" s="144" t="inlineStr">
        <is>
          <t>COMMERCIAL</t>
        </is>
      </c>
    </row>
    <row r="1337" ht="18" customHeight="1" s="7">
      <c r="A1337" s="144" t="inlineStr">
        <is>
          <t>BRIAN BRUNNER</t>
        </is>
      </c>
      <c r="B1337" s="144" t="inlineStr">
        <is>
          <t>*054158511 GA</t>
        </is>
      </c>
      <c r="C1337" s="144" t="inlineStr">
        <is>
          <t>RHC</t>
        </is>
      </c>
      <c r="D1337" s="144" t="n">
        <v>2294353500</v>
      </c>
      <c r="E1337" s="144" t="inlineStr">
        <is>
          <t>SUV</t>
        </is>
      </c>
      <c r="F1337" s="144" t="inlineStr">
        <is>
          <t>RLF5535 GA</t>
        </is>
      </c>
      <c r="G1337" s="144" t="inlineStr">
        <is>
          <t>WHITE FORD</t>
        </is>
      </c>
      <c r="H1337" s="144" t="n">
        <v>5400</v>
      </c>
      <c r="I1337" s="144" t="inlineStr">
        <is>
          <t>CONTRACTOR</t>
        </is>
      </c>
    </row>
    <row r="1338" ht="18" customHeight="1" s="7">
      <c r="A1338" s="144" t="inlineStr">
        <is>
          <t>JOSHUA WILSON</t>
        </is>
      </c>
      <c r="B1338" s="144" t="inlineStr">
        <is>
          <t>*050399971 GA</t>
        </is>
      </c>
      <c r="C1338" s="144" t="inlineStr">
        <is>
          <t>COMFORT SYSTEMS</t>
        </is>
      </c>
      <c r="D1338" s="144" t="n">
        <v>8667774149</v>
      </c>
      <c r="E1338" s="144" t="inlineStr">
        <is>
          <t>VAN</t>
        </is>
      </c>
      <c r="F1338" s="144" t="inlineStr">
        <is>
          <t>TGH5614 GA</t>
        </is>
      </c>
      <c r="G1338" s="144" t="inlineStr">
        <is>
          <t>WHITE CHEVY</t>
        </is>
      </c>
      <c r="H1338" s="144" t="n">
        <v>1250</v>
      </c>
      <c r="I1338" s="144" t="inlineStr">
        <is>
          <t>CONTRACTOR</t>
        </is>
      </c>
    </row>
    <row r="1339" ht="18" customHeight="1" s="7">
      <c r="A1339" s="144" t="inlineStr">
        <is>
          <t>JOSHUA MASON</t>
        </is>
      </c>
      <c r="B1339" s="144" t="inlineStr">
        <is>
          <t>*059643218 GA</t>
        </is>
      </c>
      <c r="C1339" s="144" t="inlineStr">
        <is>
          <t>ACE TECH</t>
        </is>
      </c>
      <c r="D1339" s="144" t="n">
        <v>2292446412</v>
      </c>
      <c r="E1339" s="144" t="inlineStr">
        <is>
          <t>PU</t>
        </is>
      </c>
      <c r="F1339" s="144" t="inlineStr">
        <is>
          <t>CKF6976 GA</t>
        </is>
      </c>
      <c r="G1339" s="144" t="inlineStr">
        <is>
          <t>RED FORD</t>
        </is>
      </c>
      <c r="H1339" s="144" t="inlineStr">
        <is>
          <t>BASEWIDE</t>
        </is>
      </c>
      <c r="I1339" s="144" t="inlineStr">
        <is>
          <t>CONTRACTOR</t>
        </is>
      </c>
    </row>
    <row r="1340" ht="18" customHeight="1" s="7">
      <c r="A1340" s="144" t="inlineStr">
        <is>
          <t>TYNALIEV JENISH</t>
        </is>
      </c>
      <c r="B1340" s="144" t="inlineStr">
        <is>
          <t>VF264716 OH</t>
        </is>
      </c>
      <c r="C1340" s="144" t="inlineStr">
        <is>
          <t>GFE</t>
        </is>
      </c>
      <c r="D1340" s="144" t="n">
        <v>5134034794</v>
      </c>
      <c r="E1340" s="144" t="inlineStr">
        <is>
          <t>BOX</t>
        </is>
      </c>
      <c r="F1340" s="144" t="inlineStr">
        <is>
          <t>PWG8468 OH</t>
        </is>
      </c>
      <c r="G1340" s="144" t="inlineStr">
        <is>
          <t>WHITE VOLVO</t>
        </is>
      </c>
      <c r="H1340" s="144" t="n">
        <v>1221</v>
      </c>
      <c r="I1340" s="144" t="inlineStr">
        <is>
          <t>COMMERCIAL</t>
        </is>
      </c>
    </row>
    <row r="1341" ht="18" customHeight="1" s="7">
      <c r="A1341" s="144" t="inlineStr">
        <is>
          <t>LEE BRIAN</t>
        </is>
      </c>
      <c r="B1341" s="144" t="inlineStr">
        <is>
          <t>*000045725557 NC</t>
        </is>
      </c>
      <c r="C1341" s="144" t="inlineStr">
        <is>
          <t>GOZAL INC</t>
        </is>
      </c>
      <c r="D1341" s="144" t="n">
        <v>8034978039</v>
      </c>
      <c r="E1341" s="144" t="inlineStr">
        <is>
          <t>BOX</t>
        </is>
      </c>
      <c r="F1341" s="144" t="inlineStr">
        <is>
          <t>PXB5874 OH</t>
        </is>
      </c>
      <c r="G1341" s="144" t="inlineStr">
        <is>
          <t>WHITE FRIEGHTLINER</t>
        </is>
      </c>
      <c r="H1341" s="144" t="n">
        <v>1221</v>
      </c>
      <c r="I1341" s="144" t="inlineStr">
        <is>
          <t>COMMERCIAL</t>
        </is>
      </c>
    </row>
    <row r="1342" ht="18" customHeight="1" s="7">
      <c r="A1342" s="144" t="inlineStr">
        <is>
          <t>LONNIE ELLISON</t>
        </is>
      </c>
      <c r="B1342" s="144" t="inlineStr">
        <is>
          <t>*019947373 GA</t>
        </is>
      </c>
      <c r="C1342" s="144" t="inlineStr">
        <is>
          <t>ATS</t>
        </is>
      </c>
      <c r="D1342" s="144" t="n">
        <v>9122247473</v>
      </c>
      <c r="E1342" s="144" t="inlineStr">
        <is>
          <t>BOX</t>
        </is>
      </c>
      <c r="F1342" s="144" t="inlineStr">
        <is>
          <t>A00084 SC</t>
        </is>
      </c>
      <c r="G1342" s="144" t="inlineStr">
        <is>
          <t>GRAY INTERNATIONAL</t>
        </is>
      </c>
      <c r="H1342" s="144" t="n">
        <v>1221</v>
      </c>
      <c r="I1342" s="144" t="inlineStr">
        <is>
          <t>COMMERCIAL</t>
        </is>
      </c>
    </row>
    <row r="1343" ht="18" customHeight="1" s="7">
      <c r="A1343" s="144" t="inlineStr">
        <is>
          <t>JOHNSON MICHAEL</t>
        </is>
      </c>
      <c r="B1343" s="144" t="inlineStr">
        <is>
          <t>154373365 TN</t>
        </is>
      </c>
      <c r="C1343" s="144" t="inlineStr">
        <is>
          <t>PANTHER</t>
        </is>
      </c>
      <c r="D1343" s="144" t="n">
        <v>8102401157</v>
      </c>
      <c r="E1343" s="144" t="inlineStr">
        <is>
          <t>BOX</t>
        </is>
      </c>
      <c r="F1343" s="144" t="inlineStr">
        <is>
          <t>3243768 IN</t>
        </is>
      </c>
      <c r="G1343" s="144" t="inlineStr">
        <is>
          <t>RED FRIEGHTLINER</t>
        </is>
      </c>
      <c r="H1343" s="144" t="n">
        <v>1221</v>
      </c>
      <c r="I1343" s="144" t="inlineStr">
        <is>
          <t>COMMERCIAL</t>
        </is>
      </c>
    </row>
    <row r="1344" ht="18" customHeight="1" s="7">
      <c r="A1344" s="144" t="inlineStr">
        <is>
          <t>JONES CHRISTOPHER</t>
        </is>
      </c>
      <c r="B1344" s="144" t="inlineStr">
        <is>
          <t>J520104583680 FL</t>
        </is>
      </c>
      <c r="C1344" s="144" t="inlineStr">
        <is>
          <t>WBT</t>
        </is>
      </c>
      <c r="D1344" s="144" t="n">
        <v>9123757777</v>
      </c>
      <c r="E1344" s="144" t="inlineStr">
        <is>
          <t>FLAT</t>
        </is>
      </c>
      <c r="F1344" s="144" t="inlineStr">
        <is>
          <t>P716358 SC</t>
        </is>
      </c>
      <c r="G1344" s="144" t="inlineStr">
        <is>
          <t>WHITE VOLVO</t>
        </is>
      </c>
      <c r="H1344" s="144" t="inlineStr">
        <is>
          <t>K-9</t>
        </is>
      </c>
      <c r="I1344" s="144" t="inlineStr">
        <is>
          <t>COMMERCIAL</t>
        </is>
      </c>
    </row>
    <row r="1345" ht="18" customHeight="1" s="7">
      <c r="A1345" s="144" t="inlineStr">
        <is>
          <t>SMITH JOHN</t>
        </is>
      </c>
      <c r="B1345" s="144" t="inlineStr">
        <is>
          <t>E083528449 OK</t>
        </is>
      </c>
      <c r="C1345" s="144" t="inlineStr">
        <is>
          <t>LANDSTAR</t>
        </is>
      </c>
      <c r="D1345" s="144" t="n">
        <v>4178607412</v>
      </c>
      <c r="E1345" s="144" t="inlineStr">
        <is>
          <t>FLAT</t>
        </is>
      </c>
      <c r="F1345" s="144" t="inlineStr">
        <is>
          <t>3CB389 OK</t>
        </is>
      </c>
      <c r="G1345" s="144" t="inlineStr">
        <is>
          <t>RED KENWORTH</t>
        </is>
      </c>
      <c r="H1345" s="144" t="n">
        <v>3700</v>
      </c>
      <c r="I1345" s="144" t="inlineStr">
        <is>
          <t>COMMERCIAL</t>
        </is>
      </c>
    </row>
    <row r="1346" ht="18" customHeight="1" s="7">
      <c r="A1346" s="144" t="inlineStr">
        <is>
          <t>SAINTUS BERTIN</t>
        </is>
      </c>
      <c r="B1346" s="144" t="inlineStr">
        <is>
          <t>S443336610000 FL</t>
        </is>
      </c>
      <c r="C1346" s="144" t="inlineStr">
        <is>
          <t>GOZAL INC</t>
        </is>
      </c>
      <c r="D1346" s="144" t="n">
        <v>5617880453</v>
      </c>
      <c r="E1346" s="144" t="inlineStr">
        <is>
          <t>BOX</t>
        </is>
      </c>
      <c r="F1346" s="144" t="inlineStr">
        <is>
          <t>3267717 IN</t>
        </is>
      </c>
      <c r="G1346" s="144" t="inlineStr">
        <is>
          <t>WHITE FRIEGHTLINER</t>
        </is>
      </c>
      <c r="H1346" s="144" t="n">
        <v>1221</v>
      </c>
      <c r="I1346" s="144" t="inlineStr">
        <is>
          <t>COMMERCIAL</t>
        </is>
      </c>
    </row>
    <row r="1347" ht="18" customHeight="1" s="7">
      <c r="A1347" s="144" t="inlineStr">
        <is>
          <t>ANTOINE PETERSON</t>
        </is>
      </c>
      <c r="B1347" s="144" t="inlineStr">
        <is>
          <t>*056826255 GA</t>
        </is>
      </c>
      <c r="C1347" s="144" t="inlineStr">
        <is>
          <t>ATS</t>
        </is>
      </c>
      <c r="D1347" s="144" t="n">
        <v>9122486029</v>
      </c>
      <c r="E1347" s="144" t="inlineStr">
        <is>
          <t>FLAT</t>
        </is>
      </c>
      <c r="F1347" s="144" t="inlineStr">
        <is>
          <t>P777272 SC</t>
        </is>
      </c>
      <c r="G1347" s="144" t="inlineStr">
        <is>
          <t>GRAY INTERNATIONAL</t>
        </is>
      </c>
      <c r="H1347" s="144" t="n">
        <v>1221</v>
      </c>
      <c r="I1347" s="144" t="inlineStr">
        <is>
          <t>COMMERCIAL</t>
        </is>
      </c>
    </row>
    <row r="1348" ht="18" customHeight="1" s="7">
      <c r="A1348" s="144" t="inlineStr">
        <is>
          <t>CHARLES BROWN III</t>
        </is>
      </c>
      <c r="B1348" s="144" t="inlineStr">
        <is>
          <t>*052361413 GA</t>
        </is>
      </c>
      <c r="C1348" s="144" t="inlineStr">
        <is>
          <t>ATS</t>
        </is>
      </c>
      <c r="D1348" s="144" t="n">
        <v>9126614143</v>
      </c>
      <c r="E1348" s="144" t="inlineStr">
        <is>
          <t>FLAT</t>
        </is>
      </c>
      <c r="F1348" s="144" t="inlineStr">
        <is>
          <t>P761934 SC</t>
        </is>
      </c>
      <c r="G1348" s="144" t="inlineStr">
        <is>
          <t>GRAY FRIEGHTLINER</t>
        </is>
      </c>
      <c r="H1348" s="144" t="n">
        <v>1221</v>
      </c>
      <c r="I1348" s="144" t="inlineStr">
        <is>
          <t>COMMERCIAL</t>
        </is>
      </c>
    </row>
    <row r="1349" ht="18" customHeight="1" s="7">
      <c r="A1349" s="144" t="inlineStr">
        <is>
          <t xml:space="preserve">TORO RAFAEL </t>
        </is>
      </c>
      <c r="B1349" s="144" t="inlineStr">
        <is>
          <t>*000034720503 NC</t>
        </is>
      </c>
      <c r="C1349" s="144" t="inlineStr">
        <is>
          <t>TORO</t>
        </is>
      </c>
      <c r="D1349" s="144" t="n">
        <v>7045026638</v>
      </c>
      <c r="E1349" s="144" t="inlineStr">
        <is>
          <t xml:space="preserve">FLAT </t>
        </is>
      </c>
      <c r="F1349" s="144" t="inlineStr">
        <is>
          <t>NV6954 NC</t>
        </is>
      </c>
      <c r="G1349" s="144" t="inlineStr">
        <is>
          <t>RED PETERBILT</t>
        </is>
      </c>
      <c r="H1349" s="144" t="n">
        <v>1221</v>
      </c>
      <c r="I1349" s="144" t="inlineStr">
        <is>
          <t>COMMERCIAL</t>
        </is>
      </c>
    </row>
    <row r="1350" ht="18" customHeight="1" s="7">
      <c r="A1350" s="144" t="inlineStr">
        <is>
          <t>FARONDA GARNER</t>
        </is>
      </c>
      <c r="B1350" s="144" t="inlineStr">
        <is>
          <t>*058413578 GA</t>
        </is>
      </c>
      <c r="C1350" s="144" t="inlineStr">
        <is>
          <t>FEDEX</t>
        </is>
      </c>
      <c r="D1350" s="144" t="n">
        <v>2298094036</v>
      </c>
      <c r="E1350" s="144" t="inlineStr">
        <is>
          <t>VAN</t>
        </is>
      </c>
      <c r="F1350" s="144" t="inlineStr">
        <is>
          <t>699BDV SC</t>
        </is>
      </c>
      <c r="G1350" s="144" t="inlineStr">
        <is>
          <t>WHITE FORD</t>
        </is>
      </c>
      <c r="H1350" s="144" t="inlineStr">
        <is>
          <t>BASEWIDE</t>
        </is>
      </c>
      <c r="I1350" s="144" t="inlineStr">
        <is>
          <t>CONTRACTOR</t>
        </is>
      </c>
    </row>
    <row r="1351" ht="18" customHeight="1" s="7">
      <c r="A1351" s="144" t="inlineStr">
        <is>
          <t xml:space="preserve">PAGE LAWRENCE </t>
        </is>
      </c>
      <c r="B1351" s="144" t="inlineStr">
        <is>
          <t>P200522853270 FL</t>
        </is>
      </c>
      <c r="C1351" s="144" t="inlineStr">
        <is>
          <t>MJW CONSOLIDATED</t>
        </is>
      </c>
      <c r="D1351" s="144" t="n">
        <v>9047383317</v>
      </c>
      <c r="E1351" s="144" t="inlineStr">
        <is>
          <t>PU</t>
        </is>
      </c>
      <c r="F1351" s="144" t="inlineStr">
        <is>
          <t>80BGES FL</t>
        </is>
      </c>
      <c r="G1351" s="144" t="inlineStr">
        <is>
          <t>WHITE FORD</t>
        </is>
      </c>
      <c r="H1351" s="144" t="n">
        <v>1231</v>
      </c>
      <c r="I1351" s="144" t="inlineStr">
        <is>
          <t>CONTRACTOR</t>
        </is>
      </c>
    </row>
    <row r="1352" ht="18" customHeight="1" s="7">
      <c r="A1352" s="144" t="inlineStr">
        <is>
          <t>GABRIEL MORENO</t>
        </is>
      </c>
      <c r="B1352" s="144" t="inlineStr">
        <is>
          <t>*052409373 GA</t>
        </is>
      </c>
      <c r="C1352" s="144" t="inlineStr">
        <is>
          <t>JASPER</t>
        </is>
      </c>
      <c r="D1352" s="144" t="n">
        <v>7707570015</v>
      </c>
      <c r="E1352" s="144" t="inlineStr">
        <is>
          <t>BOX</t>
        </is>
      </c>
      <c r="F1352" s="144" t="inlineStr">
        <is>
          <t>3263094 IN</t>
        </is>
      </c>
      <c r="G1352" s="144" t="inlineStr">
        <is>
          <t>YELLOW FREIGHTLINER</t>
        </is>
      </c>
      <c r="H1352" s="144" t="n">
        <v>1220</v>
      </c>
      <c r="I1352" s="144" t="inlineStr">
        <is>
          <t>COMMERCIAL</t>
        </is>
      </c>
    </row>
    <row r="1353" ht="18" customHeight="1" s="7">
      <c r="A1353" s="144" t="inlineStr">
        <is>
          <t>MCCLENDON TMYA</t>
        </is>
      </c>
      <c r="B1353" s="144" t="inlineStr">
        <is>
          <t>*049381145 MS</t>
        </is>
      </c>
      <c r="C1353" s="144" t="inlineStr">
        <is>
          <t>4 WAYS</t>
        </is>
      </c>
      <c r="D1353" s="144" t="n">
        <v>6016979496</v>
      </c>
      <c r="E1353" s="144" t="inlineStr">
        <is>
          <t>BOX</t>
        </is>
      </c>
      <c r="F1353" s="144" t="inlineStr">
        <is>
          <t>P1206760 IL</t>
        </is>
      </c>
      <c r="G1353" s="144" t="inlineStr">
        <is>
          <t>WHITE FRIEGHTLINER</t>
        </is>
      </c>
      <c r="H1353" s="144" t="n">
        <v>1221</v>
      </c>
      <c r="I1353" s="144" t="inlineStr">
        <is>
          <t>COMMERCIAL</t>
        </is>
      </c>
    </row>
    <row r="1354" ht="18" customHeight="1" s="7">
      <c r="A1354" s="144" t="inlineStr">
        <is>
          <t>SCOTTY AWONYI</t>
        </is>
      </c>
      <c r="B1354" s="144" t="inlineStr">
        <is>
          <t>*056786580 GA</t>
        </is>
      </c>
      <c r="C1354" s="144" t="inlineStr">
        <is>
          <t>DAFE</t>
        </is>
      </c>
      <c r="D1354" s="144" t="n">
        <v>7702920730</v>
      </c>
      <c r="E1354" s="144" t="inlineStr">
        <is>
          <t>BOX</t>
        </is>
      </c>
      <c r="F1354" s="144" t="inlineStr">
        <is>
          <t>YTD900 GA</t>
        </is>
      </c>
      <c r="G1354" s="144" t="inlineStr">
        <is>
          <t>YELLOW IN</t>
        </is>
      </c>
      <c r="H1354" s="144" t="n">
        <v>1221</v>
      </c>
      <c r="I1354" s="144" t="inlineStr">
        <is>
          <t>COMMERCIAL</t>
        </is>
      </c>
    </row>
    <row r="1355" ht="18" customHeight="1" s="7">
      <c r="A1355" s="144" t="inlineStr">
        <is>
          <t>AGUILERA LEONARDO</t>
        </is>
      </c>
      <c r="B1355" s="144" t="inlineStr">
        <is>
          <t>A246520960050 FL</t>
        </is>
      </c>
      <c r="C1355" s="144" t="inlineStr">
        <is>
          <t>NVE TRANS</t>
        </is>
      </c>
      <c r="D1355" s="144" t="n">
        <v>7868017222</v>
      </c>
      <c r="E1355" s="144" t="inlineStr">
        <is>
          <t>BOX</t>
        </is>
      </c>
      <c r="F1355" s="144" t="inlineStr">
        <is>
          <t>P1174747 IL</t>
        </is>
      </c>
      <c r="G1355" s="144" t="inlineStr">
        <is>
          <t>WHITE FL</t>
        </is>
      </c>
      <c r="H1355" s="144" t="n">
        <v>1221</v>
      </c>
      <c r="I1355" s="144" t="inlineStr">
        <is>
          <t>COMMERCIAL</t>
        </is>
      </c>
    </row>
    <row r="1356" ht="18" customHeight="1" s="7">
      <c r="A1356" s="144" t="inlineStr">
        <is>
          <t>ARCHIE SIMMONS</t>
        </is>
      </c>
      <c r="B1356" s="144" t="inlineStr">
        <is>
          <t>S552004523790 FL</t>
        </is>
      </c>
      <c r="C1356" s="144" t="inlineStr">
        <is>
          <t>LANDSTAR</t>
        </is>
      </c>
      <c r="D1356" s="144" t="n">
        <v>4079237100</v>
      </c>
      <c r="E1356" s="144" t="inlineStr">
        <is>
          <t>BOX</t>
        </is>
      </c>
      <c r="F1356" s="144" t="inlineStr">
        <is>
          <t>3411076 IN</t>
        </is>
      </c>
      <c r="G1356" s="144" t="inlineStr">
        <is>
          <t>WHITE FL</t>
        </is>
      </c>
      <c r="H1356" s="144" t="n">
        <v>1221</v>
      </c>
      <c r="I1356" s="144" t="inlineStr">
        <is>
          <t>COMMERCIAL</t>
        </is>
      </c>
    </row>
    <row r="1357" ht="18" customHeight="1" s="7">
      <c r="A1357" s="144" t="inlineStr">
        <is>
          <t>TEDDY FOLDS</t>
        </is>
      </c>
      <c r="B1357" s="144" t="inlineStr">
        <is>
          <t>8131043 AL</t>
        </is>
      </c>
      <c r="C1357" s="144" t="inlineStr">
        <is>
          <t>H&amp;E</t>
        </is>
      </c>
      <c r="D1357" s="144" t="n">
        <v>3344052565</v>
      </c>
      <c r="E1357" s="144" t="inlineStr">
        <is>
          <t>BOX</t>
        </is>
      </c>
      <c r="F1357" s="144" t="inlineStr">
        <is>
          <t>P259195 LO</t>
        </is>
      </c>
      <c r="G1357" s="144" t="inlineStr">
        <is>
          <t>WHITE PETERBILT</t>
        </is>
      </c>
      <c r="H1357" s="144" t="n">
        <v>1221</v>
      </c>
      <c r="I1357" s="144" t="inlineStr">
        <is>
          <t>COMMERCIAL</t>
        </is>
      </c>
    </row>
    <row r="1358" ht="18" customHeight="1" s="7">
      <c r="A1358" s="144" t="inlineStr">
        <is>
          <t>JASON JOHNSON</t>
        </is>
      </c>
      <c r="B1358" s="144" t="inlineStr">
        <is>
          <t>*054301641 GA</t>
        </is>
      </c>
      <c r="C1358" s="144" t="inlineStr">
        <is>
          <t>I&amp;L</t>
        </is>
      </c>
      <c r="D1358" s="144" t="n">
        <v>4048603356</v>
      </c>
      <c r="E1358" s="144" t="inlineStr">
        <is>
          <t>BOX</t>
        </is>
      </c>
      <c r="F1358" s="144" t="inlineStr">
        <is>
          <t>ETR927 GA</t>
        </is>
      </c>
      <c r="G1358" s="144" t="inlineStr">
        <is>
          <t>WHITE FL</t>
        </is>
      </c>
      <c r="H1358" s="144" t="n">
        <v>7501</v>
      </c>
      <c r="I1358" s="144" t="inlineStr">
        <is>
          <t>COMMERCIAL</t>
        </is>
      </c>
    </row>
    <row r="1359" ht="18" customHeight="1" s="7">
      <c r="A1359" s="144" t="inlineStr">
        <is>
          <t>CHIRION MESA</t>
        </is>
      </c>
      <c r="B1359" s="144" t="inlineStr">
        <is>
          <t>C655780850910 FL</t>
        </is>
      </c>
      <c r="C1359" s="144" t="inlineStr">
        <is>
          <t>HERANDEZ &amp; LUCAS</t>
        </is>
      </c>
      <c r="D1359" s="144" t="n">
        <v>7865100876</v>
      </c>
      <c r="E1359" s="144" t="inlineStr">
        <is>
          <t>FLAT</t>
        </is>
      </c>
      <c r="F1359" s="144" t="inlineStr">
        <is>
          <t>DF32AD FL</t>
        </is>
      </c>
      <c r="G1359" s="144" t="inlineStr">
        <is>
          <t>BLUE FL</t>
        </is>
      </c>
      <c r="H1359" s="144" t="n">
        <v>1221</v>
      </c>
      <c r="I1359" s="144" t="inlineStr">
        <is>
          <t>COMMERCIAL</t>
        </is>
      </c>
    </row>
    <row r="1360" ht="18" customHeight="1" s="7">
      <c r="A1360" s="144" t="inlineStr">
        <is>
          <t xml:space="preserve">TRAVIS JOHNSON JR </t>
        </is>
      </c>
      <c r="B1360" s="144" t="inlineStr">
        <is>
          <t>*053863839 GA</t>
        </is>
      </c>
      <c r="C1360" s="144" t="inlineStr">
        <is>
          <t>ALSCO</t>
        </is>
      </c>
      <c r="D1360" s="144" t="n">
        <v>2298697689</v>
      </c>
      <c r="E1360" s="144" t="inlineStr">
        <is>
          <t>VAN</t>
        </is>
      </c>
      <c r="F1360" s="144" t="inlineStr">
        <is>
          <t>JS699B FL</t>
        </is>
      </c>
      <c r="G1360" s="144" t="inlineStr">
        <is>
          <t>WHITE FORD</t>
        </is>
      </c>
      <c r="H1360" s="144" t="n">
        <v>7450</v>
      </c>
      <c r="I1360" s="144" t="inlineStr">
        <is>
          <t>CONTRACTOR</t>
        </is>
      </c>
    </row>
    <row r="1361" ht="18" customHeight="1" s="7">
      <c r="A1361" s="144" t="inlineStr">
        <is>
          <t>KOROL ANDREY</t>
        </is>
      </c>
      <c r="B1361" s="144" t="inlineStr">
        <is>
          <t>125306911 NY</t>
        </is>
      </c>
      <c r="C1361" s="144" t="inlineStr">
        <is>
          <t xml:space="preserve">EM CARGO </t>
        </is>
      </c>
      <c r="D1361" s="144" t="n">
        <v>9172824625</v>
      </c>
      <c r="E1361" s="144" t="inlineStr">
        <is>
          <t>BOX</t>
        </is>
      </c>
      <c r="F1361" s="144" t="inlineStr">
        <is>
          <t>P1173829 IL</t>
        </is>
      </c>
      <c r="G1361" s="144" t="inlineStr">
        <is>
          <t>WHITE FRIEGHTLINER</t>
        </is>
      </c>
      <c r="H1361" s="144" t="n">
        <v>1221</v>
      </c>
      <c r="I1361" s="144" t="inlineStr">
        <is>
          <t>COMMERCIAL</t>
        </is>
      </c>
    </row>
    <row r="1362" ht="18" customHeight="1" s="7">
      <c r="A1362" s="144" t="inlineStr">
        <is>
          <t>JOSHUA LAMB</t>
        </is>
      </c>
      <c r="B1362" s="144" t="inlineStr">
        <is>
          <t>*071718904 GA</t>
        </is>
      </c>
      <c r="C1362" s="144" t="inlineStr">
        <is>
          <t>GEA</t>
        </is>
      </c>
      <c r="D1362" s="144" t="n">
        <v>2298697166</v>
      </c>
      <c r="E1362" s="144" t="inlineStr">
        <is>
          <t>PU</t>
        </is>
      </c>
      <c r="F1362" s="144" t="inlineStr">
        <is>
          <t>RXF3298 GA</t>
        </is>
      </c>
      <c r="G1362" s="144" t="inlineStr">
        <is>
          <t>WHITE FORD</t>
        </is>
      </c>
      <c r="H1362" s="144" t="inlineStr">
        <is>
          <t>GATE 1/5</t>
        </is>
      </c>
      <c r="I1362" s="144" t="inlineStr">
        <is>
          <t>CONTRACTOR</t>
        </is>
      </c>
    </row>
    <row r="1363" ht="18" customHeight="1" s="7">
      <c r="A1363" s="144" t="inlineStr">
        <is>
          <t>SHAWNDELL SMITH</t>
        </is>
      </c>
      <c r="B1363" s="144" t="inlineStr">
        <is>
          <t>*059985573 GA</t>
        </is>
      </c>
      <c r="C1363" s="144" t="inlineStr">
        <is>
          <t>RHC</t>
        </is>
      </c>
      <c r="D1363" s="144" t="n">
        <v>2297770720</v>
      </c>
      <c r="E1363" s="144" t="inlineStr">
        <is>
          <t>PU</t>
        </is>
      </c>
      <c r="F1363" s="144" t="inlineStr">
        <is>
          <t>RZB9802 GA</t>
        </is>
      </c>
      <c r="G1363" s="144" t="inlineStr">
        <is>
          <t>WHITE FORD</t>
        </is>
      </c>
      <c r="H1363" s="144" t="inlineStr">
        <is>
          <t>HOUSING</t>
        </is>
      </c>
      <c r="I1363" s="144" t="inlineStr">
        <is>
          <t>CONTRACTOR</t>
        </is>
      </c>
    </row>
    <row r="1364" ht="18" customHeight="1" s="7">
      <c r="A1364" s="144" t="inlineStr">
        <is>
          <t>ALTIDOR MARC</t>
        </is>
      </c>
      <c r="B1364" s="144" t="inlineStr">
        <is>
          <t>9371124042 IN</t>
        </is>
      </c>
      <c r="C1364" s="144" t="inlineStr">
        <is>
          <t>ADMIRAL MERCHANTS</t>
        </is>
      </c>
      <c r="D1364" s="144" t="n">
        <v>7079770737</v>
      </c>
      <c r="E1364" s="144" t="inlineStr">
        <is>
          <t>FLAT</t>
        </is>
      </c>
      <c r="F1364" s="144" t="inlineStr">
        <is>
          <t>PZB0968 MN</t>
        </is>
      </c>
      <c r="G1364" s="144" t="inlineStr">
        <is>
          <t>WHITE FRIEGHTLINER</t>
        </is>
      </c>
      <c r="H1364" s="144" t="n">
        <v>1221</v>
      </c>
      <c r="I1364" s="144" t="inlineStr">
        <is>
          <t>COMMERCIAL</t>
        </is>
      </c>
    </row>
    <row r="1365" ht="18" customHeight="1" s="7">
      <c r="A1365" s="144" t="inlineStr">
        <is>
          <t>BENNETT ISSAC</t>
        </is>
      </c>
      <c r="B1365" s="144" t="inlineStr">
        <is>
          <t>B629518827000 FL</t>
        </is>
      </c>
      <c r="C1365" s="144" t="inlineStr">
        <is>
          <t>VERITIV</t>
        </is>
      </c>
      <c r="D1365" s="144" t="n">
        <v>8645164508</v>
      </c>
      <c r="E1365" s="144" t="inlineStr">
        <is>
          <t>BOX</t>
        </is>
      </c>
      <c r="F1365" s="144" t="inlineStr">
        <is>
          <t>60ERFS FL</t>
        </is>
      </c>
      <c r="G1365" s="144" t="inlineStr">
        <is>
          <t>WHITE FRIEGHTLINER</t>
        </is>
      </c>
      <c r="H1365" s="144" t="inlineStr">
        <is>
          <t>POWERWORKS</t>
        </is>
      </c>
      <c r="I1365" s="144" t="inlineStr">
        <is>
          <t>COMMERCIAL</t>
        </is>
      </c>
    </row>
    <row r="1366" ht="18" customHeight="1" s="7">
      <c r="A1366" s="144" t="inlineStr">
        <is>
          <t>NATHAN VINING</t>
        </is>
      </c>
      <c r="B1366" s="144" t="inlineStr">
        <is>
          <t>*060857750 GA</t>
        </is>
      </c>
      <c r="C1366" s="144" t="inlineStr">
        <is>
          <t>WILLIAMS FOODS</t>
        </is>
      </c>
      <c r="D1366" s="144" t="n">
        <v>9122928224</v>
      </c>
      <c r="E1366" s="144" t="inlineStr">
        <is>
          <t>BOX</t>
        </is>
      </c>
      <c r="F1366" s="144" t="inlineStr">
        <is>
          <t>GEQ337 GA</t>
        </is>
      </c>
      <c r="G1366" s="144" t="inlineStr">
        <is>
          <t>WHITE VOLVO</t>
        </is>
      </c>
      <c r="H1366" s="144" t="n">
        <v>2200</v>
      </c>
      <c r="I1366" s="144" t="inlineStr">
        <is>
          <t>COMMERCIAL</t>
        </is>
      </c>
    </row>
    <row r="1367" ht="18" customHeight="1" s="7">
      <c r="A1367" s="144" t="inlineStr">
        <is>
          <t>JOHN GALBERT</t>
        </is>
      </c>
      <c r="B1367" s="144" t="inlineStr">
        <is>
          <t>*053398834 GA</t>
        </is>
      </c>
      <c r="C1367" s="144" t="inlineStr">
        <is>
          <t>OXFORD</t>
        </is>
      </c>
      <c r="D1367" s="144" t="n">
        <v>2292568766</v>
      </c>
      <c r="E1367" s="144" t="inlineStr">
        <is>
          <t>FLAT</t>
        </is>
      </c>
      <c r="F1367" s="144" t="inlineStr">
        <is>
          <t>P504AA GA</t>
        </is>
      </c>
      <c r="G1367" s="144" t="inlineStr">
        <is>
          <t>WHITE KENWORTH</t>
        </is>
      </c>
      <c r="H1367" s="144" t="inlineStr">
        <is>
          <t>GATE 1/5</t>
        </is>
      </c>
      <c r="I1367" s="144" t="inlineStr">
        <is>
          <t>COMMERCIAL</t>
        </is>
      </c>
    </row>
    <row r="1368" ht="18" customHeight="1" s="7">
      <c r="A1368" s="144" t="inlineStr">
        <is>
          <t>ABDUSALOMOV DJAMSHED</t>
        </is>
      </c>
      <c r="B1368" s="144" t="inlineStr">
        <is>
          <t>33740607 PA</t>
        </is>
      </c>
      <c r="C1368" s="144" t="inlineStr">
        <is>
          <t>TAXIR</t>
        </is>
      </c>
      <c r="D1368" s="144" t="n">
        <v>3472728623</v>
      </c>
      <c r="E1368" s="144" t="inlineStr">
        <is>
          <t>BOX</t>
        </is>
      </c>
      <c r="F1368" s="144" t="inlineStr">
        <is>
          <t>AH51192 PA</t>
        </is>
      </c>
      <c r="G1368" s="144" t="inlineStr">
        <is>
          <t>WHITE VOLVO</t>
        </is>
      </c>
      <c r="H1368" s="144" t="n">
        <v>1221</v>
      </c>
      <c r="I1368" s="144" t="inlineStr">
        <is>
          <t>COMMERCIAL</t>
        </is>
      </c>
    </row>
    <row r="1369" ht="18" customHeight="1" s="7">
      <c r="A1369" s="144" t="inlineStr">
        <is>
          <t>SHARD BROWN</t>
        </is>
      </c>
      <c r="B1369" s="144" t="inlineStr">
        <is>
          <t>*054053628 GA</t>
        </is>
      </c>
      <c r="C1369" s="144" t="inlineStr">
        <is>
          <t>BROWN ENTERPRISE</t>
        </is>
      </c>
      <c r="D1369" s="144" t="n">
        <v>2297897541</v>
      </c>
      <c r="E1369" s="144" t="inlineStr">
        <is>
          <t>FLAT</t>
        </is>
      </c>
      <c r="F1369" s="144" t="inlineStr">
        <is>
          <t>EJP270 GA</t>
        </is>
      </c>
      <c r="G1369" s="144" t="inlineStr">
        <is>
          <t>YELLOW FREIGHTLINER</t>
        </is>
      </c>
      <c r="H1369" s="144" t="n">
        <v>5501</v>
      </c>
      <c r="I1369" s="144" t="inlineStr">
        <is>
          <t>COMMERCIAL</t>
        </is>
      </c>
    </row>
    <row r="1370" ht="18" customHeight="1" s="7">
      <c r="A1370" s="144" t="inlineStr">
        <is>
          <t>GUY DESSOURCES</t>
        </is>
      </c>
      <c r="B1370" s="144" t="inlineStr">
        <is>
          <t>*070369458 GA</t>
        </is>
      </c>
      <c r="C1370" s="144" t="inlineStr">
        <is>
          <t>MCLANE</t>
        </is>
      </c>
      <c r="D1370" s="144" t="n">
        <v>9046994585</v>
      </c>
      <c r="E1370" s="144" t="inlineStr">
        <is>
          <t>BOX</t>
        </is>
      </c>
      <c r="F1370" s="144" t="inlineStr">
        <is>
          <t>P966235 IL</t>
        </is>
      </c>
      <c r="G1370" s="144" t="inlineStr">
        <is>
          <t>WHITE FRIEGHTLINER</t>
        </is>
      </c>
      <c r="H1370" s="144" t="n">
        <v>7501</v>
      </c>
      <c r="I1370" s="144" t="inlineStr">
        <is>
          <t>COMMERCIAL</t>
        </is>
      </c>
    </row>
    <row r="1371" ht="18" customHeight="1" s="7">
      <c r="A1371" s="144" t="inlineStr">
        <is>
          <t>TIMOTHY TRUAX</t>
        </is>
      </c>
      <c r="B1371" s="144" t="inlineStr">
        <is>
          <t>*047428938 GA</t>
        </is>
      </c>
      <c r="C1371" s="144" t="inlineStr">
        <is>
          <t>OXFORD</t>
        </is>
      </c>
      <c r="D1371" s="144" t="n">
        <v>2293495558</v>
      </c>
      <c r="E1371" s="144" t="inlineStr">
        <is>
          <t>FLAT</t>
        </is>
      </c>
      <c r="F1371" s="144" t="inlineStr">
        <is>
          <t>P583CA GA</t>
        </is>
      </c>
      <c r="G1371" s="144" t="inlineStr">
        <is>
          <t>WHITE MACK</t>
        </is>
      </c>
      <c r="H1371" s="144" t="inlineStr">
        <is>
          <t>GATE 1/5</t>
        </is>
      </c>
      <c r="I1371" s="144" t="inlineStr">
        <is>
          <t>COMMERCIAL</t>
        </is>
      </c>
    </row>
    <row r="1372" ht="18" customHeight="1" s="7">
      <c r="A1372" s="144" t="inlineStr">
        <is>
          <t>IBRAHIM NURU</t>
        </is>
      </c>
      <c r="B1372" s="144" t="inlineStr">
        <is>
          <t>D9577126 CA</t>
        </is>
      </c>
      <c r="C1372" s="144" t="inlineStr">
        <is>
          <t>CA LOGISTIC</t>
        </is>
      </c>
      <c r="D1372" s="144" t="n">
        <v>6194503967</v>
      </c>
      <c r="E1372" s="144" t="inlineStr">
        <is>
          <t>BOX</t>
        </is>
      </c>
      <c r="F1372" s="144" t="inlineStr">
        <is>
          <t>ZP27689 CA</t>
        </is>
      </c>
      <c r="G1372" s="144" t="inlineStr">
        <is>
          <t>TAN VOLVO</t>
        </is>
      </c>
      <c r="H1372" s="144" t="n">
        <v>1221</v>
      </c>
      <c r="I1372" s="144" t="inlineStr">
        <is>
          <t>COMMERCIAL</t>
        </is>
      </c>
    </row>
    <row r="1373" ht="18" customHeight="1" s="7">
      <c r="A1373" s="144" t="inlineStr">
        <is>
          <t>MICHEAL JACKSON</t>
        </is>
      </c>
      <c r="B1373" s="144" t="inlineStr">
        <is>
          <t>*027503137 GA</t>
        </is>
      </c>
      <c r="C1373" s="144" t="inlineStr">
        <is>
          <t>GREEN SIDE</t>
        </is>
      </c>
      <c r="D1373" s="144" t="n">
        <v>2292348545</v>
      </c>
      <c r="E1373" s="144" t="inlineStr">
        <is>
          <t>PU</t>
        </is>
      </c>
      <c r="F1373" s="144" t="inlineStr">
        <is>
          <t>EKE293 GA</t>
        </is>
      </c>
      <c r="G1373" s="144" t="inlineStr">
        <is>
          <t>BLACK FORD</t>
        </is>
      </c>
      <c r="H1373" s="144" t="inlineStr">
        <is>
          <t>HOUSING</t>
        </is>
      </c>
      <c r="I1373" s="144" t="inlineStr">
        <is>
          <t>CONTRACTOR</t>
        </is>
      </c>
    </row>
    <row r="1374" ht="18" customHeight="1" s="7">
      <c r="A1374" s="144" t="inlineStr">
        <is>
          <t>JEFFREY LEYKO</t>
        </is>
      </c>
      <c r="B1374" s="144" t="inlineStr">
        <is>
          <t>L200390777174</t>
        </is>
      </c>
      <c r="C1374" s="144" t="inlineStr">
        <is>
          <t>GREEN VALLEY TRAN</t>
        </is>
      </c>
      <c r="D1374" s="144" t="n">
        <v>2319428060</v>
      </c>
      <c r="E1374" s="144" t="inlineStr">
        <is>
          <t>BOX</t>
        </is>
      </c>
      <c r="F1374" s="144" t="inlineStr">
        <is>
          <t>T8661HY TN</t>
        </is>
      </c>
      <c r="G1374" s="144" t="inlineStr">
        <is>
          <t>GREEN WESTERN</t>
        </is>
      </c>
      <c r="H1374" s="144" t="n">
        <v>1221</v>
      </c>
      <c r="I1374" s="144" t="inlineStr">
        <is>
          <t>COMMERCIAL</t>
        </is>
      </c>
    </row>
    <row r="1375" ht="18" customHeight="1" s="7">
      <c r="A1375" s="144" t="inlineStr">
        <is>
          <t>GERARDO ZULUAGA</t>
        </is>
      </c>
      <c r="B1375" s="144" t="inlineStr">
        <is>
          <t>052913621 GA</t>
        </is>
      </c>
      <c r="C1375" s="144" t="inlineStr">
        <is>
          <t>LIQUID SOLUTIONS</t>
        </is>
      </c>
      <c r="D1375" s="144" t="n">
        <v>8666947327</v>
      </c>
      <c r="E1375" s="144" t="inlineStr">
        <is>
          <t>TANK</t>
        </is>
      </c>
      <c r="F1375" s="144" t="inlineStr">
        <is>
          <t>R692276 TX</t>
        </is>
      </c>
      <c r="G1375" s="144" t="inlineStr">
        <is>
          <t>WHITE KW</t>
        </is>
      </c>
      <c r="H1375" s="144" t="n">
        <v>7500</v>
      </c>
      <c r="I1375" s="144" t="inlineStr">
        <is>
          <t>COMMERCIAL</t>
        </is>
      </c>
    </row>
    <row r="1376" ht="18" customHeight="1" s="7">
      <c r="A1376" s="144" t="inlineStr">
        <is>
          <t>WALTER CROSS</t>
        </is>
      </c>
      <c r="B1376" s="144" t="inlineStr">
        <is>
          <t>052756746 GA</t>
        </is>
      </c>
      <c r="C1376" s="144" t="inlineStr">
        <is>
          <t>OXFORD</t>
        </is>
      </c>
      <c r="D1376" s="144" t="n">
        <v>2294073244</v>
      </c>
      <c r="E1376" s="144" t="inlineStr">
        <is>
          <t>PU</t>
        </is>
      </c>
      <c r="F1376" s="144" t="inlineStr">
        <is>
          <t>RQF5839 GA</t>
        </is>
      </c>
      <c r="G1376" s="144" t="inlineStr">
        <is>
          <t>GREEN FORD</t>
        </is>
      </c>
      <c r="H1376" s="144" t="inlineStr">
        <is>
          <t>GATE 15</t>
        </is>
      </c>
      <c r="I1376" s="144" t="inlineStr">
        <is>
          <t>CONTRACTOR</t>
        </is>
      </c>
    </row>
    <row r="1377" ht="18" customHeight="1" s="7">
      <c r="A1377" s="144" t="inlineStr">
        <is>
          <t>LOGAN BROWN</t>
        </is>
      </c>
      <c r="B1377" s="144" t="inlineStr">
        <is>
          <t>059817761 GA</t>
        </is>
      </c>
      <c r="C1377" s="144" t="inlineStr">
        <is>
          <t>OXFORD</t>
        </is>
      </c>
      <c r="D1377" s="144" t="n">
        <v>2294073245</v>
      </c>
      <c r="E1377" s="144" t="inlineStr">
        <is>
          <t>PU</t>
        </is>
      </c>
      <c r="F1377" s="144" t="inlineStr">
        <is>
          <t>SDL8514 GA</t>
        </is>
      </c>
      <c r="G1377" s="144" t="inlineStr">
        <is>
          <t>GREEN FORD</t>
        </is>
      </c>
      <c r="H1377" s="144" t="inlineStr">
        <is>
          <t>GATE 15</t>
        </is>
      </c>
      <c r="I1377" s="144" t="inlineStr">
        <is>
          <t>CONTRACTOR</t>
        </is>
      </c>
    </row>
    <row r="1378" ht="18" customHeight="1" s="7">
      <c r="A1378" s="144" t="inlineStr">
        <is>
          <t>TIMOTHY PANNELL</t>
        </is>
      </c>
      <c r="B1378" s="144" t="inlineStr">
        <is>
          <t>055482776 GA</t>
        </is>
      </c>
      <c r="C1378" s="144" t="inlineStr">
        <is>
          <t>OXFORD</t>
        </is>
      </c>
      <c r="D1378" s="144" t="n">
        <v>2298862590</v>
      </c>
      <c r="E1378" s="144" t="inlineStr">
        <is>
          <t>PU</t>
        </is>
      </c>
      <c r="F1378" s="144" t="inlineStr">
        <is>
          <t>SGY9741 GA</t>
        </is>
      </c>
      <c r="G1378" s="144" t="inlineStr">
        <is>
          <t>GREEN FORD</t>
        </is>
      </c>
      <c r="H1378" s="144" t="inlineStr">
        <is>
          <t>GATE 15</t>
        </is>
      </c>
      <c r="I1378" s="144" t="inlineStr">
        <is>
          <t>CONTRACTOR</t>
        </is>
      </c>
    </row>
    <row r="1379" ht="18" customHeight="1" s="7">
      <c r="A1379" s="144" t="inlineStr">
        <is>
          <t>BRYAN MERRITT</t>
        </is>
      </c>
      <c r="B1379" s="144" t="inlineStr">
        <is>
          <t>055072118 GA</t>
        </is>
      </c>
      <c r="C1379" s="144" t="inlineStr">
        <is>
          <t>XTREAM</t>
        </is>
      </c>
      <c r="D1379" s="144" t="n">
        <v>2298811184</v>
      </c>
      <c r="E1379" s="144" t="inlineStr">
        <is>
          <t>VAN</t>
        </is>
      </c>
      <c r="F1379" s="144" t="inlineStr">
        <is>
          <t>CLS1409 GA</t>
        </is>
      </c>
      <c r="G1379" s="144" t="inlineStr">
        <is>
          <t>WHITE FORD</t>
        </is>
      </c>
      <c r="H1379" s="144" t="inlineStr">
        <is>
          <t>HOUSING</t>
        </is>
      </c>
      <c r="I1379" s="144" t="inlineStr">
        <is>
          <t>CONTRACTOR</t>
        </is>
      </c>
    </row>
    <row r="1380" ht="18" customHeight="1" s="7">
      <c r="A1380" s="144" t="inlineStr">
        <is>
          <t>JAVIER OROCIO</t>
        </is>
      </c>
      <c r="B1380" s="144" t="inlineStr">
        <is>
          <t>143280992 CO</t>
        </is>
      </c>
      <c r="C1380" s="144" t="inlineStr">
        <is>
          <t>CONCEPTS</t>
        </is>
      </c>
      <c r="D1380" s="144" t="n">
        <v>7208555777</v>
      </c>
      <c r="E1380" s="144" t="inlineStr">
        <is>
          <t>BOX</t>
        </is>
      </c>
      <c r="F1380" s="144" t="inlineStr">
        <is>
          <t>DEV570 CO</t>
        </is>
      </c>
      <c r="G1380" s="144" t="inlineStr">
        <is>
          <t>WHITE FREIGHTLINER</t>
        </is>
      </c>
      <c r="H1380" s="144" t="n">
        <v>1360</v>
      </c>
      <c r="I1380" s="144" t="inlineStr">
        <is>
          <t>COMMERCIAL</t>
        </is>
      </c>
    </row>
    <row r="1381" ht="18" customHeight="1" s="7">
      <c r="A1381" s="144" t="inlineStr">
        <is>
          <t>MATTHEW MEADORS</t>
        </is>
      </c>
      <c r="B1381" s="144" t="inlineStr">
        <is>
          <t>056356647 GA</t>
        </is>
      </c>
      <c r="C1381" s="144" t="inlineStr">
        <is>
          <t>ATLAS ROOFING</t>
        </is>
      </c>
      <c r="D1381" s="144" t="n">
        <v>7068829355</v>
      </c>
      <c r="E1381" s="144" t="inlineStr">
        <is>
          <t>FLAT</t>
        </is>
      </c>
      <c r="F1381" s="144" t="inlineStr">
        <is>
          <t>YMC846 GA</t>
        </is>
      </c>
      <c r="G1381" s="144" t="inlineStr">
        <is>
          <t>WHITE FREIGHTLINER</t>
        </is>
      </c>
      <c r="H1381" s="144" t="inlineStr">
        <is>
          <t>K-9</t>
        </is>
      </c>
      <c r="I1381" s="144" t="inlineStr">
        <is>
          <t>COMMERCIAL</t>
        </is>
      </c>
    </row>
    <row r="1382" ht="18" customHeight="1" s="7">
      <c r="A1382" s="144" t="inlineStr">
        <is>
          <t>DEWAYNE HARRIS</t>
        </is>
      </c>
      <c r="B1382" s="144" t="inlineStr">
        <is>
          <t>048891197 GA</t>
        </is>
      </c>
      <c r="C1382" s="144" t="inlineStr">
        <is>
          <t>OXFORD</t>
        </is>
      </c>
      <c r="D1382" s="144" t="n">
        <v>2294073242</v>
      </c>
      <c r="E1382" s="144" t="inlineStr">
        <is>
          <t>PU</t>
        </is>
      </c>
      <c r="F1382" s="144" t="inlineStr">
        <is>
          <t>TEI6065 GA</t>
        </is>
      </c>
      <c r="G1382" s="144" t="inlineStr">
        <is>
          <t>WHITE FORD</t>
        </is>
      </c>
      <c r="H1382" s="144" t="inlineStr">
        <is>
          <t>GATE 15</t>
        </is>
      </c>
      <c r="I1382" s="144" t="inlineStr">
        <is>
          <t>CONTRACTOR</t>
        </is>
      </c>
    </row>
    <row r="1383" ht="18" customHeight="1" s="7">
      <c r="A1383" s="144" t="inlineStr">
        <is>
          <t>DWAYNE TOOMER</t>
        </is>
      </c>
      <c r="B1383" s="144" t="inlineStr">
        <is>
          <t>053823193 GA</t>
        </is>
      </c>
      <c r="C1383" s="144" t="inlineStr">
        <is>
          <t>SOUTHERN REBAR</t>
        </is>
      </c>
      <c r="D1383" s="144" t="n">
        <v>2293447174</v>
      </c>
      <c r="E1383" s="144" t="inlineStr">
        <is>
          <t>FLAT</t>
        </is>
      </c>
      <c r="F1383" s="144" t="inlineStr">
        <is>
          <t>3842920 IN</t>
        </is>
      </c>
      <c r="G1383" s="144" t="inlineStr">
        <is>
          <t>WHITE INTERNATIONAL</t>
        </is>
      </c>
      <c r="H1383" s="144" t="n">
        <v>7450</v>
      </c>
      <c r="I1383" s="144" t="inlineStr">
        <is>
          <t>COMMERCIAL</t>
        </is>
      </c>
    </row>
    <row r="1384" ht="18" customHeight="1" s="7">
      <c r="A1384" s="144" t="inlineStr">
        <is>
          <t>ANDREJ PIVCEVIC</t>
        </is>
      </c>
      <c r="B1384" s="144" t="inlineStr">
        <is>
          <t>VS683352 OH</t>
        </is>
      </c>
      <c r="C1384" s="144" t="inlineStr">
        <is>
          <t>SJ CONNECT</t>
        </is>
      </c>
      <c r="D1384" s="144" t="n">
        <v>5714848901</v>
      </c>
      <c r="E1384" s="144" t="inlineStr">
        <is>
          <t>BOX</t>
        </is>
      </c>
      <c r="F1384" s="144" t="inlineStr">
        <is>
          <t>PXB2015 OH</t>
        </is>
      </c>
      <c r="G1384" s="144" t="inlineStr">
        <is>
          <t>RED VOLVO</t>
        </is>
      </c>
      <c r="H1384" s="144" t="n">
        <v>1221</v>
      </c>
      <c r="I1384" s="144" t="inlineStr">
        <is>
          <t>COMMERCIAL</t>
        </is>
      </c>
    </row>
    <row r="1385" ht="18" customHeight="1" s="7">
      <c r="A1385" s="144" t="inlineStr">
        <is>
          <t>ABEDOME NIGUSSE</t>
        </is>
      </c>
      <c r="B1385" s="144" t="inlineStr">
        <is>
          <t>41144864 TX</t>
        </is>
      </c>
      <c r="C1385" s="144" t="inlineStr">
        <is>
          <t>DRNG LOGISTICS</t>
        </is>
      </c>
      <c r="D1385" s="144" t="n">
        <v>2145468864</v>
      </c>
      <c r="E1385" s="144" t="inlineStr">
        <is>
          <t>BOX</t>
        </is>
      </c>
      <c r="F1385" s="144" t="inlineStr">
        <is>
          <t>R495526 TX</t>
        </is>
      </c>
      <c r="G1385" s="144" t="inlineStr">
        <is>
          <t>RED INTERNATIONAL</t>
        </is>
      </c>
      <c r="H1385" s="144" t="n">
        <v>1221</v>
      </c>
      <c r="I1385" s="144" t="inlineStr">
        <is>
          <t>COMMERCIAL</t>
        </is>
      </c>
    </row>
    <row r="1386" ht="18" customHeight="1" s="7">
      <c r="A1386" s="144" t="inlineStr">
        <is>
          <t>LONNIE JACKSON</t>
        </is>
      </c>
      <c r="B1386" s="144" t="inlineStr">
        <is>
          <t>062090661 GA</t>
        </is>
      </c>
      <c r="C1386" s="144" t="inlineStr">
        <is>
          <t>IMPERIAL</t>
        </is>
      </c>
      <c r="D1386" s="144" t="n">
        <v>7064272296</v>
      </c>
      <c r="E1386" s="144" t="inlineStr">
        <is>
          <t>BOX</t>
        </is>
      </c>
      <c r="F1386" s="144" t="inlineStr">
        <is>
          <t>YUH434 GA</t>
        </is>
      </c>
      <c r="G1386" s="144" t="inlineStr">
        <is>
          <t>WHITE FREIGHTLINER</t>
        </is>
      </c>
      <c r="H1386" s="144" t="inlineStr">
        <is>
          <t>POWERWORKS</t>
        </is>
      </c>
      <c r="I1386" s="144" t="inlineStr">
        <is>
          <t>COMMERCIAL</t>
        </is>
      </c>
    </row>
    <row r="1387" ht="18" customHeight="1" s="7">
      <c r="A1387" s="144" t="inlineStr">
        <is>
          <t>KERRY SMITH</t>
        </is>
      </c>
      <c r="B1387" s="144" t="inlineStr">
        <is>
          <t>F149523 WV</t>
        </is>
      </c>
      <c r="C1387" s="144" t="inlineStr">
        <is>
          <t>GT EXPRESS</t>
        </is>
      </c>
      <c r="D1387" s="144" t="n">
        <v>3044196661</v>
      </c>
      <c r="E1387" s="144" t="inlineStr">
        <is>
          <t>BOX</t>
        </is>
      </c>
      <c r="F1387" s="144" t="inlineStr">
        <is>
          <t>P1159666 IL</t>
        </is>
      </c>
      <c r="G1387" s="144" t="inlineStr">
        <is>
          <t>BLUE FREIGHTLINER</t>
        </is>
      </c>
      <c r="H1387" s="144" t="n">
        <v>1221</v>
      </c>
      <c r="I1387" s="144" t="inlineStr">
        <is>
          <t>COMMERCIAL</t>
        </is>
      </c>
    </row>
    <row r="1388" ht="18" customHeight="1" s="7">
      <c r="A1388" s="144" t="inlineStr">
        <is>
          <t>LONNIE THOMAS</t>
        </is>
      </c>
      <c r="B1388" s="144" t="inlineStr">
        <is>
          <t>049560060 GA</t>
        </is>
      </c>
      <c r="C1388" s="144" t="inlineStr">
        <is>
          <t>DIAMOND FREIGHT</t>
        </is>
      </c>
      <c r="D1388" s="144" t="n">
        <v>4784847314</v>
      </c>
      <c r="E1388" s="144" t="inlineStr">
        <is>
          <t>FLAT</t>
        </is>
      </c>
      <c r="F1388" s="144" t="inlineStr">
        <is>
          <t>C415EQ GA</t>
        </is>
      </c>
      <c r="G1388" s="144" t="inlineStr">
        <is>
          <t>GRAY FREIGHT</t>
        </is>
      </c>
      <c r="H1388" s="144" t="n">
        <v>1360</v>
      </c>
      <c r="I1388" s="144" t="inlineStr">
        <is>
          <t>COMMERCIAL</t>
        </is>
      </c>
    </row>
    <row r="1389" ht="18" customHeight="1" s="7">
      <c r="A1389" s="144" t="inlineStr">
        <is>
          <t>ELDAR SULEYMANOV</t>
        </is>
      </c>
      <c r="B1389" s="144" t="inlineStr">
        <is>
          <t>SX846356 OH</t>
        </is>
      </c>
      <c r="C1389" s="144" t="inlineStr">
        <is>
          <t>DOUBLE EXPRESS</t>
        </is>
      </c>
      <c r="D1389" s="144" t="n">
        <v>2162550369</v>
      </c>
      <c r="E1389" s="144" t="inlineStr">
        <is>
          <t>BOX</t>
        </is>
      </c>
      <c r="F1389" s="144" t="inlineStr">
        <is>
          <t>PWA3780 OH</t>
        </is>
      </c>
      <c r="G1389" s="144" t="inlineStr">
        <is>
          <t>GREEN VOLVO</t>
        </is>
      </c>
      <c r="H1389" s="144" t="n">
        <v>1221</v>
      </c>
      <c r="I1389" s="144" t="inlineStr">
        <is>
          <t>COMMERCIAL</t>
        </is>
      </c>
    </row>
    <row r="1390" ht="18" customHeight="1" s="7">
      <c r="A1390" s="144" t="inlineStr">
        <is>
          <t>HAMMOND EDWARD</t>
        </is>
      </c>
      <c r="B1390" s="144" t="inlineStr">
        <is>
          <t>E240570 WV</t>
        </is>
      </c>
      <c r="C1390" s="144" t="inlineStr">
        <is>
          <t>GR EXPRESS</t>
        </is>
      </c>
      <c r="D1390" s="144" t="n">
        <v>3043826633</v>
      </c>
      <c r="E1390" s="144" t="inlineStr">
        <is>
          <t>BOX</t>
        </is>
      </c>
      <c r="F1390" s="144" t="inlineStr">
        <is>
          <t>P1245157 IL</t>
        </is>
      </c>
      <c r="G1390" s="144" t="inlineStr">
        <is>
          <t>WHITE PETERBILT</t>
        </is>
      </c>
      <c r="H1390" s="144" t="n">
        <v>1221</v>
      </c>
      <c r="I1390" s="144" t="inlineStr">
        <is>
          <t>COMMERCIAL</t>
        </is>
      </c>
    </row>
    <row r="1391" ht="18" customHeight="1" s="7">
      <c r="A1391" s="144" t="inlineStr">
        <is>
          <t>OCHILOV OTABEK</t>
        </is>
      </c>
      <c r="B1391" s="144" t="inlineStr">
        <is>
          <t>190822708 NY</t>
        </is>
      </c>
      <c r="C1391" s="144" t="inlineStr">
        <is>
          <t>GOZAL INC</t>
        </is>
      </c>
      <c r="D1391" s="144" t="n">
        <v>9177552024</v>
      </c>
      <c r="E1391" s="144" t="inlineStr">
        <is>
          <t>BOX</t>
        </is>
      </c>
      <c r="F1391" s="144" t="inlineStr">
        <is>
          <t>PXB5875 OH</t>
        </is>
      </c>
      <c r="G1391" s="144" t="inlineStr">
        <is>
          <t>WHITE FRIEGHTLINER</t>
        </is>
      </c>
      <c r="H1391" s="144" t="n">
        <v>1340</v>
      </c>
      <c r="I1391" s="144" t="inlineStr">
        <is>
          <t>COMMERCIAL</t>
        </is>
      </c>
    </row>
    <row r="1392" ht="18" customHeight="1" s="7">
      <c r="A1392" s="144" t="inlineStr">
        <is>
          <t>CODEY BROWN</t>
        </is>
      </c>
      <c r="B1392" s="144" t="inlineStr">
        <is>
          <t>054675171 GA</t>
        </is>
      </c>
      <c r="C1392" s="144" t="inlineStr">
        <is>
          <t>M&amp;M</t>
        </is>
      </c>
      <c r="D1392" s="144" t="n">
        <v>8003536225</v>
      </c>
      <c r="E1392" s="144" t="inlineStr">
        <is>
          <t>VAN</t>
        </is>
      </c>
      <c r="F1392" s="144" t="inlineStr">
        <is>
          <t>SFD6865 GA</t>
        </is>
      </c>
      <c r="G1392" s="144" t="inlineStr">
        <is>
          <t>WHITE FORD</t>
        </is>
      </c>
      <c r="H1392" s="144" t="n">
        <v>1330</v>
      </c>
      <c r="I1392" s="144" t="inlineStr">
        <is>
          <t>CONTRACTOR</t>
        </is>
      </c>
    </row>
    <row r="1393" ht="18" customHeight="1" s="7">
      <c r="A1393" s="144" t="inlineStr">
        <is>
          <t>MIGUELINA VARGAS</t>
        </is>
      </c>
      <c r="B1393" s="144" t="inlineStr">
        <is>
          <t>*072050416 GA</t>
        </is>
      </c>
      <c r="C1393" s="144" t="inlineStr">
        <is>
          <t>DIAMOND FREIGHT</t>
        </is>
      </c>
      <c r="D1393" s="144" t="n">
        <v>8622628868</v>
      </c>
      <c r="E1393" s="144" t="inlineStr">
        <is>
          <t>BOX</t>
        </is>
      </c>
      <c r="F1393" s="144" t="inlineStr">
        <is>
          <t>AZ653A NJ</t>
        </is>
      </c>
      <c r="G1393" s="144" t="inlineStr">
        <is>
          <t>WHITE VOLVO</t>
        </is>
      </c>
      <c r="H1393" s="144" t="n">
        <v>1360</v>
      </c>
      <c r="I1393" s="144" t="inlineStr">
        <is>
          <t>COMMERCIAL</t>
        </is>
      </c>
    </row>
    <row r="1394" ht="18" customHeight="1" s="7">
      <c r="A1394" s="144" t="inlineStr">
        <is>
          <t>BRISENO ROSEANNA</t>
        </is>
      </c>
      <c r="B1394" s="144" t="inlineStr">
        <is>
          <t>20268557 TX</t>
        </is>
      </c>
      <c r="C1394" s="144" t="inlineStr">
        <is>
          <t>LOGISTICS ADVENTURES</t>
        </is>
      </c>
      <c r="D1394" s="144" t="n">
        <v>2109029695</v>
      </c>
      <c r="E1394" s="144" t="inlineStr">
        <is>
          <t>BOX</t>
        </is>
      </c>
      <c r="F1394" s="144" t="inlineStr">
        <is>
          <t>WVR816 SC</t>
        </is>
      </c>
      <c r="G1394" s="144" t="inlineStr">
        <is>
          <t>YELLOW FORD</t>
        </is>
      </c>
      <c r="H1394" s="144" t="n">
        <v>1361</v>
      </c>
      <c r="I1394" s="144" t="inlineStr">
        <is>
          <t>COMMERCIAL</t>
        </is>
      </c>
    </row>
    <row r="1395" ht="18" customHeight="1" s="7">
      <c r="A1395" s="144" t="inlineStr">
        <is>
          <t>TASHAYE HARRIS</t>
        </is>
      </c>
      <c r="B1395" s="144" t="inlineStr">
        <is>
          <t>060424727 GA</t>
        </is>
      </c>
      <c r="C1395" s="144" t="inlineStr">
        <is>
          <t>EQUIPMENT SHARE</t>
        </is>
      </c>
      <c r="D1395" s="144" t="n">
        <v>9127591873</v>
      </c>
      <c r="E1395" s="144" t="inlineStr">
        <is>
          <t>PU</t>
        </is>
      </c>
      <c r="F1395" s="144" t="inlineStr">
        <is>
          <t>3737278 IN</t>
        </is>
      </c>
      <c r="G1395" s="144" t="inlineStr">
        <is>
          <t>WHITE DODGE</t>
        </is>
      </c>
      <c r="H1395" s="144" t="n">
        <v>1221</v>
      </c>
      <c r="I1395" s="144" t="inlineStr">
        <is>
          <t>COMMERCIAL</t>
        </is>
      </c>
    </row>
    <row r="1396" ht="18" customHeight="1" s="7">
      <c r="A1396" s="144" t="inlineStr">
        <is>
          <t>SALAS ANTUNA</t>
        </is>
      </c>
      <c r="B1396" s="144" t="inlineStr">
        <is>
          <t>7910005097 IN</t>
        </is>
      </c>
      <c r="C1396" s="144" t="inlineStr">
        <is>
          <t>DIAMOND FREIGHT</t>
        </is>
      </c>
      <c r="D1396" s="144" t="n">
        <v>8474503588</v>
      </c>
      <c r="E1396" s="144" t="inlineStr">
        <is>
          <t>BOX</t>
        </is>
      </c>
      <c r="F1396" s="144" t="inlineStr">
        <is>
          <t>3691919 IN</t>
        </is>
      </c>
      <c r="G1396" s="144" t="inlineStr">
        <is>
          <t>BLACK KW</t>
        </is>
      </c>
      <c r="H1396" s="144" t="n">
        <v>1360</v>
      </c>
      <c r="I1396" s="144" t="inlineStr">
        <is>
          <t>COMMERCIAL</t>
        </is>
      </c>
    </row>
    <row r="1397" ht="18" customHeight="1" s="7">
      <c r="A1397" s="144" t="inlineStr">
        <is>
          <t>TEN YURI</t>
        </is>
      </c>
      <c r="B1397" s="144" t="inlineStr">
        <is>
          <t>T237074076000</t>
        </is>
      </c>
      <c r="C1397" s="144" t="inlineStr">
        <is>
          <t>CSI CARGO</t>
        </is>
      </c>
      <c r="D1397" s="144" t="n">
        <v>7275044357</v>
      </c>
      <c r="E1397" s="144" t="inlineStr">
        <is>
          <t>BOX</t>
        </is>
      </c>
      <c r="F1397" s="144" t="inlineStr">
        <is>
          <t>P1176483 IL</t>
        </is>
      </c>
      <c r="G1397" s="144" t="inlineStr">
        <is>
          <t>WHITE VOLVO</t>
        </is>
      </c>
      <c r="H1397" s="144" t="n">
        <v>1221</v>
      </c>
      <c r="I1397" s="144" t="inlineStr">
        <is>
          <t>COMMERCIAL</t>
        </is>
      </c>
    </row>
    <row r="1398" ht="18" customHeight="1" s="7">
      <c r="A1398" s="144" t="inlineStr">
        <is>
          <t>JOSEPH FLOYD</t>
        </is>
      </c>
      <c r="B1398" s="144" t="inlineStr">
        <is>
          <t>050982916 GA</t>
        </is>
      </c>
      <c r="C1398" s="144" t="inlineStr">
        <is>
          <t>DIAMOND INC</t>
        </is>
      </c>
      <c r="D1398" s="144" t="n">
        <v>9127632905</v>
      </c>
      <c r="E1398" s="144" t="inlineStr">
        <is>
          <t>BOX</t>
        </is>
      </c>
      <c r="F1398" s="144" t="inlineStr">
        <is>
          <t>R665852 TX</t>
        </is>
      </c>
      <c r="G1398" s="144" t="inlineStr">
        <is>
          <t>WHITE VOLVO</t>
        </is>
      </c>
      <c r="H1398" s="144" t="n">
        <v>1221</v>
      </c>
      <c r="I1398" s="144" t="inlineStr">
        <is>
          <t>COMMERCIAL</t>
        </is>
      </c>
    </row>
    <row r="1399" ht="18" customHeight="1" s="7">
      <c r="A1399" s="144" t="inlineStr">
        <is>
          <t>STEVEN MEDLOCK</t>
        </is>
      </c>
      <c r="B1399" s="144" t="inlineStr">
        <is>
          <t>051452779 GA</t>
        </is>
      </c>
      <c r="C1399" s="144" t="inlineStr">
        <is>
          <t>UPS</t>
        </is>
      </c>
      <c r="D1399" s="144" t="n">
        <v>2293438329</v>
      </c>
      <c r="E1399" s="144" t="inlineStr">
        <is>
          <t>BOX</t>
        </is>
      </c>
      <c r="F1399" s="144" t="inlineStr">
        <is>
          <t>XTL757 GA</t>
        </is>
      </c>
      <c r="G1399" s="144" t="inlineStr">
        <is>
          <t>BROWN</t>
        </is>
      </c>
      <c r="H1399" s="144" t="n">
        <v>1221</v>
      </c>
      <c r="I1399" s="144" t="inlineStr">
        <is>
          <t>CONTRACTOR</t>
        </is>
      </c>
    </row>
    <row r="1400" ht="18" customHeight="1" s="7">
      <c r="A1400" s="144" t="inlineStr">
        <is>
          <t>CLAUDE ERIC</t>
        </is>
      </c>
      <c r="B1400" s="144" t="inlineStr">
        <is>
          <t>035466628 GA</t>
        </is>
      </c>
      <c r="C1400" s="144" t="inlineStr">
        <is>
          <t>JOHNSTON</t>
        </is>
      </c>
      <c r="D1400" s="144" t="n">
        <v>4789733757</v>
      </c>
      <c r="E1400" s="144" t="inlineStr">
        <is>
          <t>BOX</t>
        </is>
      </c>
      <c r="F1400" s="144" t="inlineStr">
        <is>
          <t>XC1369 GA</t>
        </is>
      </c>
      <c r="G1400" s="144" t="inlineStr">
        <is>
          <t>WHITE FREIGHTLINER</t>
        </is>
      </c>
      <c r="H1400" s="144" t="n">
        <v>1221</v>
      </c>
      <c r="I1400" s="144" t="inlineStr">
        <is>
          <t>CONTRACTOR</t>
        </is>
      </c>
    </row>
    <row r="1401" ht="18" customHeight="1" s="7">
      <c r="A1401" s="144" t="inlineStr">
        <is>
          <t>MONTEGOMERY TEHRAN</t>
        </is>
      </c>
      <c r="B1401" s="144" t="inlineStr">
        <is>
          <t>M532812664420 FL</t>
        </is>
      </c>
      <c r="C1401" s="144" t="inlineStr">
        <is>
          <t>YK EXPRESS</t>
        </is>
      </c>
      <c r="D1401" s="144" t="n">
        <v>9046735464</v>
      </c>
      <c r="E1401" s="144" t="inlineStr">
        <is>
          <t>FLAT</t>
        </is>
      </c>
      <c r="F1401" s="144" t="inlineStr">
        <is>
          <t xml:space="preserve">AC41FM FL </t>
        </is>
      </c>
      <c r="G1401" s="144" t="inlineStr">
        <is>
          <t>WHITE FL</t>
        </is>
      </c>
      <c r="H1401" s="144" t="n">
        <v>1221</v>
      </c>
      <c r="I1401" s="144" t="inlineStr">
        <is>
          <t>COMMERCIAL</t>
        </is>
      </c>
    </row>
    <row r="1402" ht="18" customHeight="1" s="7">
      <c r="A1402" s="144" t="inlineStr">
        <is>
          <t>BENITEZ SATURNINO</t>
        </is>
      </c>
      <c r="B1402" s="144" t="inlineStr">
        <is>
          <t>16852309 TX</t>
        </is>
      </c>
      <c r="C1402" s="144" t="inlineStr">
        <is>
          <t>HAWK TRANSPORTATION</t>
        </is>
      </c>
      <c r="D1402" s="144" t="n">
        <v>9152748321</v>
      </c>
      <c r="E1402" s="144" t="inlineStr">
        <is>
          <t>BOX</t>
        </is>
      </c>
      <c r="F1402" s="144" t="inlineStr">
        <is>
          <t>R456215 TX</t>
        </is>
      </c>
      <c r="G1402" s="144" t="inlineStr">
        <is>
          <t>WHITE VOLVO</t>
        </is>
      </c>
      <c r="H1402" s="144" t="n">
        <v>1221</v>
      </c>
      <c r="I1402" s="144" t="inlineStr">
        <is>
          <t>COMMERCIAL</t>
        </is>
      </c>
    </row>
    <row r="1403" ht="18" customHeight="1" s="7">
      <c r="A1403" s="144" t="inlineStr">
        <is>
          <t>MAURICE POSEY</t>
        </is>
      </c>
      <c r="B1403" s="144" t="inlineStr">
        <is>
          <t>60591348 GA</t>
        </is>
      </c>
      <c r="C1403" s="144" t="inlineStr">
        <is>
          <t>KSM CARRIER</t>
        </is>
      </c>
      <c r="D1403" s="144" t="n">
        <v>7867578924</v>
      </c>
      <c r="E1403" s="144" t="inlineStr">
        <is>
          <t>BOX</t>
        </is>
      </c>
      <c r="F1403" s="144" t="inlineStr">
        <is>
          <t>P1220511 IL</t>
        </is>
      </c>
      <c r="G1403" s="144" t="inlineStr">
        <is>
          <t>WHITE KENWORTH</t>
        </is>
      </c>
      <c r="H1403" s="144" t="n">
        <v>1221</v>
      </c>
      <c r="I1403" s="144" t="inlineStr">
        <is>
          <t>COMMERCIAL</t>
        </is>
      </c>
    </row>
    <row r="1404" ht="18" customHeight="1" s="7">
      <c r="A1404" s="144" t="inlineStr">
        <is>
          <t>MICHAEL WILLIAMSON</t>
        </is>
      </c>
      <c r="B1404" s="144" t="inlineStr">
        <is>
          <t>053312312 GA</t>
        </is>
      </c>
      <c r="C1404" s="144" t="inlineStr">
        <is>
          <t>TITAN LLC</t>
        </is>
      </c>
      <c r="D1404" s="144" t="n">
        <v>4045208372</v>
      </c>
      <c r="E1404" s="144" t="inlineStr">
        <is>
          <t>BOX</t>
        </is>
      </c>
      <c r="F1404" s="144" t="inlineStr">
        <is>
          <t>C587DQ GA</t>
        </is>
      </c>
      <c r="G1404" s="144" t="inlineStr">
        <is>
          <t>SILVER FREIGHTLINER</t>
        </is>
      </c>
      <c r="H1404" s="144" t="n">
        <v>1360</v>
      </c>
      <c r="I1404" s="144" t="inlineStr">
        <is>
          <t>COMMERCIAL</t>
        </is>
      </c>
    </row>
    <row r="1405" ht="18" customHeight="1" s="7">
      <c r="A1405" s="144" t="inlineStr">
        <is>
          <t>BRANDON MCCARTY</t>
        </is>
      </c>
      <c r="B1405" s="144" t="inlineStr">
        <is>
          <t>060099923 GA</t>
        </is>
      </c>
      <c r="C1405" s="144" t="inlineStr">
        <is>
          <t>MEDIACOM</t>
        </is>
      </c>
      <c r="D1405" s="144" t="n">
        <v>8454210111</v>
      </c>
      <c r="E1405" s="144" t="inlineStr">
        <is>
          <t>VAN</t>
        </is>
      </c>
      <c r="F1405" s="144" t="inlineStr">
        <is>
          <t>RMG8383 GA</t>
        </is>
      </c>
      <c r="G1405" s="144" t="inlineStr">
        <is>
          <t>FORD, WHITE</t>
        </is>
      </c>
      <c r="H1405" s="144" t="n">
        <v>2500</v>
      </c>
      <c r="I1405" s="144" t="inlineStr">
        <is>
          <t>CONTRACTOR</t>
        </is>
      </c>
    </row>
    <row r="1406" ht="18" customHeight="1" s="7">
      <c r="A1406" s="144" t="inlineStr">
        <is>
          <t>FLORES DEL TORO</t>
        </is>
      </c>
      <c r="B1406" s="144" t="inlineStr">
        <is>
          <t>50714980 TX</t>
        </is>
      </c>
      <c r="C1406" s="144" t="inlineStr">
        <is>
          <t>BUO TRANSPORTATION</t>
        </is>
      </c>
      <c r="D1406" s="144" t="n">
        <v>9154227326</v>
      </c>
      <c r="E1406" s="144" t="inlineStr">
        <is>
          <t>BOX</t>
        </is>
      </c>
      <c r="F1406" s="144" t="inlineStr">
        <is>
          <t>R536706 TX</t>
        </is>
      </c>
      <c r="G1406" s="144" t="inlineStr">
        <is>
          <t>RED PETERBILT</t>
        </is>
      </c>
      <c r="H1406" s="144" t="n">
        <v>1221</v>
      </c>
      <c r="I1406" s="144" t="inlineStr">
        <is>
          <t>COMMERCIAL</t>
        </is>
      </c>
    </row>
    <row r="1407" ht="18" customHeight="1" s="7">
      <c r="A1407" s="144" t="inlineStr">
        <is>
          <t>SKIPPER SAMUAL</t>
        </is>
      </c>
      <c r="B1407" s="144" t="inlineStr">
        <is>
          <t>800128938 MS</t>
        </is>
      </c>
      <c r="C1407" s="144" t="inlineStr">
        <is>
          <t>RMS HOTSHOT</t>
        </is>
      </c>
      <c r="D1407" s="144" t="n">
        <v>6013103975</v>
      </c>
      <c r="E1407" s="144" t="inlineStr">
        <is>
          <t>PU</t>
        </is>
      </c>
      <c r="F1407" s="144" t="inlineStr">
        <is>
          <t>A521347 MS</t>
        </is>
      </c>
      <c r="G1407" s="144" t="inlineStr">
        <is>
          <t>WHITE DODGE</t>
        </is>
      </c>
      <c r="H1407" s="144" t="n">
        <v>1351</v>
      </c>
      <c r="I1407" s="144" t="inlineStr">
        <is>
          <t>CONTRACTOR</t>
        </is>
      </c>
    </row>
    <row r="1408" ht="18" customHeight="1" s="7">
      <c r="A1408" s="144" t="inlineStr">
        <is>
          <t>LOWE ALAN JR</t>
        </is>
      </c>
      <c r="B1408" s="144" t="inlineStr">
        <is>
          <t>L0001413010</t>
        </is>
      </c>
      <c r="C1408" s="144" t="inlineStr">
        <is>
          <t>NOVEL INC</t>
        </is>
      </c>
      <c r="D1408" s="144" t="n">
        <v>4078008350</v>
      </c>
      <c r="E1408" s="144" t="inlineStr">
        <is>
          <t>BOX</t>
        </is>
      </c>
      <c r="F1408" s="144" t="inlineStr">
        <is>
          <t>P1103124 IL</t>
        </is>
      </c>
      <c r="G1408" s="144" t="inlineStr">
        <is>
          <t>BLUE VOLVO</t>
        </is>
      </c>
      <c r="H1408" s="144" t="n">
        <v>1221</v>
      </c>
      <c r="I1408" s="144" t="inlineStr">
        <is>
          <t>COMMERCIAL</t>
        </is>
      </c>
    </row>
    <row r="1409" ht="18" customHeight="1" s="7">
      <c r="A1409" s="144" t="inlineStr">
        <is>
          <t>ROBERT PRICE</t>
        </is>
      </c>
      <c r="B1409" s="144" t="inlineStr">
        <is>
          <t>*049666402 GA</t>
        </is>
      </c>
      <c r="C1409" s="144" t="inlineStr">
        <is>
          <t>OXFORD</t>
        </is>
      </c>
      <c r="D1409" s="144" t="n">
        <v>2298693430</v>
      </c>
      <c r="E1409" s="144" t="inlineStr">
        <is>
          <t>TANK</t>
        </is>
      </c>
      <c r="F1409" s="144" t="inlineStr">
        <is>
          <t>GAF947 GA</t>
        </is>
      </c>
      <c r="G1409" s="144" t="inlineStr">
        <is>
          <t>WHITE KW</t>
        </is>
      </c>
      <c r="H1409" s="144" t="inlineStr">
        <is>
          <t>GATE 15</t>
        </is>
      </c>
      <c r="I1409" s="144" t="inlineStr">
        <is>
          <t>COMMERCIAL</t>
        </is>
      </c>
    </row>
    <row r="1410" ht="18" customHeight="1" s="7">
      <c r="A1410" s="144" t="inlineStr">
        <is>
          <t>GARRET RICE</t>
        </is>
      </c>
      <c r="B1410" s="144" t="inlineStr">
        <is>
          <t>*059601050 GA</t>
        </is>
      </c>
      <c r="C1410" s="144" t="inlineStr">
        <is>
          <t>METRO POWER</t>
        </is>
      </c>
      <c r="D1410" s="144" t="n">
        <v>2295835289</v>
      </c>
      <c r="E1410" s="144" t="inlineStr">
        <is>
          <t>PU</t>
        </is>
      </c>
      <c r="F1410" s="144" t="inlineStr">
        <is>
          <t>CPV8074 GA</t>
        </is>
      </c>
      <c r="G1410" s="144" t="inlineStr">
        <is>
          <t>WHITE CHEVY</t>
        </is>
      </c>
      <c r="H1410" s="144" t="inlineStr">
        <is>
          <t>VA</t>
        </is>
      </c>
      <c r="I1410" s="144" t="inlineStr">
        <is>
          <t>CONTRACTOR</t>
        </is>
      </c>
    </row>
    <row r="1411" ht="18" customHeight="1" s="7">
      <c r="A1411" s="144" t="inlineStr">
        <is>
          <t>RODRIGUEZ BROOKE LN</t>
        </is>
      </c>
      <c r="B1411" s="144" t="inlineStr">
        <is>
          <t>R362420812890</t>
        </is>
      </c>
      <c r="C1411" s="144" t="inlineStr">
        <is>
          <t>AAT CARRIERS</t>
        </is>
      </c>
      <c r="D1411" s="144" t="n">
        <v>3529890831</v>
      </c>
      <c r="E1411" s="144" t="inlineStr">
        <is>
          <t>BOX</t>
        </is>
      </c>
      <c r="F1411" s="144" t="inlineStr">
        <is>
          <t>3553433 IN</t>
        </is>
      </c>
      <c r="G1411" s="144" t="inlineStr">
        <is>
          <t>WHITE VOLVO</t>
        </is>
      </c>
      <c r="H1411" s="144" t="n">
        <v>1221</v>
      </c>
      <c r="I1411" s="144" t="inlineStr">
        <is>
          <t>COMMERCIAL</t>
        </is>
      </c>
    </row>
    <row r="1412" ht="18" customHeight="1" s="7">
      <c r="A1412" s="144" t="inlineStr">
        <is>
          <t>ORR JEFF</t>
        </is>
      </c>
      <c r="B1412" s="144" t="inlineStr">
        <is>
          <t>47211185 TX</t>
        </is>
      </c>
      <c r="C1412" s="144" t="inlineStr">
        <is>
          <t>XLG</t>
        </is>
      </c>
      <c r="D1412" s="144" t="n">
        <v>7608815622</v>
      </c>
      <c r="E1412" s="144" t="inlineStr">
        <is>
          <t>FLAT</t>
        </is>
      </c>
      <c r="F1412" s="144" t="inlineStr">
        <is>
          <t>3091837 IN</t>
        </is>
      </c>
      <c r="G1412" s="144" t="inlineStr">
        <is>
          <t>YELLOW KW</t>
        </is>
      </c>
      <c r="H1412" s="144" t="n">
        <v>1221</v>
      </c>
      <c r="I1412" s="144" t="inlineStr">
        <is>
          <t>COMMERCIAL</t>
        </is>
      </c>
    </row>
    <row r="1413" ht="18" customHeight="1" s="7">
      <c r="A1413" s="144" t="inlineStr">
        <is>
          <t>MACOMB SHAWN</t>
        </is>
      </c>
      <c r="B1413" s="144" t="inlineStr">
        <is>
          <t>13775094 TX</t>
        </is>
      </c>
      <c r="C1413" s="144" t="inlineStr">
        <is>
          <t>SHERIDAN LOGISTICS</t>
        </is>
      </c>
      <c r="D1413" s="144" t="n">
        <v>9103812026</v>
      </c>
      <c r="E1413" s="144" t="inlineStr">
        <is>
          <t>FLAT</t>
        </is>
      </c>
      <c r="F1413" s="144" t="inlineStr">
        <is>
          <t>3LA166 OK</t>
        </is>
      </c>
      <c r="G1413" s="144" t="inlineStr">
        <is>
          <t>PURPLE PETERBILT</t>
        </is>
      </c>
      <c r="H1413" s="144" t="n">
        <v>1221</v>
      </c>
      <c r="I1413" s="144" t="inlineStr">
        <is>
          <t>COMMERCIAL</t>
        </is>
      </c>
    </row>
    <row r="1414" ht="18" customHeight="1" s="7">
      <c r="A1414" s="144" t="inlineStr">
        <is>
          <t>PINEDA LUCIANO</t>
        </is>
      </c>
      <c r="B1414" s="144" t="inlineStr">
        <is>
          <t>P530520631730 FL</t>
        </is>
      </c>
      <c r="C1414" s="144" t="inlineStr">
        <is>
          <t>MOVERS TAX</t>
        </is>
      </c>
      <c r="D1414" s="144" t="n">
        <v>8636346720</v>
      </c>
      <c r="E1414" s="144" t="inlineStr">
        <is>
          <t>VAN</t>
        </is>
      </c>
      <c r="F1414" s="144" t="inlineStr">
        <is>
          <t>SJQ6148 GA</t>
        </is>
      </c>
      <c r="G1414" s="144" t="inlineStr">
        <is>
          <t>WHITE DODGE</t>
        </is>
      </c>
      <c r="H1414" s="144" t="inlineStr">
        <is>
          <t>HOUSING</t>
        </is>
      </c>
      <c r="I1414" s="144" t="inlineStr">
        <is>
          <t>CONTRACTOR</t>
        </is>
      </c>
    </row>
    <row r="1415" ht="18" customHeight="1" s="7">
      <c r="A1415" s="144" t="inlineStr">
        <is>
          <t>KOLTON DAMEROW</t>
        </is>
      </c>
      <c r="B1415" s="144" t="inlineStr">
        <is>
          <t>*060721742 GA</t>
        </is>
      </c>
      <c r="C1415" s="144" t="inlineStr">
        <is>
          <t>MEDIACOM</t>
        </is>
      </c>
      <c r="D1415" s="144" t="n">
        <v>2294078834</v>
      </c>
      <c r="E1415" s="144" t="inlineStr">
        <is>
          <t>VAN</t>
        </is>
      </c>
      <c r="F1415" s="144" t="inlineStr">
        <is>
          <t>SJU1437 GA</t>
        </is>
      </c>
      <c r="G1415" s="144" t="inlineStr">
        <is>
          <t>WHITE FORD</t>
        </is>
      </c>
      <c r="H1415" s="144" t="n">
        <v>1360</v>
      </c>
      <c r="I1415" s="144" t="inlineStr">
        <is>
          <t>CONTRACTOR</t>
        </is>
      </c>
    </row>
    <row r="1416" ht="18" customHeight="1" s="7">
      <c r="A1416" s="144" t="inlineStr">
        <is>
          <t>RENKEN BRAIN</t>
        </is>
      </c>
      <c r="B1416" s="144" t="inlineStr">
        <is>
          <t>R52507868249 IL</t>
        </is>
      </c>
      <c r="C1416" s="144" t="inlineStr">
        <is>
          <t>K TRUCKING</t>
        </is>
      </c>
      <c r="D1416" s="144" t="n">
        <v>2174143589</v>
      </c>
      <c r="E1416" s="144" t="inlineStr">
        <is>
          <t>FLAT</t>
        </is>
      </c>
      <c r="F1416" s="144" t="inlineStr">
        <is>
          <t>222631 NE</t>
        </is>
      </c>
      <c r="G1416" s="144" t="inlineStr">
        <is>
          <t>BLUE KENWORTH</t>
        </is>
      </c>
      <c r="H1416" s="144" t="n">
        <v>1221</v>
      </c>
      <c r="I1416" s="144" t="inlineStr">
        <is>
          <t>COMMERCIAL</t>
        </is>
      </c>
    </row>
    <row r="1417" ht="18" customHeight="1" s="7">
      <c r="A1417" s="144" t="inlineStr">
        <is>
          <t xml:space="preserve">REESE JASSAVIA </t>
        </is>
      </c>
      <c r="B1417" s="144" t="inlineStr">
        <is>
          <t>36239491 TX</t>
        </is>
      </c>
      <c r="C1417" s="144" t="inlineStr">
        <is>
          <t>TRI STATE</t>
        </is>
      </c>
      <c r="D1417" s="144" t="n">
        <v>9032581996</v>
      </c>
      <c r="E1417" s="144" t="inlineStr">
        <is>
          <t>BOX</t>
        </is>
      </c>
      <c r="F1417" s="144" t="inlineStr">
        <is>
          <t>AL15247 AZ</t>
        </is>
      </c>
      <c r="G1417" s="144" t="inlineStr">
        <is>
          <t>SILVER KENWORTH</t>
        </is>
      </c>
      <c r="H1417" s="144" t="n">
        <v>1221</v>
      </c>
      <c r="I1417" s="144" t="inlineStr">
        <is>
          <t>COMMERCIAL</t>
        </is>
      </c>
    </row>
    <row r="1418" ht="18" customHeight="1" s="7">
      <c r="A1418" s="144" t="inlineStr">
        <is>
          <t>LARIE INGLE</t>
        </is>
      </c>
      <c r="B1418" s="144" t="inlineStr">
        <is>
          <t>5367278 AL</t>
        </is>
      </c>
      <c r="C1418" s="144" t="inlineStr">
        <is>
          <t>COVAN</t>
        </is>
      </c>
      <c r="D1418" s="144" t="n">
        <v>3346186075</v>
      </c>
      <c r="E1418" s="144" t="inlineStr">
        <is>
          <t>BOX</t>
        </is>
      </c>
      <c r="F1418" s="144" t="inlineStr">
        <is>
          <t>1175990 AL</t>
        </is>
      </c>
      <c r="G1418" s="144" t="inlineStr">
        <is>
          <t>WHITE MITSUBISHI</t>
        </is>
      </c>
      <c r="H1418" s="144" t="inlineStr">
        <is>
          <t>HOUSING</t>
        </is>
      </c>
      <c r="I1418" s="144" t="inlineStr">
        <is>
          <t>COMMERCIAL</t>
        </is>
      </c>
    </row>
    <row r="1419" ht="18" customHeight="1" s="7">
      <c r="A1419" s="144" t="inlineStr">
        <is>
          <t>JOSHUA WILLIS</t>
        </is>
      </c>
      <c r="B1419" s="144" t="inlineStr">
        <is>
          <t>056289944 GA</t>
        </is>
      </c>
      <c r="C1419" s="144" t="inlineStr">
        <is>
          <t>PLANKS</t>
        </is>
      </c>
      <c r="D1419" s="144" t="n">
        <v>2292249393</v>
      </c>
      <c r="E1419" s="144" t="inlineStr">
        <is>
          <t>FLAT</t>
        </is>
      </c>
      <c r="F1419" s="144" t="inlineStr">
        <is>
          <t>GKJ771 GA</t>
        </is>
      </c>
      <c r="G1419" s="144" t="inlineStr">
        <is>
          <t>WHITE INTERNATIONAL</t>
        </is>
      </c>
      <c r="H1419" s="144" t="n">
        <v>5500</v>
      </c>
      <c r="I1419" s="144" t="inlineStr">
        <is>
          <t>CONTRACTOR</t>
        </is>
      </c>
    </row>
    <row r="1420" ht="18" customHeight="1" s="7">
      <c r="A1420" s="144" t="inlineStr">
        <is>
          <t xml:space="preserve">PEYTON MATTHEWS </t>
        </is>
      </c>
      <c r="B1420" s="144" t="inlineStr">
        <is>
          <t>*061011732 GA</t>
        </is>
      </c>
      <c r="C1420" s="144" t="inlineStr">
        <is>
          <t>TB&amp;J</t>
        </is>
      </c>
      <c r="D1420" s="144" t="n">
        <v>2292889533</v>
      </c>
      <c r="E1420" s="144" t="inlineStr">
        <is>
          <t>PU</t>
        </is>
      </c>
      <c r="F1420" s="144" t="inlineStr">
        <is>
          <t>DBQ8072GA</t>
        </is>
      </c>
      <c r="G1420" s="144" t="inlineStr">
        <is>
          <t>WHITE FORD</t>
        </is>
      </c>
      <c r="H1420" s="144" t="n">
        <v>3500</v>
      </c>
      <c r="I1420" s="144" t="inlineStr">
        <is>
          <t>CONTRACTOR</t>
        </is>
      </c>
    </row>
    <row r="1421" ht="18" customHeight="1" s="7">
      <c r="A1421" s="144" t="inlineStr">
        <is>
          <t>SARDALOV VATANOVICH</t>
        </is>
      </c>
      <c r="B1421" s="144" t="inlineStr">
        <is>
          <t>U200105012 MO</t>
        </is>
      </c>
      <c r="C1421" s="144" t="inlineStr">
        <is>
          <t>EXPRESS TRUCKING</t>
        </is>
      </c>
      <c r="D1421" s="144" t="n">
        <v>3147453715</v>
      </c>
      <c r="E1421" s="144" t="inlineStr">
        <is>
          <t>BOX</t>
        </is>
      </c>
      <c r="F1421" s="144" t="inlineStr">
        <is>
          <t>005783A KY</t>
        </is>
      </c>
      <c r="G1421" s="144" t="inlineStr">
        <is>
          <t>WHITE KENWORTH</t>
        </is>
      </c>
      <c r="H1421" s="144" t="n">
        <v>1221</v>
      </c>
      <c r="I1421" s="144" t="inlineStr">
        <is>
          <t>COMMERCIAL</t>
        </is>
      </c>
    </row>
    <row r="1422" ht="18" customHeight="1" s="7">
      <c r="A1422" s="144" t="inlineStr">
        <is>
          <t>JACOBIAN SEALEY</t>
        </is>
      </c>
      <c r="B1422" s="144" t="inlineStr">
        <is>
          <t>*056145284 GA</t>
        </is>
      </c>
      <c r="C1422" s="144" t="inlineStr">
        <is>
          <t>ABMERE</t>
        </is>
      </c>
      <c r="D1422" s="144" t="n">
        <v>907019802</v>
      </c>
      <c r="E1422" s="144" t="inlineStr">
        <is>
          <t>BOX</t>
        </is>
      </c>
      <c r="F1422" s="144" t="inlineStr">
        <is>
          <t>C7065A GA</t>
        </is>
      </c>
      <c r="G1422" s="144" t="inlineStr">
        <is>
          <t>WHITE FRIEGHTLINER</t>
        </is>
      </c>
      <c r="H1422" s="144" t="n">
        <v>1221</v>
      </c>
      <c r="I1422" s="144" t="inlineStr">
        <is>
          <t>COMMERCIAL</t>
        </is>
      </c>
    </row>
    <row r="1423" ht="18" customHeight="1" s="7">
      <c r="A1423" s="144" t="inlineStr">
        <is>
          <t>PEACOCK ADARYLL</t>
        </is>
      </c>
      <c r="B1423" s="144" t="inlineStr">
        <is>
          <t>P220010722070 FL</t>
        </is>
      </c>
      <c r="C1423" s="144" t="inlineStr">
        <is>
          <t xml:space="preserve">PEACOCK </t>
        </is>
      </c>
      <c r="D1423" s="144" t="n">
        <v>8503689182</v>
      </c>
      <c r="E1423" s="144" t="inlineStr">
        <is>
          <t>BOX</t>
        </is>
      </c>
      <c r="F1423" s="144" t="inlineStr">
        <is>
          <t>75AJMN FL</t>
        </is>
      </c>
      <c r="G1423" s="144" t="inlineStr">
        <is>
          <t>WHITE FRIEGHTLINER</t>
        </is>
      </c>
      <c r="H1423" s="144" t="n">
        <v>1221</v>
      </c>
      <c r="I1423" s="144" t="inlineStr">
        <is>
          <t>COMMERCIAL</t>
        </is>
      </c>
    </row>
    <row r="1424" ht="18" customHeight="1" s="7">
      <c r="A1424" s="144" t="inlineStr">
        <is>
          <t>ARTHUR MAYS</t>
        </is>
      </c>
      <c r="B1424" s="144" t="inlineStr">
        <is>
          <t>*056484061 GA</t>
        </is>
      </c>
      <c r="C1424" s="144" t="inlineStr">
        <is>
          <t>ABMERE</t>
        </is>
      </c>
      <c r="D1424" s="144" t="n">
        <v>2293095069</v>
      </c>
      <c r="E1424" s="144" t="inlineStr">
        <is>
          <t>BOX</t>
        </is>
      </c>
      <c r="F1424" s="144" t="inlineStr">
        <is>
          <t>C933EX GA</t>
        </is>
      </c>
      <c r="G1424" s="144" t="inlineStr">
        <is>
          <t>BLACK PETERBILT</t>
        </is>
      </c>
      <c r="H1424" s="144" t="n">
        <v>1221</v>
      </c>
      <c r="I1424" s="144" t="inlineStr">
        <is>
          <t>COMMERCIAL</t>
        </is>
      </c>
    </row>
    <row r="1425" ht="18" customHeight="1" s="7">
      <c r="A1425" s="144" t="inlineStr">
        <is>
          <t xml:space="preserve">NAZARCHUK ANDREY </t>
        </is>
      </c>
      <c r="B1425" s="144" t="inlineStr">
        <is>
          <t>WDL7RTZB78SB WA</t>
        </is>
      </c>
      <c r="C1425" s="144" t="inlineStr">
        <is>
          <t>JATO LOGISTICS</t>
        </is>
      </c>
      <c r="D1425" s="144" t="n">
        <v>5092171924</v>
      </c>
      <c r="E1425" s="144" t="inlineStr">
        <is>
          <t>FLAT</t>
        </is>
      </c>
      <c r="F1425" s="144" t="inlineStr">
        <is>
          <t>RP18119 WA</t>
        </is>
      </c>
      <c r="G1425" s="144" t="inlineStr">
        <is>
          <t>WHITE VOLVO</t>
        </is>
      </c>
      <c r="H1425" s="144" t="n">
        <v>1221</v>
      </c>
      <c r="I1425" s="144" t="inlineStr">
        <is>
          <t>COMMERCIAL</t>
        </is>
      </c>
    </row>
    <row r="1426" ht="18" customHeight="1" s="7">
      <c r="A1426" s="144" t="inlineStr">
        <is>
          <t>ZALAIKAH THOMPSON</t>
        </is>
      </c>
      <c r="B1426" s="144" t="inlineStr">
        <is>
          <t>*060567674 GA</t>
        </is>
      </c>
      <c r="C1426" s="144" t="inlineStr">
        <is>
          <t>INNOVATIVE</t>
        </is>
      </c>
      <c r="D1426" s="144" t="n">
        <v>2298818972</v>
      </c>
      <c r="E1426" s="144" t="inlineStr">
        <is>
          <t>VAN</t>
        </is>
      </c>
      <c r="F1426" s="144" t="inlineStr">
        <is>
          <t>VTM804 SC</t>
        </is>
      </c>
      <c r="G1426" s="144" t="inlineStr">
        <is>
          <t>WHITE DODGE</t>
        </is>
      </c>
      <c r="H1426" s="144" t="n">
        <v>1330</v>
      </c>
      <c r="I1426" s="144" t="inlineStr">
        <is>
          <t>CONTRACTOR</t>
        </is>
      </c>
    </row>
    <row r="1427" ht="18" customHeight="1" s="7">
      <c r="A1427" s="144" t="inlineStr">
        <is>
          <t xml:space="preserve">WASHINGTON WILLIE </t>
        </is>
      </c>
      <c r="B1427" s="144" t="inlineStr">
        <is>
          <t>0000231785345 NC</t>
        </is>
      </c>
      <c r="C1427" s="144" t="inlineStr">
        <is>
          <t>TRIPLE 3</t>
        </is>
      </c>
      <c r="D1427" s="144" t="n">
        <v>2523500263</v>
      </c>
      <c r="E1427" s="144" t="inlineStr">
        <is>
          <t>BOX</t>
        </is>
      </c>
      <c r="F1427" s="144" t="inlineStr">
        <is>
          <t>VW3761 NC</t>
        </is>
      </c>
      <c r="G1427" s="144" t="inlineStr">
        <is>
          <t>WHITE FRIEGHTLINER</t>
        </is>
      </c>
      <c r="H1427" s="144" t="n">
        <v>1221</v>
      </c>
      <c r="I1427" s="144" t="inlineStr">
        <is>
          <t>COMMERCIAL</t>
        </is>
      </c>
    </row>
    <row r="1428" ht="18" customHeight="1" s="7">
      <c r="A1428" s="144" t="inlineStr">
        <is>
          <t>STEPHEN FENZEL</t>
        </is>
      </c>
      <c r="B1428" s="144" t="inlineStr">
        <is>
          <t>*059220498 GA</t>
        </is>
      </c>
      <c r="C1428" s="144" t="inlineStr">
        <is>
          <t>VAIKIN</t>
        </is>
      </c>
      <c r="D1428" s="144" t="n">
        <v>706366296</v>
      </c>
      <c r="E1428" s="144" t="inlineStr">
        <is>
          <t>PU</t>
        </is>
      </c>
      <c r="F1428" s="144" t="inlineStr">
        <is>
          <t>YNU539 GA</t>
        </is>
      </c>
      <c r="G1428" s="144" t="inlineStr">
        <is>
          <t>WHITE FORD</t>
        </is>
      </c>
      <c r="H1428" s="144" t="n">
        <v>1210</v>
      </c>
      <c r="I1428" s="144" t="inlineStr">
        <is>
          <t>CONTRACTOR</t>
        </is>
      </c>
    </row>
    <row r="1429" ht="18" customHeight="1" s="7">
      <c r="A1429" s="144" t="inlineStr">
        <is>
          <t>VONTE ERVIN</t>
        </is>
      </c>
      <c r="B1429" s="144" t="inlineStr">
        <is>
          <t>*061838441 GA</t>
        </is>
      </c>
      <c r="C1429" s="144" t="inlineStr">
        <is>
          <t>VAIKIN</t>
        </is>
      </c>
      <c r="D1429" s="144" t="n">
        <v>4782782193</v>
      </c>
      <c r="E1429" s="144" t="inlineStr">
        <is>
          <t>PU</t>
        </is>
      </c>
      <c r="F1429" s="144" t="inlineStr">
        <is>
          <t>TEQ4696 GA</t>
        </is>
      </c>
      <c r="G1429" s="144" t="inlineStr">
        <is>
          <t>WHITE FORD</t>
        </is>
      </c>
      <c r="H1429" s="144" t="n">
        <v>1210</v>
      </c>
      <c r="I1429" s="144" t="inlineStr">
        <is>
          <t>CONTRACTOR</t>
        </is>
      </c>
    </row>
    <row r="1430" ht="18" customHeight="1" s="7">
      <c r="A1430" s="144" t="inlineStr">
        <is>
          <t>KEVIN THOMAS</t>
        </is>
      </c>
      <c r="B1430" s="144" t="inlineStr">
        <is>
          <t>*051282986 GA</t>
        </is>
      </c>
      <c r="C1430" s="144" t="inlineStr">
        <is>
          <t>CUMMINGS</t>
        </is>
      </c>
      <c r="D1430" s="144" t="n">
        <v>22989546827</v>
      </c>
      <c r="E1430" s="144" t="inlineStr">
        <is>
          <t>PU</t>
        </is>
      </c>
      <c r="F1430" s="144" t="inlineStr">
        <is>
          <t>RPT6935 GA</t>
        </is>
      </c>
      <c r="G1430" s="144" t="inlineStr">
        <is>
          <t>WHITE DODGE</t>
        </is>
      </c>
      <c r="H1430" s="144" t="n">
        <v>2611</v>
      </c>
      <c r="I1430" s="144" t="inlineStr">
        <is>
          <t>CONTRACTOR</t>
        </is>
      </c>
    </row>
    <row r="1431" ht="18" customHeight="1" s="7">
      <c r="A1431" s="144" t="inlineStr">
        <is>
          <t>HENRI SIMON</t>
        </is>
      </c>
      <c r="B1431" s="144" t="inlineStr">
        <is>
          <t>S550323863450 FL</t>
        </is>
      </c>
      <c r="C1431" s="144" t="inlineStr">
        <is>
          <t>BOB TRUCKING</t>
        </is>
      </c>
      <c r="D1431" s="144" t="n">
        <v>9547019269</v>
      </c>
      <c r="E1431" s="144" t="inlineStr">
        <is>
          <t>BOX</t>
        </is>
      </c>
      <c r="F1431" s="144" t="inlineStr">
        <is>
          <t>XE317I FL</t>
        </is>
      </c>
      <c r="G1431" s="144" t="inlineStr">
        <is>
          <t>RED FRIEGHTLINER</t>
        </is>
      </c>
      <c r="H1431" s="144" t="n">
        <v>1221</v>
      </c>
      <c r="I1431" s="144" t="inlineStr">
        <is>
          <t>COMMERCIAL</t>
        </is>
      </c>
    </row>
    <row r="1432" ht="18" customHeight="1" s="7">
      <c r="A1432" s="144" t="inlineStr">
        <is>
          <t>DIEDRE GOODMAN</t>
        </is>
      </c>
      <c r="B1432" s="144" t="inlineStr">
        <is>
          <t>10840134 AL</t>
        </is>
      </c>
      <c r="C1432" s="144" t="inlineStr">
        <is>
          <t>SPARTAN NASH</t>
        </is>
      </c>
      <c r="D1432" s="144" t="n">
        <v>8437831010</v>
      </c>
      <c r="E1432" s="144" t="inlineStr">
        <is>
          <t>BOX</t>
        </is>
      </c>
      <c r="F1432" s="144" t="inlineStr">
        <is>
          <t>220363 NE</t>
        </is>
      </c>
      <c r="G1432" s="144" t="inlineStr">
        <is>
          <t>WHITE INTER</t>
        </is>
      </c>
      <c r="H1432" s="144" t="n">
        <v>7501</v>
      </c>
      <c r="I1432" s="144" t="inlineStr">
        <is>
          <t>COMMERCIAL</t>
        </is>
      </c>
    </row>
    <row r="1433" ht="18" customHeight="1" s="7">
      <c r="A1433" s="144" t="inlineStr">
        <is>
          <t>DAVID M BUTLER</t>
        </is>
      </c>
      <c r="B1433" s="144" t="inlineStr">
        <is>
          <t>*011764535 GA</t>
        </is>
      </c>
      <c r="C1433" s="144" t="inlineStr">
        <is>
          <t>FEDEX</t>
        </is>
      </c>
      <c r="D1433" s="144" t="n">
        <v>2298865676</v>
      </c>
      <c r="E1433" s="144" t="inlineStr">
        <is>
          <t>BOX</t>
        </is>
      </c>
      <c r="F1433" s="144" t="inlineStr">
        <is>
          <t>3745956 IN</t>
        </is>
      </c>
      <c r="G1433" s="144" t="inlineStr">
        <is>
          <t>WHITE KW</t>
        </is>
      </c>
      <c r="H1433" s="144" t="inlineStr">
        <is>
          <t>BASEWIDE</t>
        </is>
      </c>
      <c r="I1433" s="144" t="inlineStr">
        <is>
          <t>COMMERCIAL</t>
        </is>
      </c>
    </row>
    <row r="1434" ht="18" customHeight="1" s="7">
      <c r="A1434" s="144" t="inlineStr">
        <is>
          <t>JOSHUA WARNER</t>
        </is>
      </c>
      <c r="B1434" s="144" t="inlineStr">
        <is>
          <t>12671199 TX</t>
        </is>
      </c>
      <c r="C1434" s="144" t="inlineStr">
        <is>
          <t>ALFA TECH EXPRESS</t>
        </is>
      </c>
      <c r="D1434" s="144" t="n">
        <v>8175002060</v>
      </c>
      <c r="E1434" s="144" t="inlineStr">
        <is>
          <t>PU</t>
        </is>
      </c>
      <c r="F1434" s="144" t="inlineStr">
        <is>
          <t>SRL6595 TX</t>
        </is>
      </c>
      <c r="G1434" s="144" t="inlineStr">
        <is>
          <t>WHITE DODGE</t>
        </is>
      </c>
      <c r="H1434" s="144" t="n">
        <v>1221</v>
      </c>
      <c r="I1434" s="144" t="inlineStr">
        <is>
          <t>CONTRACTOR</t>
        </is>
      </c>
    </row>
    <row r="1435" ht="18" customHeight="1" s="7">
      <c r="A1435" s="144" t="inlineStr">
        <is>
          <t>JOHN WHELAND</t>
        </is>
      </c>
      <c r="B1435" s="144" t="inlineStr">
        <is>
          <t>22802072 PA</t>
        </is>
      </c>
      <c r="C1435" s="144" t="inlineStr">
        <is>
          <t xml:space="preserve">MJ DANIELS </t>
        </is>
      </c>
      <c r="D1435" s="144" t="n">
        <v>8143227996</v>
      </c>
      <c r="E1435" s="144" t="inlineStr">
        <is>
          <t>BOX</t>
        </is>
      </c>
      <c r="F1435" s="144" t="inlineStr">
        <is>
          <t>AH64236 PA</t>
        </is>
      </c>
      <c r="G1435" s="144" t="inlineStr">
        <is>
          <t>BLACK KENWORTH</t>
        </is>
      </c>
      <c r="H1435" s="144" t="n">
        <v>2500</v>
      </c>
      <c r="I1435" s="144" t="inlineStr">
        <is>
          <t>COMMERCIAL</t>
        </is>
      </c>
    </row>
    <row r="1436" ht="18" customHeight="1" s="7">
      <c r="A1436" s="144" t="inlineStr">
        <is>
          <t>CHRISTOPHER MARO</t>
        </is>
      </c>
      <c r="B1436" s="144" t="inlineStr">
        <is>
          <t>*058171478 GA</t>
        </is>
      </c>
      <c r="C1436" s="144" t="inlineStr">
        <is>
          <t>DAIKIN</t>
        </is>
      </c>
      <c r="D1436" s="144" t="n">
        <v>4705092251</v>
      </c>
      <c r="E1436" s="144" t="inlineStr">
        <is>
          <t>PU</t>
        </is>
      </c>
      <c r="F1436" s="144" t="inlineStr">
        <is>
          <t>DBN1661 GA</t>
        </is>
      </c>
      <c r="G1436" s="144" t="inlineStr">
        <is>
          <t>WHITE FORD</t>
        </is>
      </c>
      <c r="H1436" s="144" t="n">
        <v>1210</v>
      </c>
      <c r="I1436" s="144" t="inlineStr">
        <is>
          <t>CONTRACTOR</t>
        </is>
      </c>
    </row>
    <row r="1437" ht="18" customHeight="1" s="7">
      <c r="A1437" s="144" t="inlineStr">
        <is>
          <t>NIKITA CHUMAKOV</t>
        </is>
      </c>
      <c r="B1437" s="144" t="inlineStr">
        <is>
          <t xml:space="preserve">C238662196000 FL </t>
        </is>
      </c>
      <c r="C1437" s="144" t="inlineStr">
        <is>
          <t>BSL EXPRESS</t>
        </is>
      </c>
      <c r="D1437" s="144" t="n">
        <v>9412846026</v>
      </c>
      <c r="E1437" s="144" t="inlineStr">
        <is>
          <t>BOX</t>
        </is>
      </c>
      <c r="F1437" s="144" t="inlineStr">
        <is>
          <t>P1091687 IL</t>
        </is>
      </c>
      <c r="G1437" s="144" t="inlineStr">
        <is>
          <t>RED KENWORTH</t>
        </is>
      </c>
      <c r="H1437" s="144" t="n">
        <v>1221</v>
      </c>
      <c r="I1437" s="144" t="inlineStr">
        <is>
          <t>COMMERCIAL</t>
        </is>
      </c>
    </row>
    <row r="1438" ht="18" customHeight="1" s="7">
      <c r="A1438" s="144" t="inlineStr">
        <is>
          <t>MICHAEL KERNER</t>
        </is>
      </c>
      <c r="B1438" s="144" t="inlineStr">
        <is>
          <t>*000024931689 NC</t>
        </is>
      </c>
      <c r="C1438" s="144" t="inlineStr">
        <is>
          <t>E-MAC TRANSPORT</t>
        </is>
      </c>
      <c r="D1438" s="144" t="n">
        <v>9104701561</v>
      </c>
      <c r="E1438" s="144" t="inlineStr">
        <is>
          <t>BOX</t>
        </is>
      </c>
      <c r="F1438" s="144" t="inlineStr">
        <is>
          <t>NM5305 NC</t>
        </is>
      </c>
      <c r="G1438" s="144" t="inlineStr">
        <is>
          <t>WHITE  VOLVO</t>
        </is>
      </c>
      <c r="H1438" s="144" t="n">
        <v>1221</v>
      </c>
      <c r="I1438" s="144" t="inlineStr">
        <is>
          <t>COMMERCIAL</t>
        </is>
      </c>
    </row>
    <row r="1439" ht="18" customHeight="1" s="7">
      <c r="A1439" s="144" t="inlineStr">
        <is>
          <t>PATRICK CROSBY</t>
        </is>
      </c>
      <c r="B1439" s="144" t="inlineStr">
        <is>
          <t>*036551224 GA</t>
        </is>
      </c>
      <c r="C1439" s="144" t="inlineStr">
        <is>
          <t xml:space="preserve"> CLEAN HARBOR</t>
        </is>
      </c>
      <c r="D1439" s="144" t="n">
        <v>8038001507</v>
      </c>
      <c r="E1439" s="144" t="inlineStr">
        <is>
          <t>BOX</t>
        </is>
      </c>
      <c r="F1439" s="144" t="inlineStr">
        <is>
          <t>P994500 IL</t>
        </is>
      </c>
      <c r="G1439" s="144" t="inlineStr">
        <is>
          <t>RED PETERBILT</t>
        </is>
      </c>
      <c r="H1439" s="144" t="n">
        <v>1627</v>
      </c>
      <c r="I1439" s="144" t="inlineStr">
        <is>
          <t>COMMERCIAL</t>
        </is>
      </c>
    </row>
    <row r="1440" ht="18" customHeight="1" s="7">
      <c r="A1440" s="144" t="inlineStr">
        <is>
          <t>JOEL PENA</t>
        </is>
      </c>
      <c r="B1440" s="144" t="inlineStr">
        <is>
          <t>P500430824540 FL</t>
        </is>
      </c>
      <c r="C1440" s="144" t="inlineStr">
        <is>
          <t>MATRIX</t>
        </is>
      </c>
      <c r="D1440" s="144" t="n">
        <v>8636322930</v>
      </c>
      <c r="E1440" s="144" t="inlineStr">
        <is>
          <t>BOX</t>
        </is>
      </c>
      <c r="F1440" s="144" t="inlineStr">
        <is>
          <t>P1055051 IL</t>
        </is>
      </c>
      <c r="G1440" s="144" t="inlineStr">
        <is>
          <t>BLUE VOLVO</t>
        </is>
      </c>
      <c r="H1440" s="144" t="n">
        <v>1221</v>
      </c>
      <c r="I1440" s="144" t="inlineStr">
        <is>
          <t>COMMERCIAL</t>
        </is>
      </c>
    </row>
    <row r="1441" ht="18" customHeight="1" s="7">
      <c r="A1441" s="144" t="inlineStr">
        <is>
          <t>KEVIN ERICKSON</t>
        </is>
      </c>
      <c r="B1441" s="144" t="inlineStr">
        <is>
          <t>D04238380 AZ</t>
        </is>
      </c>
      <c r="C1441" s="144" t="inlineStr">
        <is>
          <t>LANDSTAR</t>
        </is>
      </c>
      <c r="D1441" s="144" t="n">
        <v>4802668244</v>
      </c>
      <c r="E1441" s="144" t="inlineStr">
        <is>
          <t>FLAT</t>
        </is>
      </c>
      <c r="F1441" s="144" t="inlineStr">
        <is>
          <t>3220667 IN</t>
        </is>
      </c>
      <c r="G1441" s="144" t="inlineStr">
        <is>
          <t>GREY KENWORTH</t>
        </is>
      </c>
      <c r="H1441" s="144" t="n">
        <v>1301</v>
      </c>
      <c r="I1441" s="144" t="inlineStr">
        <is>
          <t>COMMERCIAL</t>
        </is>
      </c>
    </row>
    <row r="1442" ht="18" customHeight="1" s="7">
      <c r="A1442" s="144" t="inlineStr">
        <is>
          <t>IVAN SEPULVEDA</t>
        </is>
      </c>
      <c r="B1442" s="144" t="inlineStr">
        <is>
          <t>S141404904280 FL</t>
        </is>
      </c>
      <c r="C1442" s="144" t="inlineStr">
        <is>
          <t xml:space="preserve">GC </t>
        </is>
      </c>
      <c r="D1442" s="144" t="n">
        <v>8133703747</v>
      </c>
      <c r="E1442" s="144" t="inlineStr">
        <is>
          <t>BOX</t>
        </is>
      </c>
      <c r="F1442" s="144" t="inlineStr">
        <is>
          <t>P1134980 IL</t>
        </is>
      </c>
      <c r="G1442" s="144" t="inlineStr">
        <is>
          <t>BLACK KENWORTH</t>
        </is>
      </c>
      <c r="H1442" s="144" t="n">
        <v>1221</v>
      </c>
      <c r="I1442" s="144" t="inlineStr">
        <is>
          <t>COMMERCIAL</t>
        </is>
      </c>
    </row>
    <row r="1443" ht="18" customHeight="1" s="7">
      <c r="A1443" s="144" t="inlineStr">
        <is>
          <t>CHRISTOPHER KNAPP</t>
        </is>
      </c>
      <c r="B1443" s="144" t="inlineStr">
        <is>
          <t>K510115724290 FL</t>
        </is>
      </c>
      <c r="C1443" s="144" t="inlineStr">
        <is>
          <t>YK EXPRESS</t>
        </is>
      </c>
      <c r="D1443" s="144" t="n">
        <v>8132703705</v>
      </c>
      <c r="E1443" s="144" t="inlineStr">
        <is>
          <t>FLAT</t>
        </is>
      </c>
      <c r="F1443" s="144" t="inlineStr">
        <is>
          <t>AC75FA FL</t>
        </is>
      </c>
      <c r="G1443" s="144" t="inlineStr">
        <is>
          <t>RED VOLVO</t>
        </is>
      </c>
      <c r="H1443" s="144" t="n">
        <v>1221</v>
      </c>
      <c r="I1443" s="144" t="inlineStr">
        <is>
          <t>COMMERCIAL</t>
        </is>
      </c>
    </row>
    <row r="1444" ht="18" customHeight="1" s="7">
      <c r="A1444" s="144" t="inlineStr">
        <is>
          <t>RINAT MAKHIIANOV</t>
        </is>
      </c>
      <c r="B1444" s="144" t="inlineStr">
        <is>
          <t>M251720870680 FL</t>
        </is>
      </c>
      <c r="C1444" s="144" t="inlineStr">
        <is>
          <t>KG CARAVAN</t>
        </is>
      </c>
      <c r="D1444" s="144" t="n">
        <v>3059541859</v>
      </c>
      <c r="E1444" s="144" t="inlineStr">
        <is>
          <t>FLAT</t>
        </is>
      </c>
      <c r="F1444" s="144" t="inlineStr">
        <is>
          <t>P1278348 IL</t>
        </is>
      </c>
      <c r="G1444" s="144" t="inlineStr">
        <is>
          <t>WHITE FREIGHTLINER</t>
        </is>
      </c>
      <c r="H1444" s="144" t="n">
        <v>1221</v>
      </c>
      <c r="I1444" s="144" t="inlineStr">
        <is>
          <t>COMMERCIAL</t>
        </is>
      </c>
    </row>
    <row r="1445" ht="18" customHeight="1" s="7">
      <c r="A1445" s="144" t="inlineStr">
        <is>
          <t>LOPEZ ROBERTO</t>
        </is>
      </c>
      <c r="B1445" s="144" t="inlineStr">
        <is>
          <t>L122720560280 FL</t>
        </is>
      </c>
      <c r="C1445" s="144" t="inlineStr">
        <is>
          <t>KINGS EAGLE</t>
        </is>
      </c>
      <c r="D1445" s="144" t="n">
        <v>7865622366</v>
      </c>
      <c r="E1445" s="144" t="inlineStr">
        <is>
          <t>FLAT</t>
        </is>
      </c>
      <c r="F1445" s="144" t="inlineStr">
        <is>
          <t>DF34CH FL</t>
        </is>
      </c>
      <c r="G1445" s="144" t="inlineStr">
        <is>
          <t>GREEN FREIGHTLINER</t>
        </is>
      </c>
      <c r="H1445" s="144" t="n">
        <v>1221</v>
      </c>
      <c r="I1445" s="144" t="inlineStr">
        <is>
          <t>COMMERCIAL</t>
        </is>
      </c>
    </row>
    <row r="1446" ht="18" customHeight="1" s="7">
      <c r="A1446" s="144" t="inlineStr">
        <is>
          <t>TUZYAK ROMAN</t>
        </is>
      </c>
      <c r="B1446" s="144" t="inlineStr">
        <is>
          <t>T220720621010 FL</t>
        </is>
      </c>
      <c r="C1446" s="144" t="inlineStr">
        <is>
          <t>LANDSTAR</t>
        </is>
      </c>
      <c r="D1446" s="144" t="n">
        <v>9046356652</v>
      </c>
      <c r="E1446" s="144" t="inlineStr">
        <is>
          <t>BOX</t>
        </is>
      </c>
      <c r="F1446" s="144" t="inlineStr">
        <is>
          <t>2629709 IN</t>
        </is>
      </c>
      <c r="G1446" s="144" t="inlineStr">
        <is>
          <t>WHITE FREIGHTLINER</t>
        </is>
      </c>
      <c r="H1446" s="144" t="n">
        <v>1221</v>
      </c>
      <c r="I1446" s="144" t="inlineStr">
        <is>
          <t>COMMERCIAL</t>
        </is>
      </c>
    </row>
    <row r="1447" ht="18" customHeight="1" s="7">
      <c r="A1447" s="144" t="inlineStr">
        <is>
          <t>DUNN HERBERT</t>
        </is>
      </c>
      <c r="B1447" s="144" t="inlineStr">
        <is>
          <t>*002536674 LA</t>
        </is>
      </c>
      <c r="C1447" s="144" t="inlineStr">
        <is>
          <t>HEAVY TRANS</t>
        </is>
      </c>
      <c r="D1447" s="144" t="n">
        <v>3373054760</v>
      </c>
      <c r="E1447" s="144" t="inlineStr">
        <is>
          <t>PU</t>
        </is>
      </c>
      <c r="F1447" s="144" t="inlineStr">
        <is>
          <t>20151819 LA</t>
        </is>
      </c>
      <c r="G1447" s="144" t="inlineStr">
        <is>
          <t>GRAY DODGE</t>
        </is>
      </c>
      <c r="H1447" s="144" t="n">
        <v>1350</v>
      </c>
      <c r="I1447" s="144" t="inlineStr">
        <is>
          <t>CONTRACTOR</t>
        </is>
      </c>
    </row>
    <row r="1448" ht="18" customHeight="1" s="7">
      <c r="A1448" s="144" t="inlineStr">
        <is>
          <t>CHARLES WILLIAMS</t>
        </is>
      </c>
      <c r="B1448" s="144" t="inlineStr">
        <is>
          <t>*032162819 GA</t>
        </is>
      </c>
      <c r="C1448" s="144" t="inlineStr">
        <is>
          <t>WESCO</t>
        </is>
      </c>
      <c r="D1448" s="144" t="n">
        <v>2292918214</v>
      </c>
      <c r="E1448" s="144" t="inlineStr">
        <is>
          <t>VAN</t>
        </is>
      </c>
      <c r="F1448" s="144" t="inlineStr">
        <is>
          <t>SEW0273 GA</t>
        </is>
      </c>
      <c r="G1448" s="144" t="inlineStr">
        <is>
          <t>WHITE CHEVY</t>
        </is>
      </c>
      <c r="H1448" s="144" t="n">
        <v>1330</v>
      </c>
      <c r="I1448" s="144" t="inlineStr">
        <is>
          <t>CONTRACTOR</t>
        </is>
      </c>
    </row>
    <row r="1449" ht="18" customHeight="1" s="7">
      <c r="A1449" s="144" t="inlineStr">
        <is>
          <t xml:space="preserve">ADAM LLOYD </t>
        </is>
      </c>
      <c r="B1449" s="144" t="inlineStr">
        <is>
          <t>*051644476 GA</t>
        </is>
      </c>
      <c r="C1449" s="144" t="inlineStr">
        <is>
          <t>IPP</t>
        </is>
      </c>
      <c r="D1449" s="144" t="n">
        <v>4709816802</v>
      </c>
      <c r="E1449" s="144" t="inlineStr">
        <is>
          <t>BOX</t>
        </is>
      </c>
      <c r="F1449" s="144" t="inlineStr">
        <is>
          <t>C631EV GA</t>
        </is>
      </c>
      <c r="G1449" s="144" t="inlineStr">
        <is>
          <t>BLACK FRIEGHTLINER</t>
        </is>
      </c>
      <c r="H1449" s="144" t="n">
        <v>1221</v>
      </c>
      <c r="I1449" s="144" t="inlineStr">
        <is>
          <t>COMMERCIAL</t>
        </is>
      </c>
    </row>
    <row r="1450" ht="18" customHeight="1" s="7">
      <c r="A1450" s="144" t="inlineStr">
        <is>
          <t>CONNER HARRELL</t>
        </is>
      </c>
      <c r="B1450" s="144" t="inlineStr">
        <is>
          <t>051793068 GA</t>
        </is>
      </c>
      <c r="C1450" s="144" t="inlineStr">
        <is>
          <t>DIAMOND FREIGHT</t>
        </is>
      </c>
      <c r="D1450" s="144" t="n">
        <v>4786970757</v>
      </c>
      <c r="E1450" s="144" t="inlineStr">
        <is>
          <t>BOX</t>
        </is>
      </c>
      <c r="F1450" s="144" t="inlineStr">
        <is>
          <t>C893ES GA</t>
        </is>
      </c>
      <c r="G1450" s="144" t="inlineStr">
        <is>
          <t>WHITE FRIEGHTLINER</t>
        </is>
      </c>
      <c r="H1450" s="144" t="n">
        <v>1221</v>
      </c>
      <c r="I1450" s="144" t="inlineStr">
        <is>
          <t>COMMERICAL</t>
        </is>
      </c>
    </row>
    <row r="1451" ht="18" customHeight="1" s="7">
      <c r="A1451" s="144" t="inlineStr">
        <is>
          <t>WESLEY MAYHEW</t>
        </is>
      </c>
      <c r="B1451" s="144" t="inlineStr">
        <is>
          <t>M000883911630 FL</t>
        </is>
      </c>
      <c r="C1451" s="144" t="inlineStr">
        <is>
          <t>SURVTECH</t>
        </is>
      </c>
      <c r="D1451" s="144" t="n">
        <v>8136214929</v>
      </c>
      <c r="E1451" s="144" t="inlineStr">
        <is>
          <t>PU</t>
        </is>
      </c>
      <c r="F1451" s="144" t="inlineStr">
        <is>
          <t>RTZC11 FL</t>
        </is>
      </c>
      <c r="G1451" s="144" t="inlineStr">
        <is>
          <t>WHITE FORD</t>
        </is>
      </c>
      <c r="H1451" s="144" t="n">
        <v>1121</v>
      </c>
      <c r="I1451" s="144" t="inlineStr">
        <is>
          <t>CONTRACTOR</t>
        </is>
      </c>
    </row>
    <row r="1452" ht="18" customHeight="1" s="7">
      <c r="A1452" s="144" t="inlineStr">
        <is>
          <t>TYRONE ALLEN</t>
        </is>
      </c>
      <c r="B1452" s="144" t="inlineStr">
        <is>
          <t>5973738 AL</t>
        </is>
      </c>
      <c r="C1452" s="144" t="inlineStr">
        <is>
          <t>BRADFORD TRANS</t>
        </is>
      </c>
      <c r="D1452" s="144" t="n">
        <v>2056126661</v>
      </c>
      <c r="E1452" s="144" t="inlineStr">
        <is>
          <t>BOX</t>
        </is>
      </c>
      <c r="F1452" s="144" t="inlineStr">
        <is>
          <t>1182493 AL</t>
        </is>
      </c>
      <c r="G1452" s="144" t="inlineStr">
        <is>
          <t>RED VOLVO</t>
        </is>
      </c>
      <c r="H1452" s="144" t="n">
        <v>1121</v>
      </c>
      <c r="I1452" s="144" t="inlineStr">
        <is>
          <t>COMMERICAL</t>
        </is>
      </c>
    </row>
    <row r="1453" ht="18" customHeight="1" s="7">
      <c r="A1453" s="144" t="inlineStr">
        <is>
          <t>LEE HILL</t>
        </is>
      </c>
      <c r="B1453" s="144" t="inlineStr">
        <is>
          <t>055783938 GA</t>
        </is>
      </c>
      <c r="C1453" s="144" t="inlineStr">
        <is>
          <t>CONCRETE ENTERP</t>
        </is>
      </c>
      <c r="D1453" s="144" t="n">
        <v>2297335811</v>
      </c>
      <c r="E1453" s="144" t="inlineStr">
        <is>
          <t>PU</t>
        </is>
      </c>
      <c r="F1453" s="144" t="inlineStr">
        <is>
          <t>SCW6443 GA</t>
        </is>
      </c>
      <c r="G1453" s="144" t="inlineStr">
        <is>
          <t>WHITEGMC</t>
        </is>
      </c>
      <c r="H1453" s="144" t="n">
        <v>1221</v>
      </c>
      <c r="I1453" s="144" t="inlineStr">
        <is>
          <t>CONTRACTOR</t>
        </is>
      </c>
    </row>
    <row r="1454" ht="18" customHeight="1" s="7">
      <c r="A1454" s="144" t="inlineStr">
        <is>
          <t>ANTHONY JONES</t>
        </is>
      </c>
      <c r="B1454" s="144" t="inlineStr">
        <is>
          <t>052318744 GA</t>
        </is>
      </c>
      <c r="C1454" s="144" t="inlineStr">
        <is>
          <t>JK LOGISTICS</t>
        </is>
      </c>
      <c r="D1454" s="144" t="n">
        <v>9122936527</v>
      </c>
      <c r="E1454" s="144" t="inlineStr">
        <is>
          <t>BOX</t>
        </is>
      </c>
      <c r="F1454" s="144" t="inlineStr">
        <is>
          <t>EYC114 GA</t>
        </is>
      </c>
      <c r="G1454" s="144" t="inlineStr">
        <is>
          <t>BLUE FREIGHTLINER</t>
        </is>
      </c>
      <c r="H1454" s="144" t="n">
        <v>1221</v>
      </c>
      <c r="I1454" s="144" t="inlineStr">
        <is>
          <t>COMMERICAL</t>
        </is>
      </c>
    </row>
    <row r="1455" ht="18" customHeight="1" s="7">
      <c r="A1455" s="144" t="inlineStr">
        <is>
          <t>CARLOS RAMOS</t>
        </is>
      </c>
      <c r="B1455" s="144" t="inlineStr">
        <is>
          <t>050572575 GA</t>
        </is>
      </c>
      <c r="C1455" s="144" t="inlineStr">
        <is>
          <t>OXFORD</t>
        </is>
      </c>
      <c r="D1455" s="144" t="n">
        <v>2298833232</v>
      </c>
      <c r="E1455" s="144" t="inlineStr">
        <is>
          <t>FLAT</t>
        </is>
      </c>
      <c r="F1455" s="144" t="inlineStr">
        <is>
          <t>P927CN GA</t>
        </is>
      </c>
      <c r="G1455" s="144" t="inlineStr">
        <is>
          <t>WHITE KENWORTH</t>
        </is>
      </c>
      <c r="H1455" s="144" t="inlineStr">
        <is>
          <t>GATE15</t>
        </is>
      </c>
      <c r="I1455" s="144" t="inlineStr">
        <is>
          <t>CONTRACTOR</t>
        </is>
      </c>
    </row>
    <row r="1456" ht="18" customHeight="1" s="7">
      <c r="A1456" s="144" t="inlineStr">
        <is>
          <t>JONATHAN DARSEY</t>
        </is>
      </c>
      <c r="B1456" s="144" t="inlineStr">
        <is>
          <t>050885983 GA</t>
        </is>
      </c>
      <c r="C1456" s="144" t="inlineStr">
        <is>
          <t>DIAMOND FREIGHT</t>
        </is>
      </c>
      <c r="D1456" s="144" t="n">
        <v>4783576612</v>
      </c>
      <c r="E1456" s="144" t="inlineStr">
        <is>
          <t>BOX</t>
        </is>
      </c>
      <c r="F1456" s="144" t="inlineStr">
        <is>
          <t>C894ES GA</t>
        </is>
      </c>
      <c r="G1456" s="144" t="inlineStr">
        <is>
          <t>WHITE FREIGHTLINER</t>
        </is>
      </c>
      <c r="H1456" s="144" t="n">
        <v>1221</v>
      </c>
      <c r="I1456" s="144" t="inlineStr">
        <is>
          <t>COMMERICAL</t>
        </is>
      </c>
    </row>
    <row r="1457" ht="18" customHeight="1" s="7">
      <c r="A1457" s="144" t="inlineStr">
        <is>
          <t>AURALIEN EDOUAED</t>
        </is>
      </c>
      <c r="B1457" s="144" t="inlineStr">
        <is>
          <t>061220905 GA</t>
        </is>
      </c>
      <c r="C1457" s="144" t="inlineStr">
        <is>
          <t>TRUCKINS WAYS</t>
        </is>
      </c>
      <c r="D1457" s="144" t="n">
        <v>2679780344</v>
      </c>
      <c r="E1457" s="144" t="inlineStr">
        <is>
          <t>BOX</t>
        </is>
      </c>
      <c r="F1457" s="144" t="inlineStr">
        <is>
          <t>C008DX GA</t>
        </is>
      </c>
      <c r="G1457" s="144" t="inlineStr">
        <is>
          <t>GREY VOLVO</t>
        </is>
      </c>
      <c r="H1457" s="144" t="n">
        <v>1221</v>
      </c>
      <c r="I1457" s="144" t="inlineStr">
        <is>
          <t>COMMERICAL</t>
        </is>
      </c>
    </row>
    <row r="1458" ht="18" customHeight="1" s="7">
      <c r="A1458" s="144" t="inlineStr">
        <is>
          <t>MICHEAL ROGERS JR</t>
        </is>
      </c>
      <c r="B1458" s="144" t="n">
        <v>101842158</v>
      </c>
      <c r="C1458" s="144" t="inlineStr">
        <is>
          <t>DIAMOND FREIGHT</t>
        </is>
      </c>
      <c r="D1458" s="144" t="n">
        <v>8434878662</v>
      </c>
      <c r="E1458" s="144" t="inlineStr">
        <is>
          <t>BOX</t>
        </is>
      </c>
      <c r="F1458" s="144" t="inlineStr">
        <is>
          <t>AG99562 PA</t>
        </is>
      </c>
      <c r="G1458" s="144" t="inlineStr">
        <is>
          <t>WHITE FREIGHTLINER</t>
        </is>
      </c>
      <c r="H1458" s="144" t="n">
        <v>1221</v>
      </c>
      <c r="I1458" s="144" t="inlineStr">
        <is>
          <t>COMMERICAL</t>
        </is>
      </c>
    </row>
    <row r="1459" ht="18" customHeight="1" s="7">
      <c r="A1459" s="144" t="inlineStr">
        <is>
          <t>MALIK MINOR</t>
        </is>
      </c>
      <c r="B1459" s="144" t="inlineStr">
        <is>
          <t>B63603296 VA</t>
        </is>
      </c>
      <c r="C1459" s="144" t="inlineStr">
        <is>
          <t>WCI Trucking</t>
        </is>
      </c>
      <c r="D1459" s="144" t="n">
        <v>4343903268</v>
      </c>
      <c r="E1459" s="144" t="inlineStr">
        <is>
          <t>BOX</t>
        </is>
      </c>
      <c r="F1459" s="144" t="inlineStr">
        <is>
          <t>WCI1 VA</t>
        </is>
      </c>
      <c r="G1459" s="144" t="inlineStr">
        <is>
          <t>WHITEGMC</t>
        </is>
      </c>
      <c r="H1459" s="144" t="n">
        <v>1221</v>
      </c>
      <c r="I1459" s="144" t="inlineStr">
        <is>
          <t>CONTRACTOR</t>
        </is>
      </c>
    </row>
    <row r="1460" ht="18" customHeight="1" s="7">
      <c r="A1460" s="144" t="inlineStr">
        <is>
          <t>SCHAEFFER HOWARD</t>
        </is>
      </c>
      <c r="B1460" s="144" t="inlineStr">
        <is>
          <t>RT638513 OH</t>
        </is>
      </c>
      <c r="C1460" s="144" t="inlineStr">
        <is>
          <t>MALLINI</t>
        </is>
      </c>
      <c r="D1460" s="144" t="n">
        <v>3304723280</v>
      </c>
      <c r="E1460" s="144" t="inlineStr">
        <is>
          <t>BOX</t>
        </is>
      </c>
      <c r="F1460" s="144" t="inlineStr">
        <is>
          <t>RX771648</t>
        </is>
      </c>
      <c r="G1460" s="144" t="inlineStr">
        <is>
          <t>WHITE FRIEGHTLINER</t>
        </is>
      </c>
      <c r="H1460" s="144" t="n">
        <v>1221</v>
      </c>
      <c r="I1460" s="144" t="inlineStr">
        <is>
          <t>COMMERICAL</t>
        </is>
      </c>
    </row>
    <row r="1461" ht="18" customHeight="1" s="7">
      <c r="A1461" s="144" t="inlineStr">
        <is>
          <t>AHMED IBRAHIM</t>
        </is>
      </c>
      <c r="B1461" s="144" t="inlineStr">
        <is>
          <t>0130009770830 FL</t>
        </is>
      </c>
      <c r="C1461" s="144" t="inlineStr">
        <is>
          <t>AVI TRNSPORTATION</t>
        </is>
      </c>
      <c r="D1461" s="144" t="n">
        <v>3054409009</v>
      </c>
      <c r="E1461" s="144" t="inlineStr">
        <is>
          <t>BOX</t>
        </is>
      </c>
      <c r="F1461" s="144" t="inlineStr">
        <is>
          <t>SPG506380 IL</t>
        </is>
      </c>
      <c r="G1461" s="144" t="inlineStr">
        <is>
          <t>GREY FREIGHTLINER</t>
        </is>
      </c>
      <c r="H1461" s="144" t="n">
        <v>1221</v>
      </c>
      <c r="I1461" s="144" t="inlineStr">
        <is>
          <t>COMMERICAL</t>
        </is>
      </c>
    </row>
    <row r="1462" ht="18" customHeight="1" s="7">
      <c r="A1462" s="144" t="inlineStr">
        <is>
          <t>PEGUERO ANDRES</t>
        </is>
      </c>
      <c r="B1462" s="144" t="inlineStr">
        <is>
          <t>P260961654470 FL</t>
        </is>
      </c>
      <c r="C1462" s="144" t="inlineStr">
        <is>
          <t>VELOX</t>
        </is>
      </c>
      <c r="D1462" s="144" t="n">
        <v>4849085692</v>
      </c>
      <c r="E1462" s="144" t="inlineStr">
        <is>
          <t>BOX</t>
        </is>
      </c>
      <c r="F1462" s="144" t="inlineStr">
        <is>
          <t>XA537C FL</t>
        </is>
      </c>
      <c r="G1462" s="144" t="inlineStr">
        <is>
          <t>GREY VOLVO</t>
        </is>
      </c>
      <c r="H1462" s="144" t="n">
        <v>1221</v>
      </c>
      <c r="I1462" s="144" t="inlineStr">
        <is>
          <t>COMMERICAL</t>
        </is>
      </c>
    </row>
    <row r="1463" ht="18" customHeight="1" s="7">
      <c r="A1463" s="144" t="inlineStr">
        <is>
          <t xml:space="preserve">GAINES RICKEY </t>
        </is>
      </c>
      <c r="B1463" s="144" t="inlineStr">
        <is>
          <t>G520723582710 FL</t>
        </is>
      </c>
      <c r="C1463" s="144" t="inlineStr">
        <is>
          <t>COLEMAN AMERICA</t>
        </is>
      </c>
      <c r="D1463" s="144" t="n">
        <v>8506285665</v>
      </c>
      <c r="E1463" s="144" t="inlineStr">
        <is>
          <t>BOX</t>
        </is>
      </c>
      <c r="F1463" s="144" t="inlineStr">
        <is>
          <t>1175492 AL</t>
        </is>
      </c>
      <c r="G1463" s="144" t="inlineStr">
        <is>
          <t>WHITE HINO</t>
        </is>
      </c>
      <c r="H1463" s="144" t="inlineStr">
        <is>
          <t>HOUSING</t>
        </is>
      </c>
      <c r="I1463" s="144" t="inlineStr">
        <is>
          <t>CONTRACTOR</t>
        </is>
      </c>
    </row>
    <row r="1464" ht="18" customHeight="1" s="7">
      <c r="A1464" s="144" t="inlineStr">
        <is>
          <t>ROPER TABARI</t>
        </is>
      </c>
      <c r="B1464" s="144" t="inlineStr">
        <is>
          <t>105420153 SC</t>
        </is>
      </c>
      <c r="C1464" s="144" t="inlineStr">
        <is>
          <t xml:space="preserve">MISTER RIVERS </t>
        </is>
      </c>
      <c r="D1464" s="144" t="n">
        <v>8644502445</v>
      </c>
      <c r="E1464" s="144" t="inlineStr">
        <is>
          <t>BOX</t>
        </is>
      </c>
      <c r="F1464" s="144" t="inlineStr">
        <is>
          <t>S2197481 GA</t>
        </is>
      </c>
      <c r="G1464" s="144" t="inlineStr">
        <is>
          <t>YELLOW FREIGHTLINER</t>
        </is>
      </c>
      <c r="H1464" s="144" t="n">
        <v>1361</v>
      </c>
      <c r="I1464" s="144" t="inlineStr">
        <is>
          <t>CONTRACTOR</t>
        </is>
      </c>
    </row>
    <row r="1465" ht="18" customHeight="1" s="7">
      <c r="A1465" s="144" t="inlineStr">
        <is>
          <t>ARTHUR SMITH</t>
        </is>
      </c>
      <c r="B1465" s="144" t="inlineStr">
        <is>
          <t>037665946 GA</t>
        </is>
      </c>
      <c r="C1465" s="144" t="inlineStr">
        <is>
          <t>SMITH TRANSPORTATION</t>
        </is>
      </c>
      <c r="D1465" s="144" t="n">
        <v>7065053047</v>
      </c>
      <c r="E1465" s="144" t="inlineStr">
        <is>
          <t>BOX</t>
        </is>
      </c>
      <c r="F1465" s="144" t="inlineStr">
        <is>
          <t>C416CM GA</t>
        </is>
      </c>
      <c r="G1465" s="144" t="inlineStr">
        <is>
          <t>BLUE FREIGHTLINER</t>
        </is>
      </c>
      <c r="H1465" s="144" t="n">
        <v>1221</v>
      </c>
      <c r="I1465" s="144" t="inlineStr">
        <is>
          <t>COMMERICAL</t>
        </is>
      </c>
    </row>
    <row r="1466" ht="18" customHeight="1" s="7">
      <c r="A1466" s="144" t="inlineStr">
        <is>
          <t>METAYER DIEUDILER</t>
        </is>
      </c>
      <c r="B1466" s="144" t="inlineStr">
        <is>
          <t>M215424960000 FL</t>
        </is>
      </c>
      <c r="C1466" s="144" t="inlineStr">
        <is>
          <t>RAMI TRANS</t>
        </is>
      </c>
      <c r="D1466" s="144" t="n">
        <v>7862298315</v>
      </c>
      <c r="E1466" s="144" t="inlineStr">
        <is>
          <t>BOX</t>
        </is>
      </c>
      <c r="F1466" s="144" t="inlineStr">
        <is>
          <t>VW3670 NC</t>
        </is>
      </c>
      <c r="G1466" s="144" t="inlineStr">
        <is>
          <t>WHITE DODGE</t>
        </is>
      </c>
      <c r="H1466" s="144" t="n">
        <v>1221</v>
      </c>
      <c r="I1466" s="144" t="inlineStr">
        <is>
          <t>CONTRACTOR</t>
        </is>
      </c>
    </row>
    <row r="1467" ht="18" customHeight="1" s="7">
      <c r="A1467" s="144" t="inlineStr">
        <is>
          <t>MORALEZ JOSE</t>
        </is>
      </c>
      <c r="B1467" s="144" t="inlineStr">
        <is>
          <t>1315766 TX</t>
        </is>
      </c>
      <c r="C1467" s="144" t="inlineStr">
        <is>
          <t>F&amp;J TRANS</t>
        </is>
      </c>
      <c r="D1467" s="144" t="n">
        <v>9562023446</v>
      </c>
      <c r="E1467" s="144" t="inlineStr">
        <is>
          <t>BOX</t>
        </is>
      </c>
      <c r="F1467" s="144" t="inlineStr">
        <is>
          <t>VFJ5634TX</t>
        </is>
      </c>
      <c r="G1467" s="144" t="inlineStr">
        <is>
          <t>BLACKFORD</t>
        </is>
      </c>
      <c r="H1467" s="144" t="n">
        <v>1221</v>
      </c>
      <c r="I1467" s="144" t="inlineStr">
        <is>
          <t>CONTRACTOR</t>
        </is>
      </c>
    </row>
    <row r="1468" ht="18" customHeight="1" s="7">
      <c r="A1468" s="144" t="inlineStr">
        <is>
          <t>MARCUS GLOVER</t>
        </is>
      </c>
      <c r="B1468" s="144" t="inlineStr">
        <is>
          <t>G221349980000 FL</t>
        </is>
      </c>
      <c r="C1468" s="144" t="inlineStr">
        <is>
          <t>WHB TRANS</t>
        </is>
      </c>
      <c r="D1468" s="144" t="n">
        <v>8503716291</v>
      </c>
      <c r="E1468" s="144" t="inlineStr">
        <is>
          <t>BOX</t>
        </is>
      </c>
      <c r="F1468" s="144" t="inlineStr">
        <is>
          <t>RPDA72 FL</t>
        </is>
      </c>
      <c r="G1468" s="144" t="inlineStr">
        <is>
          <t>WHITE DODGE</t>
        </is>
      </c>
      <c r="H1468" s="144" t="n">
        <v>1221</v>
      </c>
      <c r="I1468" s="144" t="inlineStr">
        <is>
          <t>CONTRACTOR</t>
        </is>
      </c>
    </row>
    <row r="1469" ht="18" customHeight="1" s="7">
      <c r="A1469" s="144" t="inlineStr">
        <is>
          <t>KAYAL EDWARDS</t>
        </is>
      </c>
      <c r="B1469" s="144" t="inlineStr">
        <is>
          <t>802215776 SC</t>
        </is>
      </c>
      <c r="C1469" s="144" t="inlineStr">
        <is>
          <t>GOLD STALLION</t>
        </is>
      </c>
      <c r="D1469" s="144" t="n">
        <v>6017174646</v>
      </c>
      <c r="E1469" s="144" t="inlineStr">
        <is>
          <t>BOX</t>
        </is>
      </c>
      <c r="F1469" s="144" t="inlineStr">
        <is>
          <t>SPG504109 IL</t>
        </is>
      </c>
      <c r="G1469" s="144" t="inlineStr">
        <is>
          <t>WHITE DODGE</t>
        </is>
      </c>
      <c r="H1469" s="144" t="n">
        <v>1221</v>
      </c>
      <c r="I1469" s="144" t="inlineStr">
        <is>
          <t>CONTRACTOR</t>
        </is>
      </c>
    </row>
    <row r="1470" ht="18" customHeight="1" s="7">
      <c r="A1470" s="144" t="inlineStr">
        <is>
          <t>TIMOTHY MELVIN</t>
        </is>
      </c>
      <c r="B1470" s="144" t="inlineStr">
        <is>
          <t>7129310 AL</t>
        </is>
      </c>
      <c r="C1470" s="144" t="inlineStr">
        <is>
          <t>MILK TRANS</t>
        </is>
      </c>
      <c r="D1470" s="144" t="n">
        <v>3344354625</v>
      </c>
      <c r="E1470" s="144" t="inlineStr">
        <is>
          <t>BOX</t>
        </is>
      </c>
      <c r="F1470" s="144" t="inlineStr">
        <is>
          <t>3389008 IN</t>
        </is>
      </c>
      <c r="G1470" s="144" t="inlineStr">
        <is>
          <t>RED VOLVO</t>
        </is>
      </c>
      <c r="H1470" s="144" t="n">
        <v>1221</v>
      </c>
      <c r="I1470" s="144" t="inlineStr">
        <is>
          <t>COMMERICAL</t>
        </is>
      </c>
    </row>
    <row r="1471" ht="18" customHeight="1" s="7">
      <c r="A1471" s="144" t="inlineStr">
        <is>
          <t>JASON FLESHMAN</t>
        </is>
      </c>
      <c r="B1471" s="144" t="inlineStr">
        <is>
          <t>27932995 PA</t>
        </is>
      </c>
      <c r="C1471" s="144" t="inlineStr">
        <is>
          <t>WRIGHT EXPRESS</t>
        </is>
      </c>
      <c r="D1471" s="144" t="n">
        <v>7176406559</v>
      </c>
      <c r="E1471" s="144" t="inlineStr">
        <is>
          <t>BOX</t>
        </is>
      </c>
      <c r="F1471" s="144" t="inlineStr">
        <is>
          <t>AH23777 PA</t>
        </is>
      </c>
      <c r="G1471" s="144" t="inlineStr">
        <is>
          <t>GREY VOLVO</t>
        </is>
      </c>
      <c r="H1471" s="144" t="n">
        <v>1221</v>
      </c>
      <c r="I1471" s="144" t="inlineStr">
        <is>
          <t>COMMERICAL</t>
        </is>
      </c>
    </row>
    <row r="1472" ht="18" customHeight="1" s="7">
      <c r="A1472" s="144" t="inlineStr">
        <is>
          <t>RUFUS LOGAN</t>
        </is>
      </c>
      <c r="B1472" s="144" t="inlineStr">
        <is>
          <t>*062696108 GA</t>
        </is>
      </c>
      <c r="C1472" s="144" t="inlineStr">
        <is>
          <t>BAD WOLF</t>
        </is>
      </c>
      <c r="D1472" s="144" t="n">
        <v>4708789195</v>
      </c>
      <c r="E1472" s="144" t="inlineStr">
        <is>
          <t>BOX</t>
        </is>
      </c>
      <c r="F1472" s="144" t="inlineStr">
        <is>
          <t>EWF410 GA</t>
        </is>
      </c>
      <c r="G1472" s="144" t="inlineStr">
        <is>
          <t>WHITE FL</t>
        </is>
      </c>
      <c r="H1472" s="144" t="n">
        <v>1221</v>
      </c>
      <c r="I1472" s="144" t="inlineStr">
        <is>
          <t>COMMERCIAL</t>
        </is>
      </c>
    </row>
    <row r="1473" ht="18" customHeight="1" s="7">
      <c r="A1473" s="144" t="inlineStr">
        <is>
          <t>TIMOTHY DEUTSCH</t>
        </is>
      </c>
      <c r="B1473" s="144" t="inlineStr">
        <is>
          <t>D320793465832 MI</t>
        </is>
      </c>
      <c r="C1473" s="144" t="inlineStr">
        <is>
          <t>LANDSTAR</t>
        </is>
      </c>
      <c r="D1473" s="144" t="n">
        <v>3039094690</v>
      </c>
      <c r="E1473" s="144" t="inlineStr">
        <is>
          <t>BOX</t>
        </is>
      </c>
      <c r="F1473" s="144" t="inlineStr">
        <is>
          <t>2629770 IN</t>
        </is>
      </c>
      <c r="G1473" s="144" t="inlineStr">
        <is>
          <t>WHITE FL</t>
        </is>
      </c>
      <c r="H1473" s="144" t="n">
        <v>1221</v>
      </c>
      <c r="I1473" s="144" t="inlineStr">
        <is>
          <t>COMMERCIAL</t>
        </is>
      </c>
    </row>
    <row r="1474" ht="18" customHeight="1" s="7">
      <c r="A1474" s="144" t="inlineStr">
        <is>
          <t>ABDI ABDIKADIR</t>
        </is>
      </c>
      <c r="B1474" s="144" t="inlineStr">
        <is>
          <t>45956865 TX</t>
        </is>
      </c>
      <c r="C1474" s="144" t="inlineStr">
        <is>
          <t>ANSOR EXPRESS</t>
        </is>
      </c>
      <c r="D1474" s="144" t="n">
        <v>8324758317</v>
      </c>
      <c r="E1474" s="144" t="inlineStr">
        <is>
          <t>BOX</t>
        </is>
      </c>
      <c r="F1474" s="144" t="inlineStr">
        <is>
          <t>PXB2208 OH</t>
        </is>
      </c>
      <c r="G1474" s="144" t="inlineStr">
        <is>
          <t>GREEN FREIGHTLINER</t>
        </is>
      </c>
      <c r="H1474" s="144" t="n">
        <v>1221</v>
      </c>
      <c r="I1474" s="144" t="inlineStr">
        <is>
          <t>COMMERCIAL</t>
        </is>
      </c>
    </row>
    <row r="1475" ht="18" customHeight="1" s="7">
      <c r="A1475" s="144" t="inlineStr">
        <is>
          <t>OSNIEL PADILLA</t>
        </is>
      </c>
      <c r="B1475" s="144" t="inlineStr">
        <is>
          <t>146AM6414 IO</t>
        </is>
      </c>
      <c r="C1475" s="144" t="inlineStr">
        <is>
          <t>OP TRUCKING</t>
        </is>
      </c>
      <c r="D1475" s="144" t="n">
        <v>7013392022</v>
      </c>
      <c r="E1475" s="144" t="inlineStr">
        <is>
          <t>BOX</t>
        </is>
      </c>
      <c r="F1475" s="144" t="inlineStr">
        <is>
          <t>FJ7110 IO</t>
        </is>
      </c>
      <c r="G1475" s="144" t="inlineStr">
        <is>
          <t>RED PETERBILT</t>
        </is>
      </c>
      <c r="H1475" s="144" t="n">
        <v>1221</v>
      </c>
      <c r="I1475" s="144" t="inlineStr">
        <is>
          <t>COMMERCIAL</t>
        </is>
      </c>
    </row>
    <row r="1476" ht="18" customHeight="1" s="7">
      <c r="A1476" s="144" t="inlineStr">
        <is>
          <t>DAVID BELL</t>
        </is>
      </c>
      <c r="B1476" s="144" t="inlineStr">
        <is>
          <t>13325137 TX</t>
        </is>
      </c>
      <c r="C1476" s="144" t="inlineStr">
        <is>
          <t>SOLOYMI</t>
        </is>
      </c>
      <c r="D1476" s="144" t="n">
        <v>8324897568</v>
      </c>
      <c r="E1476" s="144" t="inlineStr">
        <is>
          <t>BOX</t>
        </is>
      </c>
      <c r="F1476" s="144" t="inlineStr">
        <is>
          <t>P1067868 IL</t>
        </is>
      </c>
      <c r="G1476" s="144" t="inlineStr">
        <is>
          <t>WHITE PETERBILT</t>
        </is>
      </c>
      <c r="H1476" s="144" t="n">
        <v>1221</v>
      </c>
      <c r="I1476" s="144" t="inlineStr">
        <is>
          <t>COMMERCIAL</t>
        </is>
      </c>
    </row>
    <row r="1477" ht="18" customHeight="1" s="7">
      <c r="A1477" s="144" t="inlineStr">
        <is>
          <t>ALVES EDIR</t>
        </is>
      </c>
      <c r="B1477" s="144" t="inlineStr">
        <is>
          <t>A412200681100</t>
        </is>
      </c>
      <c r="C1477" s="144" t="inlineStr">
        <is>
          <t>NAUTA</t>
        </is>
      </c>
      <c r="D1477" s="144" t="n">
        <v>8633482292</v>
      </c>
      <c r="E1477" s="144" t="inlineStr">
        <is>
          <t>BOX</t>
        </is>
      </c>
      <c r="F1477" s="144" t="inlineStr">
        <is>
          <t>P1276726 IL</t>
        </is>
      </c>
      <c r="G1477" s="144" t="inlineStr">
        <is>
          <t>WHITE FRIEGHTLINER</t>
        </is>
      </c>
      <c r="H1477" s="144" t="n">
        <v>1221</v>
      </c>
      <c r="I1477" s="144" t="inlineStr">
        <is>
          <t>COMMERICAL</t>
        </is>
      </c>
    </row>
    <row r="1478" ht="18" customHeight="1" s="7">
      <c r="A1478" s="144" t="inlineStr">
        <is>
          <t>CLARK JOHN</t>
        </is>
      </c>
      <c r="B1478" s="144" t="inlineStr">
        <is>
          <t>152920024 TN</t>
        </is>
      </c>
      <c r="C1478" s="144" t="inlineStr">
        <is>
          <t>LANDSTAR</t>
        </is>
      </c>
      <c r="D1478" s="144" t="n">
        <v>7409567388</v>
      </c>
      <c r="E1478" s="144" t="inlineStr">
        <is>
          <t>BOX</t>
        </is>
      </c>
      <c r="F1478" s="144" t="inlineStr">
        <is>
          <t>2968922 IN</t>
        </is>
      </c>
      <c r="G1478" s="144" t="inlineStr">
        <is>
          <t>BLUE INTER</t>
        </is>
      </c>
      <c r="H1478" s="144" t="n">
        <v>1221</v>
      </c>
      <c r="I1478" s="144" t="inlineStr">
        <is>
          <t>COMMERICAL</t>
        </is>
      </c>
    </row>
    <row r="1479" ht="18" customHeight="1" s="7">
      <c r="A1479" s="144" t="inlineStr">
        <is>
          <t>BRANA ANDRIY</t>
        </is>
      </c>
      <c r="B1479" s="144" t="inlineStr">
        <is>
          <t>A61905462 VA</t>
        </is>
      </c>
      <c r="C1479" s="144" t="inlineStr">
        <is>
          <t>SMA</t>
        </is>
      </c>
      <c r="D1479" s="144" t="n">
        <v>7578493846</v>
      </c>
      <c r="E1479" s="144" t="inlineStr">
        <is>
          <t>FLAT</t>
        </is>
      </c>
      <c r="F1479" s="144" t="inlineStr">
        <is>
          <t>008771A KY</t>
        </is>
      </c>
      <c r="G1479" s="144" t="inlineStr">
        <is>
          <t>WHITE FRIEGHTLINER</t>
        </is>
      </c>
      <c r="H1479" s="144" t="n">
        <v>1221</v>
      </c>
      <c r="I1479" s="144" t="inlineStr">
        <is>
          <t>COMMERICAL</t>
        </is>
      </c>
    </row>
    <row r="1480" ht="18" customHeight="1" s="7">
      <c r="A1480" s="144" t="inlineStr">
        <is>
          <t>TWHAN JOHNSON</t>
        </is>
      </c>
      <c r="B1480" s="144" t="inlineStr">
        <is>
          <t>J525818890060 FL</t>
        </is>
      </c>
      <c r="C1480" s="144" t="inlineStr">
        <is>
          <t>S&amp;S CONCRETE</t>
        </is>
      </c>
      <c r="D1480" s="144" t="n">
        <v>2294388566</v>
      </c>
      <c r="E1480" s="144" t="inlineStr">
        <is>
          <t>DUMP</t>
        </is>
      </c>
      <c r="F1480" s="144" t="inlineStr">
        <is>
          <t>EPM527 GA</t>
        </is>
      </c>
      <c r="G1480" s="144" t="inlineStr">
        <is>
          <t>WHITE FORD</t>
        </is>
      </c>
      <c r="H1480" s="144" t="inlineStr">
        <is>
          <t>BASEWIDE</t>
        </is>
      </c>
      <c r="I1480" s="144" t="inlineStr">
        <is>
          <t>COMMERICAL</t>
        </is>
      </c>
    </row>
    <row r="1481" ht="18" customHeight="1" s="7">
      <c r="A1481" s="144" t="inlineStr">
        <is>
          <t>JOSEPH FOSTER</t>
        </is>
      </c>
      <c r="B1481" s="144" t="inlineStr">
        <is>
          <t>F23649991064 IL</t>
        </is>
      </c>
      <c r="C1481" s="144" t="inlineStr">
        <is>
          <t>TRIPLE A</t>
        </is>
      </c>
      <c r="D1481" s="144" t="n">
        <v>7087240025</v>
      </c>
      <c r="E1481" s="144" t="inlineStr">
        <is>
          <t>PU</t>
        </is>
      </c>
      <c r="F1481" s="144" t="inlineStr">
        <is>
          <t>212546 IL</t>
        </is>
      </c>
      <c r="G1481" s="144" t="inlineStr">
        <is>
          <t>BLACK FORD</t>
        </is>
      </c>
      <c r="H1481" s="144" t="n">
        <v>1230</v>
      </c>
      <c r="I1481" s="144" t="inlineStr">
        <is>
          <t>CONTRACTOR</t>
        </is>
      </c>
    </row>
    <row r="1482" ht="18" customHeight="1" s="7">
      <c r="A1482" s="144" t="inlineStr">
        <is>
          <t>GIBSON CHRISTOPHER</t>
        </is>
      </c>
      <c r="B1482" s="144" t="inlineStr">
        <is>
          <t>SB143443 OH</t>
        </is>
      </c>
      <c r="C1482" s="144" t="inlineStr">
        <is>
          <t>LANDSTAR</t>
        </is>
      </c>
      <c r="D1482" s="144" t="n">
        <v>9372077812</v>
      </c>
      <c r="E1482" s="144" t="inlineStr">
        <is>
          <t>FLAT</t>
        </is>
      </c>
      <c r="F1482" s="144" t="inlineStr">
        <is>
          <t>3628717 IN</t>
        </is>
      </c>
      <c r="G1482" s="144" t="inlineStr">
        <is>
          <t>BLUE PETERBILT</t>
        </is>
      </c>
      <c r="H1482" s="144" t="n">
        <v>1221</v>
      </c>
      <c r="I1482" s="144" t="inlineStr">
        <is>
          <t>COMMERCIAL</t>
        </is>
      </c>
    </row>
    <row r="1483" ht="18" customHeight="1" s="7">
      <c r="A1483" s="57" t="inlineStr">
        <is>
          <t>MATTHEW MCCULLEN</t>
        </is>
      </c>
      <c r="B1483" s="144" t="inlineStr">
        <is>
          <t>*000048179728 NC</t>
        </is>
      </c>
      <c r="C1483" s="144" t="inlineStr">
        <is>
          <t>MOVE MASTERS</t>
        </is>
      </c>
      <c r="D1483" s="144" t="n">
        <v>6786706995</v>
      </c>
      <c r="E1483" s="144" t="inlineStr">
        <is>
          <t>PU</t>
        </is>
      </c>
      <c r="F1483" s="144" t="inlineStr">
        <is>
          <t>VH5431 NC</t>
        </is>
      </c>
      <c r="G1483" s="144" t="inlineStr">
        <is>
          <t>GREY DODGE</t>
        </is>
      </c>
      <c r="H1483" s="144" t="n">
        <v>1221</v>
      </c>
      <c r="I1483" s="144" t="inlineStr">
        <is>
          <t>CONTRACTOR</t>
        </is>
      </c>
    </row>
    <row r="1484" ht="18" customHeight="1" s="7">
      <c r="A1484" s="144" t="inlineStr">
        <is>
          <t>BERNARD PALMER</t>
        </is>
      </c>
      <c r="B1484" s="144" t="inlineStr">
        <is>
          <t>*056046086 GA</t>
        </is>
      </c>
      <c r="C1484" s="144" t="inlineStr">
        <is>
          <t>AIR GAS</t>
        </is>
      </c>
      <c r="D1484" s="144" t="n">
        <v>2294198311</v>
      </c>
      <c r="E1484" s="144" t="inlineStr">
        <is>
          <t>BOX</t>
        </is>
      </c>
      <c r="F1484" s="144" t="inlineStr">
        <is>
          <t>FAE497 GA</t>
        </is>
      </c>
      <c r="G1484" s="144" t="inlineStr">
        <is>
          <t>WHITE FL</t>
        </is>
      </c>
      <c r="H1484" s="144" t="inlineStr">
        <is>
          <t>SUBWAY</t>
        </is>
      </c>
      <c r="I1484" s="144" t="inlineStr">
        <is>
          <t>COMMERCIAL</t>
        </is>
      </c>
    </row>
    <row r="1485" ht="18" customHeight="1" s="7">
      <c r="A1485" s="144" t="inlineStr">
        <is>
          <t>COPELAND WILLIAM H</t>
        </is>
      </c>
      <c r="B1485" s="144" t="inlineStr">
        <is>
          <t>C145928852820 FL</t>
        </is>
      </c>
      <c r="C1485" s="144" t="inlineStr">
        <is>
          <t>SIEMENS</t>
        </is>
      </c>
      <c r="D1485" s="144" t="n">
        <v>8502964982</v>
      </c>
      <c r="E1485" s="144" t="inlineStr">
        <is>
          <t>CAR</t>
        </is>
      </c>
      <c r="F1485" s="144" t="inlineStr">
        <is>
          <t>QNEV18 FL</t>
        </is>
      </c>
      <c r="G1485" s="144" t="inlineStr">
        <is>
          <t>WHITE DODGE</t>
        </is>
      </c>
      <c r="H1485" s="144" t="n">
        <v>2200</v>
      </c>
      <c r="I1485" s="144" t="inlineStr">
        <is>
          <t>CONTRACTOR</t>
        </is>
      </c>
    </row>
    <row r="1486" ht="18" customHeight="1" s="7">
      <c r="A1486" s="144" t="inlineStr">
        <is>
          <t>NUNO JONATHAN</t>
        </is>
      </c>
      <c r="B1486" s="144" t="inlineStr">
        <is>
          <t>37775919 TX</t>
        </is>
      </c>
      <c r="C1486" s="144" t="inlineStr">
        <is>
          <t>EDG</t>
        </is>
      </c>
      <c r="D1486" s="144" t="n">
        <v>7132531409</v>
      </c>
      <c r="E1486" s="144" t="inlineStr">
        <is>
          <t>PU</t>
        </is>
      </c>
      <c r="F1486" s="144" t="inlineStr">
        <is>
          <t>K189810 TX</t>
        </is>
      </c>
      <c r="G1486" s="144" t="inlineStr">
        <is>
          <t>BLACK DODGE</t>
        </is>
      </c>
      <c r="H1486" s="144" t="n">
        <v>1221</v>
      </c>
      <c r="I1486" s="144" t="inlineStr">
        <is>
          <t>CONTRACTOR</t>
        </is>
      </c>
    </row>
    <row r="1487" ht="18" customHeight="1" s="7">
      <c r="A1487" s="144" t="inlineStr">
        <is>
          <t>STETSON BRYANT</t>
        </is>
      </c>
      <c r="B1487" s="144" t="inlineStr">
        <is>
          <t>9856858 AL</t>
        </is>
      </c>
      <c r="C1487" s="144" t="inlineStr">
        <is>
          <t>C&amp;B</t>
        </is>
      </c>
      <c r="D1487" s="144" t="n">
        <v>3862430373</v>
      </c>
      <c r="E1487" s="144" t="inlineStr">
        <is>
          <t>VAN</t>
        </is>
      </c>
      <c r="F1487" s="144" t="inlineStr">
        <is>
          <t>38A6M74 AL</t>
        </is>
      </c>
      <c r="G1487" s="144" t="inlineStr">
        <is>
          <t>WHITE DODGE</t>
        </is>
      </c>
      <c r="H1487" s="144" t="n">
        <v>1221</v>
      </c>
      <c r="I1487" s="144" t="inlineStr">
        <is>
          <t>CONTRACTOR</t>
        </is>
      </c>
    </row>
    <row r="1488" ht="18" customHeight="1" s="7">
      <c r="A1488" s="144" t="inlineStr">
        <is>
          <t>PADILLA HAMILTON</t>
        </is>
      </c>
      <c r="B1488" s="144" t="inlineStr">
        <is>
          <t>P345320734700 FL</t>
        </is>
      </c>
      <c r="C1488" s="144" t="inlineStr">
        <is>
          <t>IKEA</t>
        </is>
      </c>
      <c r="D1488" s="144" t="n">
        <v>9044059421</v>
      </c>
      <c r="E1488" s="144" t="inlineStr">
        <is>
          <t>BOX</t>
        </is>
      </c>
      <c r="F1488" s="144" t="inlineStr">
        <is>
          <t>JKZJ81 FL</t>
        </is>
      </c>
      <c r="G1488" s="144" t="inlineStr">
        <is>
          <t>WHITE HINO</t>
        </is>
      </c>
      <c r="H1488" s="144" t="inlineStr">
        <is>
          <t>HOUSING</t>
        </is>
      </c>
      <c r="I1488" s="144" t="inlineStr">
        <is>
          <t>COMMERICAL</t>
        </is>
      </c>
    </row>
    <row r="1489" ht="18" customHeight="1" s="7">
      <c r="A1489" s="144" t="inlineStr">
        <is>
          <t>DEXTER SILAS</t>
        </is>
      </c>
      <c r="B1489" s="144" t="inlineStr">
        <is>
          <t>*051418308 GA</t>
        </is>
      </c>
      <c r="C1489" s="144" t="inlineStr">
        <is>
          <t>ESTES</t>
        </is>
      </c>
      <c r="D1489" s="144" t="n">
        <v>2294341100</v>
      </c>
      <c r="E1489" s="144" t="inlineStr">
        <is>
          <t>BOX</t>
        </is>
      </c>
      <c r="F1489" s="144" t="inlineStr">
        <is>
          <t>3589412 IN</t>
        </is>
      </c>
      <c r="G1489" s="144" t="inlineStr">
        <is>
          <t>YELLOW FREIGHTLINER</t>
        </is>
      </c>
      <c r="H1489" s="144" t="n">
        <v>1221</v>
      </c>
      <c r="I1489" s="144" t="inlineStr">
        <is>
          <t>COMMERICAL</t>
        </is>
      </c>
    </row>
    <row r="1490" ht="18" customHeight="1" s="7">
      <c r="A1490" s="144" t="inlineStr">
        <is>
          <t>JOHN HENDERSON</t>
        </is>
      </c>
      <c r="B1490" s="144" t="inlineStr">
        <is>
          <t>*053754641 GA</t>
        </is>
      </c>
      <c r="C1490" s="144" t="inlineStr">
        <is>
          <t>ABMERE</t>
        </is>
      </c>
      <c r="D1490" s="144" t="n">
        <v>2293094377</v>
      </c>
      <c r="E1490" s="144" t="inlineStr">
        <is>
          <t>BOX</t>
        </is>
      </c>
      <c r="F1490" s="144" t="inlineStr">
        <is>
          <t>C981CT GA</t>
        </is>
      </c>
      <c r="G1490" s="144" t="inlineStr">
        <is>
          <t>WHITE VOLVO</t>
        </is>
      </c>
      <c r="H1490" s="144" t="n">
        <v>1221</v>
      </c>
      <c r="I1490" s="144" t="inlineStr">
        <is>
          <t>COMMERICAL</t>
        </is>
      </c>
    </row>
    <row r="1491" ht="18" customHeight="1" s="7">
      <c r="A1491" s="144" t="inlineStr">
        <is>
          <t>OLIVERA EDWIN</t>
        </is>
      </c>
      <c r="B1491" s="144" t="inlineStr">
        <is>
          <t>325151027 NY</t>
        </is>
      </c>
      <c r="C1491" s="144" t="inlineStr">
        <is>
          <t>MTC</t>
        </is>
      </c>
      <c r="D1491" s="144" t="n">
        <v>9145463322</v>
      </c>
      <c r="E1491" s="144" t="inlineStr">
        <is>
          <t>BOX</t>
        </is>
      </c>
      <c r="F1491" s="144" t="inlineStr">
        <is>
          <t>11260887 IL</t>
        </is>
      </c>
      <c r="G1491" s="144" t="inlineStr">
        <is>
          <t>WHITE INTER</t>
        </is>
      </c>
      <c r="H1491" s="144" t="n">
        <v>1221</v>
      </c>
      <c r="I1491" s="144" t="inlineStr">
        <is>
          <t>COMMERICAL</t>
        </is>
      </c>
    </row>
    <row r="1492" ht="18" customHeight="1" s="7">
      <c r="A1492" s="144" t="inlineStr">
        <is>
          <t>ARTHUR WEBB</t>
        </is>
      </c>
      <c r="B1492" s="144" t="inlineStr">
        <is>
          <t>*055521363 GA</t>
        </is>
      </c>
      <c r="C1492" s="144" t="inlineStr">
        <is>
          <t>CONCRETE ENTERP</t>
        </is>
      </c>
      <c r="D1492" s="144" t="n">
        <v>2298881904</v>
      </c>
      <c r="E1492" s="144" t="inlineStr">
        <is>
          <t>FLAT</t>
        </is>
      </c>
      <c r="F1492" s="144" t="inlineStr">
        <is>
          <t>P108CQ GA</t>
        </is>
      </c>
      <c r="G1492" s="144" t="inlineStr">
        <is>
          <t>GREEN MACK</t>
        </is>
      </c>
      <c r="H1492" s="144" t="n">
        <v>1221</v>
      </c>
      <c r="I1492" s="144" t="inlineStr">
        <is>
          <t>COMMERCIAL</t>
        </is>
      </c>
    </row>
    <row r="1493" ht="18" customHeight="1" s="7">
      <c r="A1493" s="144" t="inlineStr">
        <is>
          <t>WALNER GONZALEZ</t>
        </is>
      </c>
      <c r="B1493" s="144" t="inlineStr">
        <is>
          <t>G524886850590 FL</t>
        </is>
      </c>
      <c r="C1493" s="144" t="inlineStr">
        <is>
          <t>LIFT POWER</t>
        </is>
      </c>
      <c r="D1493" s="144" t="n">
        <v>9047830250</v>
      </c>
      <c r="E1493" s="144" t="inlineStr">
        <is>
          <t>FLAT</t>
        </is>
      </c>
      <c r="F1493" s="144" t="inlineStr">
        <is>
          <t>XE199N FL</t>
        </is>
      </c>
      <c r="G1493" s="144" t="inlineStr">
        <is>
          <t>WHITE FL</t>
        </is>
      </c>
      <c r="H1493" s="144" t="n">
        <v>1221</v>
      </c>
      <c r="I1493" s="144" t="inlineStr">
        <is>
          <t>COMMERCIAL</t>
        </is>
      </c>
    </row>
    <row r="1494" ht="18" customHeight="1" s="7">
      <c r="A1494" s="144" t="inlineStr">
        <is>
          <t>COTTRELL MARTIN</t>
        </is>
      </c>
      <c r="B1494" s="144" t="inlineStr">
        <is>
          <t>*000048915812 NC</t>
        </is>
      </c>
      <c r="C1494" s="144" t="inlineStr">
        <is>
          <t>MCLANE</t>
        </is>
      </c>
      <c r="D1494" s="144" t="n">
        <v>9019490428</v>
      </c>
      <c r="E1494" s="144" t="inlineStr">
        <is>
          <t>BOX</t>
        </is>
      </c>
      <c r="F1494" s="144" t="inlineStr">
        <is>
          <t>P966224 IL</t>
        </is>
      </c>
      <c r="G1494" s="144" t="inlineStr">
        <is>
          <t>WHITE PETERBILT</t>
        </is>
      </c>
      <c r="H1494" s="144" t="n">
        <v>7501</v>
      </c>
      <c r="I1494" s="144" t="inlineStr">
        <is>
          <t>COMMERCIAL</t>
        </is>
      </c>
    </row>
    <row r="1495" ht="18" customHeight="1" s="7">
      <c r="A1495" s="144" t="inlineStr">
        <is>
          <t>TODORVIC BOBAN</t>
        </is>
      </c>
      <c r="B1495" s="144" t="inlineStr">
        <is>
          <t>T361060761660 FL</t>
        </is>
      </c>
      <c r="C1495" s="144" t="inlineStr">
        <is>
          <t>TSK TRANS</t>
        </is>
      </c>
      <c r="D1495" s="144" t="n">
        <v>6306970751</v>
      </c>
      <c r="E1495" s="144" t="inlineStr">
        <is>
          <t>BOX</t>
        </is>
      </c>
      <c r="F1495" s="144" t="inlineStr">
        <is>
          <t>T76364Z WI</t>
        </is>
      </c>
      <c r="G1495" s="144" t="inlineStr">
        <is>
          <t>WHITE FL</t>
        </is>
      </c>
      <c r="H1495" s="144" t="n">
        <v>1221</v>
      </c>
      <c r="I1495" s="144" t="inlineStr">
        <is>
          <t>COMMERCIAL</t>
        </is>
      </c>
    </row>
    <row r="1496" ht="18" customHeight="1" s="7">
      <c r="A1496" s="144" t="inlineStr">
        <is>
          <t>JARVIS LEE</t>
        </is>
      </c>
      <c r="B1496" s="144" t="inlineStr">
        <is>
          <t>TF194501 OH</t>
        </is>
      </c>
      <c r="C1496" s="144" t="inlineStr">
        <is>
          <t>SLAM TRANSPORT</t>
        </is>
      </c>
      <c r="D1496" s="144" t="n">
        <v>3304399059</v>
      </c>
      <c r="E1496" s="144" t="inlineStr">
        <is>
          <t>BOX</t>
        </is>
      </c>
      <c r="F1496" s="144" t="inlineStr">
        <is>
          <t>3502157 IN</t>
        </is>
      </c>
      <c r="G1496" s="144" t="inlineStr">
        <is>
          <t>WHITE KENWORTH</t>
        </is>
      </c>
      <c r="H1496" s="144" t="n">
        <v>1221</v>
      </c>
      <c r="I1496" s="144" t="inlineStr">
        <is>
          <t>COMMERCIAL</t>
        </is>
      </c>
    </row>
    <row r="1497" ht="18" customHeight="1" s="7">
      <c r="A1497" s="144" t="inlineStr">
        <is>
          <t>EDWARD PIECHOCKI</t>
        </is>
      </c>
      <c r="B1497" s="144" t="inlineStr">
        <is>
          <t>P220665723900 FL</t>
        </is>
      </c>
      <c r="C1497" s="144" t="inlineStr">
        <is>
          <t>3 SIX 5</t>
        </is>
      </c>
      <c r="D1497" s="144" t="n">
        <v>9413562466</v>
      </c>
      <c r="E1497" s="144" t="inlineStr">
        <is>
          <t>BOX</t>
        </is>
      </c>
      <c r="F1497" s="144" t="inlineStr">
        <is>
          <t>XE063D FL</t>
        </is>
      </c>
      <c r="G1497" s="144" t="inlineStr">
        <is>
          <t>GRAY VOLVO</t>
        </is>
      </c>
      <c r="H1497" s="144" t="n">
        <v>1221</v>
      </c>
      <c r="I1497" s="144" t="inlineStr">
        <is>
          <t>COMMERCIAL</t>
        </is>
      </c>
    </row>
    <row r="1498" ht="18" customHeight="1" s="7">
      <c r="A1498" s="144" t="inlineStr">
        <is>
          <t>BRIAN DAVIS</t>
        </is>
      </c>
      <c r="B1498" s="144" t="inlineStr">
        <is>
          <t>039857623 GA</t>
        </is>
      </c>
      <c r="C1498" s="144" t="inlineStr">
        <is>
          <t>ALBANY AIR</t>
        </is>
      </c>
      <c r="D1498" s="144" t="n">
        <v>2293444151</v>
      </c>
      <c r="E1498" s="144" t="inlineStr">
        <is>
          <t>PU</t>
        </is>
      </c>
      <c r="F1498" s="144" t="inlineStr">
        <is>
          <t>RTI5199 GA</t>
        </is>
      </c>
      <c r="G1498" s="144" t="inlineStr">
        <is>
          <t>WHITE FORD</t>
        </is>
      </c>
      <c r="H1498" s="144" t="n">
        <v>7450</v>
      </c>
      <c r="I1498" s="144" t="inlineStr">
        <is>
          <t>CONTRACTOR</t>
        </is>
      </c>
    </row>
    <row r="1499" ht="18" customHeight="1" s="7">
      <c r="A1499" s="144" t="inlineStr">
        <is>
          <t>BRANDON EDWARDS</t>
        </is>
      </c>
      <c r="B1499" s="144" t="inlineStr">
        <is>
          <t>058443905 GA</t>
        </is>
      </c>
      <c r="C1499" s="144" t="inlineStr">
        <is>
          <t>A &amp; S</t>
        </is>
      </c>
      <c r="D1499" s="144" t="n">
        <v>2294028761</v>
      </c>
      <c r="E1499" s="144" t="inlineStr">
        <is>
          <t>PU</t>
        </is>
      </c>
      <c r="F1499" s="144" t="inlineStr">
        <is>
          <t>GAN259 GA</t>
        </is>
      </c>
      <c r="G1499" s="144" t="inlineStr">
        <is>
          <t>WHITE CHEVY</t>
        </is>
      </c>
      <c r="H1499" s="144" t="n">
        <v>1360</v>
      </c>
      <c r="I1499" s="144" t="inlineStr">
        <is>
          <t>CONTRACTOR</t>
        </is>
      </c>
    </row>
    <row r="1500" ht="18" customHeight="1" s="7">
      <c r="A1500" s="144" t="inlineStr">
        <is>
          <t>MARQUIS BRANTLEY</t>
        </is>
      </c>
      <c r="B1500" s="144" t="inlineStr">
        <is>
          <t>050261309 GA</t>
        </is>
      </c>
      <c r="C1500" s="144" t="inlineStr">
        <is>
          <t>MIDWEST FREIGHT</t>
        </is>
      </c>
      <c r="D1500" s="144" t="n">
        <v>2294109589</v>
      </c>
      <c r="E1500" s="144" t="inlineStr">
        <is>
          <t>BOX</t>
        </is>
      </c>
      <c r="F1500" s="144" t="inlineStr">
        <is>
          <t>RD55633 MI</t>
        </is>
      </c>
      <c r="G1500" s="144" t="inlineStr">
        <is>
          <t>WHITE FREIGHTLINER</t>
        </is>
      </c>
      <c r="H1500" s="144" t="n">
        <v>1221</v>
      </c>
      <c r="I1500" s="144" t="inlineStr">
        <is>
          <t>COMMERCIAL</t>
        </is>
      </c>
    </row>
    <row r="1501" ht="18" customHeight="1" s="7">
      <c r="A1501" s="144" t="inlineStr">
        <is>
          <t>NORMAN MOORE</t>
        </is>
      </c>
      <c r="B1501" s="144" t="inlineStr">
        <is>
          <t>M600621673770 FL</t>
        </is>
      </c>
      <c r="C1501" s="144" t="inlineStr">
        <is>
          <t>L &amp; T EXPRESS</t>
        </is>
      </c>
      <c r="D1501" s="144" t="n">
        <v>9044513775</v>
      </c>
      <c r="E1501" s="144" t="inlineStr">
        <is>
          <t>FLAT</t>
        </is>
      </c>
      <c r="F1501" s="144" t="inlineStr">
        <is>
          <t>XE287P FL</t>
        </is>
      </c>
      <c r="G1501" s="144" t="inlineStr">
        <is>
          <t>GRAY FREIGHT</t>
        </is>
      </c>
      <c r="H1501" s="144" t="n">
        <v>1221</v>
      </c>
      <c r="I1501" s="144" t="inlineStr">
        <is>
          <t>COMMERCIAL</t>
        </is>
      </c>
    </row>
    <row r="1502" ht="18" customHeight="1" s="7">
      <c r="A1502" s="144" t="inlineStr">
        <is>
          <t>ANTHONY CAPPS</t>
        </is>
      </c>
      <c r="B1502" s="144" t="inlineStr">
        <is>
          <t>055855893 GA</t>
        </is>
      </c>
      <c r="C1502" s="144" t="inlineStr">
        <is>
          <t>SAM SERVICES</t>
        </is>
      </c>
      <c r="D1502" s="144" t="n">
        <v>8554390450</v>
      </c>
      <c r="E1502" s="144" t="inlineStr">
        <is>
          <t>VAN</t>
        </is>
      </c>
      <c r="F1502" s="144" t="inlineStr">
        <is>
          <t>CTY8943 GA</t>
        </is>
      </c>
      <c r="G1502" s="144" t="inlineStr">
        <is>
          <t>WHITE FORD</t>
        </is>
      </c>
      <c r="H1502" s="144" t="n">
        <v>7450</v>
      </c>
      <c r="I1502" s="144" t="inlineStr">
        <is>
          <t>CONTRACTOR</t>
        </is>
      </c>
    </row>
    <row r="1503" ht="18" customHeight="1" s="7">
      <c r="A1503" s="144" t="inlineStr">
        <is>
          <t>OWEN GOETHIE</t>
        </is>
      </c>
      <c r="B1503" s="144" t="inlineStr">
        <is>
          <t>007314903 SC</t>
        </is>
      </c>
      <c r="C1503" s="144" t="inlineStr">
        <is>
          <t>OWEN GOETHIE</t>
        </is>
      </c>
      <c r="D1503" s="144" t="n">
        <v>8434762953</v>
      </c>
      <c r="E1503" s="144" t="inlineStr">
        <is>
          <t>FLAT</t>
        </is>
      </c>
      <c r="F1503" s="144" t="inlineStr">
        <is>
          <t>P782994 SC</t>
        </is>
      </c>
      <c r="G1503" s="144" t="inlineStr">
        <is>
          <t>GREEN PETERBILT</t>
        </is>
      </c>
      <c r="H1503" s="144" t="n">
        <v>1221</v>
      </c>
      <c r="I1503" s="144" t="inlineStr">
        <is>
          <t>COMMERCIAL</t>
        </is>
      </c>
    </row>
    <row r="1504" ht="18" customHeight="1" s="7">
      <c r="A1504" s="144" t="inlineStr">
        <is>
          <t>JAMES SULLIVAN</t>
        </is>
      </c>
      <c r="B1504" s="144" t="inlineStr">
        <is>
          <t>070744887 GA</t>
        </is>
      </c>
      <c r="C1504" s="144" t="inlineStr">
        <is>
          <t>MORRISON &amp; GRIMMETT</t>
        </is>
      </c>
      <c r="D1504" s="144" t="n">
        <v>2535799534</v>
      </c>
      <c r="E1504" s="144" t="inlineStr">
        <is>
          <t>PU</t>
        </is>
      </c>
      <c r="F1504" s="144" t="inlineStr">
        <is>
          <t>GIY201 GA</t>
        </is>
      </c>
      <c r="G1504" s="144" t="inlineStr">
        <is>
          <t>GRAY DODGE</t>
        </is>
      </c>
      <c r="H1504" s="144" t="n">
        <v>1351</v>
      </c>
      <c r="I1504" s="144" t="inlineStr">
        <is>
          <t>CONTRACTOR</t>
        </is>
      </c>
    </row>
    <row r="1505" ht="18" customHeight="1" s="7">
      <c r="A1505" s="144" t="inlineStr">
        <is>
          <t>VITALIY GOLUB</t>
        </is>
      </c>
      <c r="B1505" s="144" t="inlineStr">
        <is>
          <t>WDLB13R5263B WA</t>
        </is>
      </c>
      <c r="C1505" s="144" t="inlineStr">
        <is>
          <t>WESTFIELD EXPRESS</t>
        </is>
      </c>
      <c r="D1505" s="144" t="n">
        <v>2534397898</v>
      </c>
      <c r="E1505" s="144" t="inlineStr">
        <is>
          <t>FLAT</t>
        </is>
      </c>
      <c r="F1505" s="144" t="inlineStr">
        <is>
          <t>P1246757 IL</t>
        </is>
      </c>
      <c r="G1505" s="144" t="inlineStr">
        <is>
          <t>RED FREIGHTLINER</t>
        </is>
      </c>
      <c r="H1505" s="144" t="n">
        <v>1221</v>
      </c>
      <c r="I1505" s="144" t="inlineStr">
        <is>
          <t>COMMERCIAL</t>
        </is>
      </c>
    </row>
    <row r="1506" ht="18" customHeight="1" s="7">
      <c r="A1506" s="144" t="inlineStr">
        <is>
          <t>RYAN BOYETT</t>
        </is>
      </c>
      <c r="B1506" s="144" t="inlineStr">
        <is>
          <t>B300725760590 FL</t>
        </is>
      </c>
      <c r="C1506" s="144" t="inlineStr">
        <is>
          <t>B &amp; T FENCING</t>
        </is>
      </c>
      <c r="D1506" s="144" t="n">
        <v>8505093768</v>
      </c>
      <c r="E1506" s="144" t="inlineStr">
        <is>
          <t>PU</t>
        </is>
      </c>
      <c r="F1506" s="144" t="inlineStr">
        <is>
          <t>BTFNC FL</t>
        </is>
      </c>
      <c r="G1506" s="144" t="inlineStr">
        <is>
          <t>GRAY FORD</t>
        </is>
      </c>
      <c r="H1506" s="144" t="inlineStr">
        <is>
          <t>K9</t>
        </is>
      </c>
      <c r="I1506" s="144" t="inlineStr">
        <is>
          <t>CONTRACTOR</t>
        </is>
      </c>
    </row>
    <row r="1507" ht="18" customHeight="1" s="7">
      <c r="A1507" s="144" t="inlineStr">
        <is>
          <t>BOBBY OXENDINE</t>
        </is>
      </c>
      <c r="B1507" s="144" t="inlineStr">
        <is>
          <t>O253072754180 FL</t>
        </is>
      </c>
      <c r="C1507" s="144" t="inlineStr">
        <is>
          <t>CONST &amp; ROOFING</t>
        </is>
      </c>
      <c r="D1507" s="144" t="n">
        <v>8505730688</v>
      </c>
      <c r="E1507" s="144" t="inlineStr">
        <is>
          <t>PU</t>
        </is>
      </c>
      <c r="F1507" s="144" t="inlineStr">
        <is>
          <t>ISYB26 FL</t>
        </is>
      </c>
      <c r="G1507" s="144" t="inlineStr">
        <is>
          <t>BLACK FORD</t>
        </is>
      </c>
      <c r="H1507" s="144" t="inlineStr">
        <is>
          <t>KENNELS</t>
        </is>
      </c>
      <c r="I1507" s="144" t="inlineStr">
        <is>
          <t>CONTRACTOR</t>
        </is>
      </c>
    </row>
    <row r="1508" ht="18" customHeight="1" s="7">
      <c r="A1508" s="144" t="inlineStr">
        <is>
          <t>DANIEL SALTER</t>
        </is>
      </c>
      <c r="B1508" s="144" t="inlineStr">
        <is>
          <t>S436177884180 FL</t>
        </is>
      </c>
      <c r="C1508" s="144" t="inlineStr">
        <is>
          <t>WHALEY FOODS</t>
        </is>
      </c>
      <c r="D1508" s="144" t="n">
        <v>2533026880</v>
      </c>
      <c r="E1508" s="144" t="inlineStr">
        <is>
          <t>VAN</t>
        </is>
      </c>
      <c r="F1508" s="144" t="inlineStr">
        <is>
          <t>38A6WA3 AL</t>
        </is>
      </c>
      <c r="G1508" s="144" t="inlineStr">
        <is>
          <t>WHITE DODGE</t>
        </is>
      </c>
      <c r="H1508" s="144" t="n">
        <v>7501</v>
      </c>
      <c r="I1508" s="144" t="inlineStr">
        <is>
          <t>CONTRACTOR</t>
        </is>
      </c>
    </row>
    <row r="1509" ht="18" customHeight="1" s="7">
      <c r="A1509" s="144" t="inlineStr">
        <is>
          <t>CHRISTOPHER SMITH J</t>
        </is>
      </c>
      <c r="B1509" s="144" t="inlineStr">
        <is>
          <t>007908867 SC</t>
        </is>
      </c>
      <c r="C1509" s="144" t="inlineStr">
        <is>
          <t>UNITED TRANS</t>
        </is>
      </c>
      <c r="D1509" s="144" t="n">
        <v>8033788795</v>
      </c>
      <c r="E1509" s="144" t="inlineStr">
        <is>
          <t>FLAT</t>
        </is>
      </c>
      <c r="F1509" s="144" t="inlineStr">
        <is>
          <t>P778079 SC</t>
        </is>
      </c>
      <c r="G1509" s="144" t="inlineStr">
        <is>
          <t>RED PETERBILT</t>
        </is>
      </c>
      <c r="H1509" s="144" t="n">
        <v>1221</v>
      </c>
      <c r="I1509" s="144" t="inlineStr">
        <is>
          <t>COMMERCIAL</t>
        </is>
      </c>
    </row>
    <row r="1510" ht="18" customHeight="1" s="7">
      <c r="A1510" s="144" t="inlineStr">
        <is>
          <t>CLAUDE HUTCHINGS</t>
        </is>
      </c>
      <c r="B1510" s="144" t="inlineStr">
        <is>
          <t>035466628 GA</t>
        </is>
      </c>
      <c r="C1510" s="144" t="inlineStr">
        <is>
          <t>JONESTONE SUPPLY</t>
        </is>
      </c>
      <c r="D1510" s="144" t="n">
        <v>4789733757</v>
      </c>
      <c r="E1510" s="144" t="inlineStr">
        <is>
          <t>BOX</t>
        </is>
      </c>
      <c r="F1510" s="144" t="inlineStr">
        <is>
          <t>XC1369 GA</t>
        </is>
      </c>
      <c r="G1510" s="144" t="inlineStr">
        <is>
          <t>WHITE FREIGHTLINER</t>
        </is>
      </c>
      <c r="H1510" s="144" t="n">
        <v>5651</v>
      </c>
      <c r="I1510" s="144" t="inlineStr">
        <is>
          <t>COMMERCIAL</t>
        </is>
      </c>
    </row>
    <row r="1511" ht="18" customHeight="1" s="7">
      <c r="A1511" s="144" t="inlineStr">
        <is>
          <t>AMANI NIYOMUGABO</t>
        </is>
      </c>
      <c r="B1511" s="144" t="inlineStr">
        <is>
          <t>N21419164 KY</t>
        </is>
      </c>
      <c r="C1511" s="144" t="inlineStr">
        <is>
          <t>DELTA PRIME</t>
        </is>
      </c>
      <c r="D1511" s="144" t="n">
        <v>9095287503</v>
      </c>
      <c r="E1511" s="144" t="inlineStr">
        <is>
          <t>BOX</t>
        </is>
      </c>
      <c r="F1511" s="144" t="inlineStr">
        <is>
          <t>P1278277 IL</t>
        </is>
      </c>
      <c r="G1511" s="144" t="inlineStr">
        <is>
          <t>WHITE FREIGHTLINER</t>
        </is>
      </c>
      <c r="H1511" s="144" t="n">
        <v>1221</v>
      </c>
      <c r="I1511" s="144" t="inlineStr">
        <is>
          <t>COMMERCIAL</t>
        </is>
      </c>
    </row>
    <row r="1512" ht="18" customHeight="1" s="7">
      <c r="A1512" s="144" t="inlineStr">
        <is>
          <t>NORMAN PINEDA</t>
        </is>
      </c>
      <c r="B1512" s="144" t="inlineStr">
        <is>
          <t>005449737 LA</t>
        </is>
      </c>
      <c r="C1512" s="144" t="inlineStr">
        <is>
          <t>YERKES</t>
        </is>
      </c>
      <c r="D1512" s="144" t="n">
        <v>5049754134</v>
      </c>
      <c r="E1512" s="144" t="inlineStr">
        <is>
          <t>VAN</t>
        </is>
      </c>
      <c r="F1512" s="144" t="inlineStr">
        <is>
          <t>22026057 LA</t>
        </is>
      </c>
      <c r="G1512" s="144" t="inlineStr">
        <is>
          <t>WHITE FORD</t>
        </is>
      </c>
      <c r="H1512" s="144" t="n">
        <v>1221</v>
      </c>
      <c r="I1512" s="144" t="inlineStr">
        <is>
          <t>CONTRACTOR</t>
        </is>
      </c>
    </row>
    <row r="1513" ht="18" customHeight="1" s="7">
      <c r="A1513" s="144" t="inlineStr">
        <is>
          <t>THOMAS HEREFORD</t>
        </is>
      </c>
      <c r="B1513" s="144" t="inlineStr">
        <is>
          <t>H616837772430 FL</t>
        </is>
      </c>
      <c r="C1513" s="144" t="inlineStr">
        <is>
          <t>TOMMY SERVICES</t>
        </is>
      </c>
      <c r="D1513" s="144" t="n">
        <v>9047769515</v>
      </c>
      <c r="E1513" s="144" t="inlineStr">
        <is>
          <t>PU</t>
        </is>
      </c>
      <c r="F1513" s="144" t="inlineStr">
        <is>
          <t>83FEMH FL</t>
        </is>
      </c>
      <c r="G1513" s="144" t="inlineStr">
        <is>
          <t>WHITE FORD</t>
        </is>
      </c>
      <c r="H1513" s="144" t="n">
        <v>1221</v>
      </c>
      <c r="I1513" s="144" t="inlineStr">
        <is>
          <t>CONTRACTOR</t>
        </is>
      </c>
    </row>
    <row r="1514" ht="18" customHeight="1" s="7">
      <c r="A1514" s="144" t="inlineStr">
        <is>
          <t>CARLOS CLAYTON</t>
        </is>
      </c>
      <c r="B1514" s="144" t="inlineStr">
        <is>
          <t>051601006 GA</t>
        </is>
      </c>
      <c r="C1514" s="144" t="inlineStr">
        <is>
          <t>BUFFALO ROCK</t>
        </is>
      </c>
      <c r="D1514" s="144" t="n">
        <v>2297330274</v>
      </c>
      <c r="E1514" s="144" t="inlineStr">
        <is>
          <t>BOX</t>
        </is>
      </c>
      <c r="F1514" s="144" t="inlineStr">
        <is>
          <t>YBA292 GA</t>
        </is>
      </c>
      <c r="G1514" s="144" t="inlineStr">
        <is>
          <t>WHITE ISUZU</t>
        </is>
      </c>
      <c r="H1514" s="144" t="n">
        <v>7501</v>
      </c>
      <c r="I1514" s="144" t="inlineStr">
        <is>
          <t>COMMERCIAL</t>
        </is>
      </c>
    </row>
    <row r="1515" ht="18" customHeight="1" s="7">
      <c r="A1515" s="144" t="inlineStr">
        <is>
          <t>EDGAR BEAN</t>
        </is>
      </c>
      <c r="B1515" s="144" t="inlineStr">
        <is>
          <t>072223404 GA</t>
        </is>
      </c>
      <c r="C1515" s="144" t="inlineStr">
        <is>
          <t>S &amp; S</t>
        </is>
      </c>
      <c r="D1515" s="144" t="n">
        <v>8639788748</v>
      </c>
      <c r="E1515" s="144" t="inlineStr">
        <is>
          <t>PU</t>
        </is>
      </c>
      <c r="F1515" s="144" t="inlineStr">
        <is>
          <t>SSCRET3 GA</t>
        </is>
      </c>
      <c r="G1515" s="144" t="inlineStr">
        <is>
          <t>WHITE DODGE</t>
        </is>
      </c>
      <c r="H1515" s="144" t="inlineStr">
        <is>
          <t>BASEWIDE</t>
        </is>
      </c>
      <c r="I1515" s="144" t="inlineStr">
        <is>
          <t>CONTRACTOR</t>
        </is>
      </c>
    </row>
    <row r="1516" ht="18" customHeight="1" s="7">
      <c r="A1516" s="144" t="inlineStr">
        <is>
          <t>ANTONIO HALL</t>
        </is>
      </c>
      <c r="B1516" s="144" t="inlineStr">
        <is>
          <t>074123627 TN</t>
        </is>
      </c>
      <c r="C1516" s="144" t="inlineStr">
        <is>
          <t>MTM LOGISTICS</t>
        </is>
      </c>
      <c r="D1516" s="144" t="n">
        <v>6292716149</v>
      </c>
      <c r="E1516" s="144" t="inlineStr">
        <is>
          <t>BOX</t>
        </is>
      </c>
      <c r="F1516" s="144" t="inlineStr">
        <is>
          <t>P1180598 IL</t>
        </is>
      </c>
      <c r="G1516" s="144" t="inlineStr">
        <is>
          <t>WHITE VOLVO</t>
        </is>
      </c>
      <c r="H1516" s="144" t="n">
        <v>7500</v>
      </c>
      <c r="I1516" s="144" t="inlineStr">
        <is>
          <t>COMMERCIAL</t>
        </is>
      </c>
    </row>
    <row r="1517" ht="18" customHeight="1" s="7">
      <c r="A1517" s="144" t="inlineStr">
        <is>
          <t>TROY GUINYARD</t>
        </is>
      </c>
      <c r="B1517" s="144" t="inlineStr">
        <is>
          <t>007002985 SC</t>
        </is>
      </c>
      <c r="C1517" s="144" t="inlineStr">
        <is>
          <t>CORNERSTONE</t>
        </is>
      </c>
      <c r="D1517" s="144" t="n">
        <v>8036764336</v>
      </c>
      <c r="E1517" s="144" t="inlineStr">
        <is>
          <t>BOX</t>
        </is>
      </c>
      <c r="F1517" s="144" t="inlineStr">
        <is>
          <t>VV6942 NC</t>
        </is>
      </c>
      <c r="G1517" s="144" t="inlineStr">
        <is>
          <t>BLACK PETERBILT</t>
        </is>
      </c>
      <c r="H1517" s="144" t="n">
        <v>1221</v>
      </c>
      <c r="I1517" s="144" t="inlineStr">
        <is>
          <t>COMMERCIAL</t>
        </is>
      </c>
    </row>
    <row r="1518" ht="18" customHeight="1" s="7">
      <c r="A1518" s="144" t="inlineStr">
        <is>
          <t>NAQUAN FULLER</t>
        </is>
      </c>
      <c r="B1518" s="144" t="inlineStr">
        <is>
          <t>101831504 SC</t>
        </is>
      </c>
      <c r="C1518" s="144" t="inlineStr">
        <is>
          <t>PROLEAD</t>
        </is>
      </c>
      <c r="D1518" s="144" t="n">
        <v>8034129773</v>
      </c>
      <c r="E1518" s="144" t="inlineStr">
        <is>
          <t>BOX</t>
        </is>
      </c>
      <c r="F1518" s="144" t="inlineStr">
        <is>
          <t>P1250380 IL</t>
        </is>
      </c>
      <c r="G1518" s="144" t="inlineStr">
        <is>
          <t>WHITE INTERNATIONAL</t>
        </is>
      </c>
      <c r="H1518" s="144" t="n">
        <v>1221</v>
      </c>
      <c r="I1518" s="144" t="inlineStr">
        <is>
          <t>COMMERCIAL</t>
        </is>
      </c>
    </row>
    <row r="1519" ht="18" customHeight="1" s="7">
      <c r="A1519" s="144" t="inlineStr">
        <is>
          <t>IVAN IVANOVIC</t>
        </is>
      </c>
      <c r="B1519" s="144" t="inlineStr">
        <is>
          <t>I95293770003756 NJ</t>
        </is>
      </c>
      <c r="C1519" s="144" t="inlineStr">
        <is>
          <t>GRASSHOPPER</t>
        </is>
      </c>
      <c r="D1519" s="144" t="n">
        <v>2015398177</v>
      </c>
      <c r="E1519" s="144" t="inlineStr">
        <is>
          <t>BOX</t>
        </is>
      </c>
      <c r="F1519" s="144" t="inlineStr">
        <is>
          <t>P1273280 IL</t>
        </is>
      </c>
      <c r="G1519" s="144" t="inlineStr">
        <is>
          <t>WHITE VOLVO</t>
        </is>
      </c>
      <c r="H1519" s="144" t="n">
        <v>1221</v>
      </c>
      <c r="I1519" s="144" t="inlineStr">
        <is>
          <t>COMMERCIAL</t>
        </is>
      </c>
    </row>
    <row r="1520" ht="18" customHeight="1" s="7">
      <c r="A1520" s="144" t="inlineStr">
        <is>
          <t>AHMAD SADAAT</t>
        </is>
      </c>
      <c r="B1520" s="144" t="inlineStr">
        <is>
          <t>Y8958433 CA</t>
        </is>
      </c>
      <c r="C1520" s="144" t="inlineStr">
        <is>
          <t>ISP GLOBAL</t>
        </is>
      </c>
      <c r="D1520" s="144" t="n">
        <v>6193220055</v>
      </c>
      <c r="E1520" s="144" t="inlineStr">
        <is>
          <t>BOX</t>
        </is>
      </c>
      <c r="F1520" s="144" t="inlineStr">
        <is>
          <t>P1252484 IL</t>
        </is>
      </c>
      <c r="G1520" s="144" t="inlineStr">
        <is>
          <t>WHITE VOLVO</t>
        </is>
      </c>
      <c r="H1520" s="144" t="n">
        <v>1221</v>
      </c>
      <c r="I1520" s="144" t="inlineStr">
        <is>
          <t>COMMERCIAL</t>
        </is>
      </c>
    </row>
    <row r="1521" ht="18" customHeight="1" s="7">
      <c r="A1521" s="144" t="inlineStr">
        <is>
          <t xml:space="preserve">YENIER CASTILLO </t>
        </is>
      </c>
      <c r="B1521" s="144" t="inlineStr">
        <is>
          <t>C611999237000 FL</t>
        </is>
      </c>
      <c r="C1521" s="144" t="inlineStr">
        <is>
          <t>LANDY TRUCKING</t>
        </is>
      </c>
      <c r="D1521" s="144" t="n">
        <v>7867544495</v>
      </c>
      <c r="E1521" s="144" t="inlineStr">
        <is>
          <t>BOX</t>
        </is>
      </c>
      <c r="F1521" s="144" t="inlineStr">
        <is>
          <t>DF93BW FL</t>
        </is>
      </c>
      <c r="G1521" s="144" t="inlineStr">
        <is>
          <t>WHITE FREIGHTLINER</t>
        </is>
      </c>
      <c r="H1521" s="144" t="n">
        <v>1221</v>
      </c>
      <c r="I1521" s="144" t="inlineStr">
        <is>
          <t>COMMERCIAL</t>
        </is>
      </c>
    </row>
    <row r="1522" ht="18" customHeight="1" s="7">
      <c r="A1522" s="144" t="inlineStr">
        <is>
          <t>JEFFREY BALDWIN</t>
        </is>
      </c>
      <c r="B1522" s="144" t="inlineStr">
        <is>
          <t>054213266 GA</t>
        </is>
      </c>
      <c r="C1522" s="144" t="inlineStr">
        <is>
          <t>BALDWIN TRANSPORT</t>
        </is>
      </c>
      <c r="D1522" s="144" t="n">
        <v>7627661837</v>
      </c>
      <c r="E1522" s="144" t="inlineStr">
        <is>
          <t>PU</t>
        </is>
      </c>
      <c r="F1522" s="144" t="inlineStr">
        <is>
          <t>C009EK GA</t>
        </is>
      </c>
      <c r="G1522" s="144" t="inlineStr">
        <is>
          <t>SILVER DODGE</t>
        </is>
      </c>
      <c r="H1522" s="144" t="n">
        <v>5400</v>
      </c>
      <c r="I1522" s="144" t="inlineStr">
        <is>
          <t>CONTRACTOR</t>
        </is>
      </c>
    </row>
    <row r="1523" ht="18" customHeight="1" s="7">
      <c r="A1523" s="144" t="inlineStr">
        <is>
          <t>MONTIEL SERGIO</t>
        </is>
      </c>
      <c r="B1523" s="144" t="inlineStr">
        <is>
          <t>408AF3448 IO</t>
        </is>
      </c>
      <c r="C1523" s="144" t="inlineStr">
        <is>
          <t>SEVEN NINE EXPRESS</t>
        </is>
      </c>
      <c r="D1523" s="144" t="n">
        <v>3195946780</v>
      </c>
      <c r="E1523" s="144" t="inlineStr">
        <is>
          <t>PU</t>
        </is>
      </c>
      <c r="F1523" s="144" t="inlineStr">
        <is>
          <t>00T322 IO</t>
        </is>
      </c>
      <c r="G1523" s="144" t="inlineStr">
        <is>
          <t>BLACK DODGE</t>
        </is>
      </c>
      <c r="H1523" s="144" t="n">
        <v>1351</v>
      </c>
      <c r="I1523" s="144" t="inlineStr">
        <is>
          <t>CONTRACTOR</t>
        </is>
      </c>
    </row>
    <row r="1524" ht="18" customHeight="1" s="7">
      <c r="A1524" s="144" t="inlineStr">
        <is>
          <t>CHRISTIAN TAYLOR</t>
        </is>
      </c>
      <c r="B1524" s="144" t="inlineStr">
        <is>
          <t>060272139 GA</t>
        </is>
      </c>
      <c r="C1524" s="144" t="inlineStr">
        <is>
          <t>OXFORD</t>
        </is>
      </c>
      <c r="D1524" s="144" t="n">
        <v>2294073250</v>
      </c>
      <c r="E1524" s="144" t="inlineStr">
        <is>
          <t>PU</t>
        </is>
      </c>
      <c r="F1524" s="144" t="inlineStr">
        <is>
          <t>SGM8718 GA</t>
        </is>
      </c>
      <c r="G1524" s="144" t="inlineStr">
        <is>
          <t>GREEN FORD</t>
        </is>
      </c>
      <c r="H1524" s="144" t="inlineStr">
        <is>
          <t>GATE 15</t>
        </is>
      </c>
      <c r="I1524" s="144" t="inlineStr">
        <is>
          <t>CONTRACTOR</t>
        </is>
      </c>
    </row>
    <row r="1525" ht="18" customHeight="1" s="7">
      <c r="A1525" s="144" t="inlineStr">
        <is>
          <t>HEIDE GOUGH</t>
        </is>
      </c>
      <c r="B1525" s="144" t="inlineStr">
        <is>
          <t>095736807 TN</t>
        </is>
      </c>
      <c r="C1525" s="144" t="inlineStr">
        <is>
          <t>ROAD LEGENDS</t>
        </is>
      </c>
      <c r="D1525" s="144" t="n">
        <v>7733778721</v>
      </c>
      <c r="E1525" s="144" t="inlineStr">
        <is>
          <t>BOX</t>
        </is>
      </c>
      <c r="F1525" s="144" t="inlineStr">
        <is>
          <t>SPG504530 IL</t>
        </is>
      </c>
      <c r="G1525" s="144" t="inlineStr">
        <is>
          <t>BLUE FREIGHTLINER</t>
        </is>
      </c>
      <c r="H1525" s="144" t="n">
        <v>1221</v>
      </c>
      <c r="I1525" s="144" t="inlineStr">
        <is>
          <t>COMMERCIAL</t>
        </is>
      </c>
    </row>
    <row r="1526" ht="18" customHeight="1" s="7">
      <c r="A1526" s="144" t="inlineStr">
        <is>
          <t>BRAD BASKO</t>
        </is>
      </c>
      <c r="B1526" s="144" t="inlineStr">
        <is>
          <t>054311254 GA</t>
        </is>
      </c>
      <c r="C1526" s="144" t="inlineStr">
        <is>
          <t>SAM SERVICES</t>
        </is>
      </c>
      <c r="D1526" s="144" t="n">
        <v>2294492562</v>
      </c>
      <c r="E1526" s="144" t="inlineStr">
        <is>
          <t>PU</t>
        </is>
      </c>
      <c r="F1526" s="144" t="inlineStr">
        <is>
          <t>TGH2038 GA</t>
        </is>
      </c>
      <c r="G1526" s="144" t="inlineStr">
        <is>
          <t>WHITE CHEVY</t>
        </is>
      </c>
      <c r="H1526" s="144" t="inlineStr">
        <is>
          <t>BASEWIDE</t>
        </is>
      </c>
      <c r="I1526" s="144" t="inlineStr">
        <is>
          <t>CONTRACTOR</t>
        </is>
      </c>
    </row>
    <row r="1527" ht="18" customHeight="1" s="7">
      <c r="A1527" s="144" t="inlineStr">
        <is>
          <t>IBN BRYDIE</t>
        </is>
      </c>
      <c r="B1527" s="144" t="inlineStr">
        <is>
          <t>31263772 PA</t>
        </is>
      </c>
      <c r="C1527" s="144" t="inlineStr">
        <is>
          <t>TITAN TEAM</t>
        </is>
      </c>
      <c r="D1527" s="144" t="n">
        <v>4843534192</v>
      </c>
      <c r="E1527" s="144" t="inlineStr">
        <is>
          <t>BOX</t>
        </is>
      </c>
      <c r="F1527" s="144" t="inlineStr">
        <is>
          <t>AZ883R NJ</t>
        </is>
      </c>
      <c r="G1527" s="144" t="inlineStr">
        <is>
          <t>BLUE KENWORTH</t>
        </is>
      </c>
      <c r="H1527" s="144" t="n">
        <v>1221</v>
      </c>
      <c r="I1527" s="144" t="inlineStr">
        <is>
          <t>COMMERCIAL</t>
        </is>
      </c>
    </row>
    <row r="1528" ht="18" customHeight="1" s="7">
      <c r="A1528" s="144" t="inlineStr">
        <is>
          <t>JUSTIN CICHOWSKI</t>
        </is>
      </c>
      <c r="B1528" s="144" t="inlineStr">
        <is>
          <t>C22043783134 IL</t>
        </is>
      </c>
      <c r="C1528" s="144" t="inlineStr">
        <is>
          <t>VISTA TRANSPORT</t>
        </is>
      </c>
      <c r="D1528" s="144" t="n">
        <v>2248567313</v>
      </c>
      <c r="E1528" s="144" t="inlineStr">
        <is>
          <t>BOX</t>
        </is>
      </c>
      <c r="F1528" s="144" t="inlineStr">
        <is>
          <t>P1235266 IL</t>
        </is>
      </c>
      <c r="G1528" s="144" t="inlineStr">
        <is>
          <t>WHITE FREIGHTLINER</t>
        </is>
      </c>
      <c r="H1528" s="144" t="n">
        <v>1221</v>
      </c>
      <c r="I1528" s="144" t="inlineStr">
        <is>
          <t>COMMERCIAL</t>
        </is>
      </c>
    </row>
    <row r="1529" ht="18" customHeight="1" s="7">
      <c r="A1529" s="144" t="inlineStr">
        <is>
          <t>WILLIAM LUCEAR</t>
        </is>
      </c>
      <c r="B1529" s="144" t="inlineStr">
        <is>
          <t>*049751271 GA</t>
        </is>
      </c>
      <c r="C1529" s="144" t="inlineStr">
        <is>
          <t>ESG</t>
        </is>
      </c>
      <c r="D1529" s="144" t="n">
        <v>4044017372</v>
      </c>
      <c r="E1529" s="144" t="inlineStr">
        <is>
          <t>VAN</t>
        </is>
      </c>
      <c r="F1529" s="144" t="inlineStr">
        <is>
          <t>YSM120 GA</t>
        </is>
      </c>
      <c r="G1529" s="144" t="inlineStr">
        <is>
          <t>WHITE FORD</t>
        </is>
      </c>
      <c r="H1529" s="144" t="n">
        <v>2299</v>
      </c>
      <c r="I1529" s="144" t="inlineStr">
        <is>
          <t>CONTRACTOR</t>
        </is>
      </c>
    </row>
    <row r="1530" ht="18" customHeight="1" s="7">
      <c r="A1530" s="144" t="inlineStr">
        <is>
          <t>JEFFREY FULLWOOD</t>
        </is>
      </c>
      <c r="B1530" s="144" t="inlineStr">
        <is>
          <t>*055240135 GA</t>
        </is>
      </c>
      <c r="C1530" s="144" t="inlineStr">
        <is>
          <t>STATUS TRANSPORT</t>
        </is>
      </c>
      <c r="D1530" s="144" t="n">
        <v>4075747990</v>
      </c>
      <c r="E1530" s="144" t="inlineStr">
        <is>
          <t>BOX</t>
        </is>
      </c>
      <c r="F1530" s="144" t="inlineStr">
        <is>
          <t>P1035289 IL</t>
        </is>
      </c>
      <c r="G1530" s="144" t="inlineStr">
        <is>
          <t>WHITE FREIGHTLINER</t>
        </is>
      </c>
      <c r="H1530" s="144" t="n">
        <v>1221</v>
      </c>
      <c r="I1530" s="144" t="inlineStr">
        <is>
          <t>COMMERCIAL</t>
        </is>
      </c>
    </row>
    <row r="1531" ht="18" customHeight="1" s="7">
      <c r="A1531" s="144" t="inlineStr">
        <is>
          <t>HAREA EUGENIU</t>
        </is>
      </c>
      <c r="B1531" s="144" t="inlineStr">
        <is>
          <t>8337217 AL</t>
        </is>
      </c>
      <c r="C1531" s="144" t="inlineStr">
        <is>
          <t>MDA TRANSPORT</t>
        </is>
      </c>
      <c r="D1531" s="144" t="n">
        <v>2512692019</v>
      </c>
      <c r="E1531" s="144" t="inlineStr">
        <is>
          <t>FLAT</t>
        </is>
      </c>
      <c r="F1531" s="144" t="inlineStr">
        <is>
          <t>1213803 AL</t>
        </is>
      </c>
      <c r="G1531" s="144" t="inlineStr">
        <is>
          <t>BLACK VOLVO</t>
        </is>
      </c>
      <c r="H1531" s="144" t="n">
        <v>1221</v>
      </c>
      <c r="I1531" s="144" t="inlineStr">
        <is>
          <t>COMMERCIAL</t>
        </is>
      </c>
    </row>
    <row r="1532" ht="18" customHeight="1" s="7">
      <c r="A1532" s="144" t="inlineStr">
        <is>
          <t>GAVIN AMMONS</t>
        </is>
      </c>
      <c r="B1532" s="144" t="inlineStr">
        <is>
          <t>*056551481 GA</t>
        </is>
      </c>
      <c r="C1532" s="144" t="inlineStr">
        <is>
          <t>ALBANY AIR</t>
        </is>
      </c>
      <c r="D1532" s="144" t="n">
        <v>2294360341</v>
      </c>
      <c r="E1532" s="144" t="inlineStr">
        <is>
          <t>PU</t>
        </is>
      </c>
      <c r="F1532" s="144" t="inlineStr">
        <is>
          <t>BSR9956 GA</t>
        </is>
      </c>
      <c r="G1532" s="144" t="inlineStr">
        <is>
          <t>WHITE FORD</t>
        </is>
      </c>
      <c r="H1532" s="144" t="n">
        <v>7520</v>
      </c>
      <c r="I1532" s="144" t="inlineStr">
        <is>
          <t>CONTRACTOR</t>
        </is>
      </c>
    </row>
    <row r="1533" ht="18" customHeight="1" s="7">
      <c r="A1533" s="144" t="inlineStr">
        <is>
          <t>GARRAMONE WILLIAM</t>
        </is>
      </c>
      <c r="B1533" s="144" t="inlineStr">
        <is>
          <t>*072173759 TN</t>
        </is>
      </c>
      <c r="C1533" s="144" t="inlineStr">
        <is>
          <t>BUFFALO ROCK</t>
        </is>
      </c>
      <c r="D1533" s="144" t="n">
        <v>2292447136</v>
      </c>
      <c r="E1533" s="144" t="inlineStr">
        <is>
          <t>BOX</t>
        </is>
      </c>
      <c r="F1533" s="144" t="inlineStr">
        <is>
          <t>YBA292 GA</t>
        </is>
      </c>
      <c r="G1533" s="144" t="inlineStr">
        <is>
          <t>WHITE FORD</t>
        </is>
      </c>
      <c r="H1533" s="144" t="inlineStr">
        <is>
          <t>BASEWIDE</t>
        </is>
      </c>
      <c r="I1533" s="144" t="inlineStr">
        <is>
          <t>CONTRACTOR</t>
        </is>
      </c>
    </row>
    <row r="1534" ht="18" customHeight="1" s="7">
      <c r="A1534" s="144" t="inlineStr">
        <is>
          <t>SHIPUK SERKEY</t>
        </is>
      </c>
      <c r="B1534" s="144" t="inlineStr">
        <is>
          <t>WDL72PZ6503B WA</t>
        </is>
      </c>
      <c r="C1534" s="144" t="inlineStr">
        <is>
          <t>SHIPA EXPRESS</t>
        </is>
      </c>
      <c r="D1534" s="144" t="n">
        <v>5035692308</v>
      </c>
      <c r="E1534" s="144" t="inlineStr">
        <is>
          <t>BOX</t>
        </is>
      </c>
      <c r="F1534" s="144" t="inlineStr">
        <is>
          <t>80519RP WA</t>
        </is>
      </c>
      <c r="G1534" s="144" t="inlineStr">
        <is>
          <t>GRAY VOLVO</t>
        </is>
      </c>
      <c r="H1534" s="144" t="n">
        <v>1221</v>
      </c>
      <c r="I1534" s="144" t="inlineStr">
        <is>
          <t>COMMERCIAL</t>
        </is>
      </c>
    </row>
    <row r="1535" ht="18" customHeight="1" s="7">
      <c r="A1535" s="144" t="inlineStr">
        <is>
          <t>JASON SWIFT</t>
        </is>
      </c>
      <c r="B1535" s="144" t="inlineStr">
        <is>
          <t>*056287108 GA</t>
        </is>
      </c>
      <c r="C1535" s="144" t="inlineStr">
        <is>
          <t>QUALITY WRECKER</t>
        </is>
      </c>
      <c r="D1535" s="144" t="n">
        <v>2298694295</v>
      </c>
      <c r="E1535" s="144" t="inlineStr">
        <is>
          <t>FLAT</t>
        </is>
      </c>
      <c r="F1535" s="144" t="inlineStr">
        <is>
          <t>C429DS GA</t>
        </is>
      </c>
      <c r="G1535" s="144" t="inlineStr">
        <is>
          <t>YELLOW PETERBILT</t>
        </is>
      </c>
      <c r="H1535" s="144" t="n">
        <v>2211</v>
      </c>
      <c r="I1535" s="144" t="inlineStr">
        <is>
          <t>COMMERCIAL</t>
        </is>
      </c>
    </row>
    <row r="1536" ht="18" customHeight="1" s="7">
      <c r="A1536" s="144" t="inlineStr">
        <is>
          <t>JAMES MCKENNY</t>
        </is>
      </c>
      <c r="B1536" s="144" t="inlineStr">
        <is>
          <t>*057365337 GA</t>
        </is>
      </c>
      <c r="C1536" s="144" t="inlineStr">
        <is>
          <t>SRM</t>
        </is>
      </c>
      <c r="D1536" s="144" t="n">
        <v>2294344758</v>
      </c>
      <c r="E1536" s="144" t="inlineStr">
        <is>
          <t>DUMP</t>
        </is>
      </c>
      <c r="F1536" s="144" t="inlineStr">
        <is>
          <t>U0806HY TN</t>
        </is>
      </c>
      <c r="G1536" s="144" t="inlineStr">
        <is>
          <t>WHITE HMC</t>
        </is>
      </c>
      <c r="H1536" s="144" t="n">
        <v>2200</v>
      </c>
      <c r="I1536" s="144" t="inlineStr">
        <is>
          <t>COMMERCIAL</t>
        </is>
      </c>
    </row>
    <row r="1537" ht="18" customHeight="1" s="7">
      <c r="A1537" s="144" t="inlineStr">
        <is>
          <t>MELINDA VANHOOK</t>
        </is>
      </c>
      <c r="B1537" s="144" t="inlineStr">
        <is>
          <t>*055949841 GA</t>
        </is>
      </c>
      <c r="C1537" s="144" t="inlineStr">
        <is>
          <t>OXFORD</t>
        </is>
      </c>
      <c r="D1537" s="144" t="n">
        <v>2298833232</v>
      </c>
      <c r="E1537" s="144" t="inlineStr">
        <is>
          <t>DUMP</t>
        </is>
      </c>
      <c r="F1537" s="144" t="inlineStr">
        <is>
          <t>GAF930 GA</t>
        </is>
      </c>
      <c r="G1537" s="144" t="inlineStr">
        <is>
          <t>WHITE MACK</t>
        </is>
      </c>
      <c r="H1537" s="144" t="inlineStr">
        <is>
          <t>GATE 15</t>
        </is>
      </c>
      <c r="I1537" s="144" t="inlineStr">
        <is>
          <t>COMMERCIAL</t>
        </is>
      </c>
    </row>
    <row r="1538" ht="18" customHeight="1" s="7">
      <c r="A1538" s="144" t="inlineStr">
        <is>
          <t>PATRICK ALONZO</t>
        </is>
      </c>
      <c r="B1538" s="144" t="inlineStr">
        <is>
          <t>*055693900 GA</t>
        </is>
      </c>
      <c r="C1538" s="144" t="inlineStr">
        <is>
          <t>STREET TREATS</t>
        </is>
      </c>
      <c r="D1538" s="144" t="n">
        <v>2296551006</v>
      </c>
      <c r="E1538" s="144" t="inlineStr">
        <is>
          <t>VAN</t>
        </is>
      </c>
      <c r="F1538" s="144" t="inlineStr">
        <is>
          <t>XSE824 GA</t>
        </is>
      </c>
      <c r="G1538" s="144" t="inlineStr">
        <is>
          <t>ORANGE FORD</t>
        </is>
      </c>
      <c r="H1538" s="144" t="inlineStr">
        <is>
          <t>BASEWIDE</t>
        </is>
      </c>
      <c r="I1538" s="144" t="inlineStr">
        <is>
          <t>CONTRACTOR</t>
        </is>
      </c>
    </row>
    <row r="1539" ht="18" customHeight="1" s="7">
      <c r="A1539" s="144" t="inlineStr">
        <is>
          <t>ABUDLLAEV OYBEK</t>
        </is>
      </c>
      <c r="B1539" s="144" t="inlineStr">
        <is>
          <t>VD788250 OH</t>
        </is>
      </c>
      <c r="C1539" s="144" t="inlineStr">
        <is>
          <t>PRIME TIME</t>
        </is>
      </c>
      <c r="D1539" s="144" t="n">
        <v>4438818814</v>
      </c>
      <c r="E1539" s="144" t="inlineStr">
        <is>
          <t>BOX</t>
        </is>
      </c>
      <c r="F1539" s="144" t="inlineStr">
        <is>
          <t>PWS7044 OH</t>
        </is>
      </c>
      <c r="G1539" s="144" t="inlineStr">
        <is>
          <t>WHITE FREIGHTLINER</t>
        </is>
      </c>
      <c r="H1539" s="144" t="n">
        <v>1340</v>
      </c>
      <c r="I1539" s="144" t="inlineStr">
        <is>
          <t>COMMERCIAL</t>
        </is>
      </c>
    </row>
    <row r="1540" ht="18" customHeight="1" s="7">
      <c r="A1540" s="144" t="inlineStr">
        <is>
          <t>DANNY LONG</t>
        </is>
      </c>
      <c r="B1540" s="144" t="inlineStr">
        <is>
          <t>L520176662460</t>
        </is>
      </c>
      <c r="C1540" s="144" t="inlineStr">
        <is>
          <t>KLB SOUTH</t>
        </is>
      </c>
      <c r="D1540" s="144" t="n">
        <v>8505575924</v>
      </c>
      <c r="E1540" s="144" t="inlineStr">
        <is>
          <t>BOX</t>
        </is>
      </c>
      <c r="F1540" s="144" t="inlineStr">
        <is>
          <t>R716999 TX</t>
        </is>
      </c>
      <c r="G1540" s="144" t="inlineStr">
        <is>
          <t>BLACK PETERBILT</t>
        </is>
      </c>
      <c r="H1540" s="144" t="n">
        <v>7501</v>
      </c>
      <c r="I1540" s="144" t="inlineStr">
        <is>
          <t>COMMERCIAL</t>
        </is>
      </c>
    </row>
    <row r="1541" ht="18" customHeight="1" s="7">
      <c r="A1541" s="144" t="inlineStr">
        <is>
          <t>JASON MOORE</t>
        </is>
      </c>
      <c r="B1541" s="144" t="inlineStr">
        <is>
          <t>6864862 AL</t>
        </is>
      </c>
      <c r="C1541" s="144" t="inlineStr">
        <is>
          <t>WTW ENTERPRISE</t>
        </is>
      </c>
      <c r="D1541" s="144" t="n">
        <v>2563885609</v>
      </c>
      <c r="E1541" s="144" t="inlineStr">
        <is>
          <t>BOX</t>
        </is>
      </c>
      <c r="F1541" s="144" t="inlineStr">
        <is>
          <t>1209253 AL</t>
        </is>
      </c>
      <c r="G1541" s="144" t="inlineStr">
        <is>
          <t>BLACK PETERBILT</t>
        </is>
      </c>
      <c r="H1541" s="144" t="n">
        <v>1221</v>
      </c>
      <c r="I1541" s="144" t="inlineStr">
        <is>
          <t>COMMERCIAL</t>
        </is>
      </c>
    </row>
    <row r="1542" ht="18" customHeight="1" s="7">
      <c r="A1542" s="144" t="inlineStr">
        <is>
          <t>ERIC KEESLER</t>
        </is>
      </c>
      <c r="B1542" s="144" t="inlineStr">
        <is>
          <t>10064710 AL</t>
        </is>
      </c>
      <c r="C1542" s="144" t="inlineStr">
        <is>
          <t>FERGUSON WATER WORKS</t>
        </is>
      </c>
      <c r="D1542" s="144" t="n">
        <v>7065636010</v>
      </c>
      <c r="E1542" s="144" t="inlineStr">
        <is>
          <t>FLAT</t>
        </is>
      </c>
      <c r="F1542" s="144" t="inlineStr">
        <is>
          <t>61702X WI</t>
        </is>
      </c>
      <c r="G1542" s="144" t="inlineStr">
        <is>
          <t>WHITE FRIEGHTLINER</t>
        </is>
      </c>
      <c r="H1542" s="144" t="inlineStr">
        <is>
          <t>GATE1/5</t>
        </is>
      </c>
      <c r="I1542" s="144" t="inlineStr">
        <is>
          <t>COMMERCIAL</t>
        </is>
      </c>
    </row>
    <row r="1543" ht="18" customHeight="1" s="7">
      <c r="A1543" s="144" t="inlineStr">
        <is>
          <t>RICHARD WALLACE</t>
        </is>
      </c>
      <c r="B1543" s="144" t="inlineStr">
        <is>
          <t>049618051 GA</t>
        </is>
      </c>
      <c r="C1543" s="144" t="inlineStr">
        <is>
          <t>TAVUS</t>
        </is>
      </c>
      <c r="D1543" s="144" t="n">
        <v>7069700550</v>
      </c>
      <c r="E1543" s="144" t="inlineStr">
        <is>
          <t>FLAT</t>
        </is>
      </c>
      <c r="F1543" s="144" t="inlineStr">
        <is>
          <t>C649EV GA</t>
        </is>
      </c>
      <c r="G1543" s="144" t="inlineStr">
        <is>
          <t>BLUE WESTERN</t>
        </is>
      </c>
      <c r="H1543" s="144" t="n">
        <v>1221</v>
      </c>
      <c r="I1543" s="144" t="inlineStr">
        <is>
          <t>COMMERICAL</t>
        </is>
      </c>
    </row>
    <row r="1544" ht="18" customHeight="1" s="7">
      <c r="A1544" s="144" t="inlineStr">
        <is>
          <t>JORGJI PASKAL</t>
        </is>
      </c>
      <c r="B1544" s="144" t="inlineStr">
        <is>
          <t>J620435663400 FL</t>
        </is>
      </c>
      <c r="C1544" s="144" t="inlineStr">
        <is>
          <t>JORGJI LLC</t>
        </is>
      </c>
      <c r="D1544" s="144" t="n">
        <v>9045997087</v>
      </c>
      <c r="E1544" s="144" t="inlineStr">
        <is>
          <t>BOX</t>
        </is>
      </c>
      <c r="F1544" s="144" t="inlineStr">
        <is>
          <t>XA937K FL</t>
        </is>
      </c>
      <c r="G1544" s="144" t="inlineStr">
        <is>
          <t>WHITE VOLVO</t>
        </is>
      </c>
      <c r="H1544" s="144" t="n">
        <v>1221</v>
      </c>
      <c r="I1544" s="144" t="inlineStr">
        <is>
          <t>COMMERICAL</t>
        </is>
      </c>
    </row>
    <row r="1545" ht="18" customHeight="1" s="7">
      <c r="A1545" s="144" t="inlineStr">
        <is>
          <t>CHRISTOPHER LOYAL</t>
        </is>
      </c>
      <c r="B1545" s="144" t="inlineStr">
        <is>
          <t>*059167239 GA</t>
        </is>
      </c>
      <c r="C1545" s="144" t="inlineStr">
        <is>
          <t>NICE GUYS</t>
        </is>
      </c>
      <c r="D1545" s="144" t="n">
        <v>6788511142</v>
      </c>
      <c r="E1545" s="144" t="inlineStr">
        <is>
          <t>BOX</t>
        </is>
      </c>
      <c r="F1545" s="144" t="inlineStr">
        <is>
          <t>P1252240 IL</t>
        </is>
      </c>
      <c r="G1545" s="144" t="inlineStr">
        <is>
          <t>WHITE VOLVO</t>
        </is>
      </c>
      <c r="H1545" s="144" t="n">
        <v>1221</v>
      </c>
      <c r="I1545" s="144" t="inlineStr">
        <is>
          <t>COMMERCIAL</t>
        </is>
      </c>
    </row>
    <row r="1546" ht="18" customHeight="1" s="7">
      <c r="A1546" s="144" t="inlineStr">
        <is>
          <t>SINGH DALVINDER</t>
        </is>
      </c>
      <c r="B1546" s="144" t="inlineStr">
        <is>
          <t>811218379 NY</t>
        </is>
      </c>
      <c r="C1546" s="144" t="inlineStr">
        <is>
          <t>SARAY EXPRESS</t>
        </is>
      </c>
      <c r="D1546" s="144" t="n">
        <v>5138792384</v>
      </c>
      <c r="E1546" s="144" t="inlineStr">
        <is>
          <t>FLAT</t>
        </is>
      </c>
      <c r="F1546" s="144" t="inlineStr">
        <is>
          <t>P1236207 IL</t>
        </is>
      </c>
      <c r="G1546" s="144" t="inlineStr">
        <is>
          <t>WHITE FRIEGHTLINER</t>
        </is>
      </c>
      <c r="H1546" s="144" t="n">
        <v>1221</v>
      </c>
      <c r="I1546" s="144" t="inlineStr">
        <is>
          <t>COMMERCIAL</t>
        </is>
      </c>
    </row>
    <row r="1547" ht="18" customHeight="1" s="7">
      <c r="A1547" s="144" t="inlineStr">
        <is>
          <t>MARIUSZ IWINSKI</t>
        </is>
      </c>
      <c r="B1547" s="144" t="inlineStr">
        <is>
          <t>I96055190006742 NJ</t>
        </is>
      </c>
      <c r="C1547" s="144" t="inlineStr">
        <is>
          <t>XELA EXPRESS</t>
        </is>
      </c>
      <c r="D1547" s="144" t="n">
        <v>9733880202</v>
      </c>
      <c r="E1547" s="144" t="inlineStr">
        <is>
          <t>BOX</t>
        </is>
      </c>
      <c r="F1547" s="144" t="inlineStr">
        <is>
          <t>P1229113 IL</t>
        </is>
      </c>
      <c r="G1547" s="144" t="inlineStr">
        <is>
          <t>GREY VOLVO</t>
        </is>
      </c>
      <c r="H1547" s="144" t="n">
        <v>1221</v>
      </c>
      <c r="I1547" s="144" t="inlineStr">
        <is>
          <t>COMMERICAL</t>
        </is>
      </c>
    </row>
    <row r="1548" ht="18" customHeight="1" s="7">
      <c r="A1548" s="144" t="inlineStr">
        <is>
          <t>ALEX YOUNG</t>
        </is>
      </c>
      <c r="B1548" s="144" t="inlineStr">
        <is>
          <t>B156106001 MO</t>
        </is>
      </c>
      <c r="C1548" s="144" t="inlineStr">
        <is>
          <t>DOUBLE CREEK</t>
        </is>
      </c>
      <c r="D1548" s="144" t="n">
        <v>5735692451</v>
      </c>
      <c r="E1548" s="144" t="inlineStr">
        <is>
          <t>BOX</t>
        </is>
      </c>
      <c r="F1548" s="144" t="inlineStr">
        <is>
          <t>32KT4J MO</t>
        </is>
      </c>
      <c r="G1548" s="144" t="inlineStr">
        <is>
          <t>BLACK KENWORTH</t>
        </is>
      </c>
      <c r="H1548" s="144" t="n">
        <v>1221</v>
      </c>
      <c r="I1548" s="144" t="inlineStr">
        <is>
          <t>COMMERCIAL</t>
        </is>
      </c>
    </row>
    <row r="1549" ht="18" customHeight="1" s="7">
      <c r="A1549" s="144" t="inlineStr">
        <is>
          <t>HASSAN OSMAN</t>
        </is>
      </c>
      <c r="B1549" s="144" t="inlineStr">
        <is>
          <t>269967422 NY</t>
        </is>
      </c>
      <c r="C1549" s="144" t="inlineStr">
        <is>
          <t>COMPASSION</t>
        </is>
      </c>
      <c r="D1549" s="144" t="n">
        <v>3159030082</v>
      </c>
      <c r="E1549" s="144" t="inlineStr">
        <is>
          <t>BOX</t>
        </is>
      </c>
      <c r="F1549" s="144" t="inlineStr">
        <is>
          <t>3181867 IN</t>
        </is>
      </c>
      <c r="G1549" s="144" t="inlineStr">
        <is>
          <t>WHITE INTER</t>
        </is>
      </c>
      <c r="H1549" s="144" t="n">
        <v>1360</v>
      </c>
      <c r="I1549" s="144" t="inlineStr">
        <is>
          <t>COMMERCIAL</t>
        </is>
      </c>
    </row>
    <row r="1550" ht="18" customHeight="1" s="7">
      <c r="A1550" s="144" t="inlineStr">
        <is>
          <t>JORDAN TESSENSOHN</t>
        </is>
      </c>
      <c r="B1550" s="144" t="inlineStr">
        <is>
          <t>147980442 TN</t>
        </is>
      </c>
      <c r="C1550" s="144" t="inlineStr">
        <is>
          <t>QUICK FOX</t>
        </is>
      </c>
      <c r="D1550" s="144" t="n">
        <v>4079278844</v>
      </c>
      <c r="E1550" s="144" t="inlineStr">
        <is>
          <t>PU</t>
        </is>
      </c>
      <c r="F1550" s="144" t="inlineStr">
        <is>
          <t>C916HU TN</t>
        </is>
      </c>
      <c r="G1550" s="144" t="inlineStr">
        <is>
          <t>RED DODGE</t>
        </is>
      </c>
      <c r="H1550" s="144" t="n">
        <v>1221</v>
      </c>
      <c r="I1550" s="144" t="inlineStr">
        <is>
          <t>CONTRACTOR</t>
        </is>
      </c>
    </row>
    <row r="1551" ht="18" customHeight="1" s="7">
      <c r="A1551" s="144" t="inlineStr">
        <is>
          <t>JOSEPH BROWN</t>
        </is>
      </c>
      <c r="B1551" s="144" t="inlineStr">
        <is>
          <t>036816514 GA</t>
        </is>
      </c>
      <c r="C1551" s="144" t="inlineStr">
        <is>
          <t>CITY OF ALBANY</t>
        </is>
      </c>
      <c r="D1551" s="144" t="n">
        <v>2294188540</v>
      </c>
      <c r="E1551" s="144" t="inlineStr">
        <is>
          <t>DUMP</t>
        </is>
      </c>
      <c r="F1551" s="144" t="inlineStr">
        <is>
          <t>GV2548Q GA</t>
        </is>
      </c>
      <c r="G1551" s="144" t="inlineStr">
        <is>
          <t>WHITE KENWORTH</t>
        </is>
      </c>
      <c r="H1551" s="144" t="inlineStr">
        <is>
          <t>BASEWIDE</t>
        </is>
      </c>
      <c r="I1551" s="144" t="inlineStr">
        <is>
          <t>CONTRACTOR</t>
        </is>
      </c>
    </row>
    <row r="1552" ht="18" customHeight="1" s="7">
      <c r="A1552" s="144" t="inlineStr">
        <is>
          <t>SIMUEL BISHOP</t>
        </is>
      </c>
      <c r="B1552" s="144" t="inlineStr">
        <is>
          <t>055024532 GA</t>
        </is>
      </c>
      <c r="C1552" s="144" t="inlineStr">
        <is>
          <t>CITY OF ALBANY</t>
        </is>
      </c>
      <c r="D1552" s="144" t="n">
        <v>2293641167</v>
      </c>
      <c r="E1552" s="144" t="inlineStr">
        <is>
          <t>PU</t>
        </is>
      </c>
      <c r="F1552" s="144" t="inlineStr">
        <is>
          <t>GV0450A GA</t>
        </is>
      </c>
      <c r="G1552" s="144" t="inlineStr">
        <is>
          <t>WHITE FORD</t>
        </is>
      </c>
      <c r="H1552" s="144" t="inlineStr">
        <is>
          <t>GATE 15</t>
        </is>
      </c>
      <c r="I1552" s="144" t="inlineStr">
        <is>
          <t>CONTRACTOR</t>
        </is>
      </c>
    </row>
    <row r="1553" ht="18" customHeight="1" s="7">
      <c r="A1553" s="144" t="inlineStr">
        <is>
          <t>KENNETH SIMS</t>
        </is>
      </c>
      <c r="B1553" s="144" t="inlineStr">
        <is>
          <t>059637649 GA</t>
        </is>
      </c>
      <c r="C1553" s="144" t="inlineStr">
        <is>
          <t>BUDWISER</t>
        </is>
      </c>
      <c r="D1553" s="144" t="n">
        <v>2296039676</v>
      </c>
      <c r="E1553" s="144" t="inlineStr">
        <is>
          <t>VAN</t>
        </is>
      </c>
      <c r="F1553" s="144" t="inlineStr">
        <is>
          <t>RDQ2180 GA</t>
        </is>
      </c>
      <c r="G1553" s="144" t="inlineStr">
        <is>
          <t xml:space="preserve"> CHEV WHITE</t>
        </is>
      </c>
      <c r="H1553" s="144" t="n">
        <v>7501</v>
      </c>
      <c r="I1553" s="144" t="inlineStr">
        <is>
          <t>CONTRACTOR</t>
        </is>
      </c>
    </row>
    <row r="1554" ht="18" customHeight="1" s="7">
      <c r="A1554" s="144" t="inlineStr">
        <is>
          <t>COREY DRAYTON</t>
        </is>
      </c>
      <c r="B1554" s="144" t="inlineStr">
        <is>
          <t>051167391 GA</t>
        </is>
      </c>
      <c r="C1554" s="144" t="inlineStr">
        <is>
          <t>TTL</t>
        </is>
      </c>
      <c r="D1554" s="144" t="n">
        <v>2294027864</v>
      </c>
      <c r="E1554" s="144" t="inlineStr">
        <is>
          <t>PU</t>
        </is>
      </c>
      <c r="F1554" s="144" t="inlineStr">
        <is>
          <t>RVS5661 GA</t>
        </is>
      </c>
      <c r="G1554" s="144" t="inlineStr">
        <is>
          <t>WHITE TOYOTA</t>
        </is>
      </c>
      <c r="H1554" s="144" t="n">
        <v>7450</v>
      </c>
      <c r="I1554" s="144" t="inlineStr">
        <is>
          <t>CONTRACTOR</t>
        </is>
      </c>
    </row>
    <row r="1555" ht="18" customHeight="1" s="7">
      <c r="A1555" s="144" t="inlineStr">
        <is>
          <t>ERVING CHARLIE</t>
        </is>
      </c>
      <c r="B1555" s="144" t="inlineStr">
        <is>
          <t>6363230 MA</t>
        </is>
      </c>
      <c r="C1555" s="144" t="inlineStr">
        <is>
          <t>DAVEPORT</t>
        </is>
      </c>
      <c r="D1555" s="144" t="n">
        <v>2075303710</v>
      </c>
      <c r="E1555" s="144" t="inlineStr">
        <is>
          <t>FLAT</t>
        </is>
      </c>
      <c r="F1555" s="144" t="inlineStr">
        <is>
          <t>927808 MA</t>
        </is>
      </c>
      <c r="G1555" s="144" t="inlineStr">
        <is>
          <t>SILVER INTERNATIONAL</t>
        </is>
      </c>
      <c r="H1555" s="144" t="n">
        <v>1221</v>
      </c>
      <c r="I1555" s="144" t="inlineStr">
        <is>
          <t>COMMERCIAL</t>
        </is>
      </c>
    </row>
    <row r="1556" ht="18" customHeight="1" s="7">
      <c r="A1556" s="144" t="inlineStr">
        <is>
          <t>COREY COX</t>
        </is>
      </c>
      <c r="B1556" s="144" t="inlineStr">
        <is>
          <t>*058547130 GA</t>
        </is>
      </c>
      <c r="C1556" s="144" t="inlineStr">
        <is>
          <t>ABMERE</t>
        </is>
      </c>
      <c r="D1556" s="144" t="n">
        <v>2293086103</v>
      </c>
      <c r="E1556" s="144" t="inlineStr">
        <is>
          <t>BOX</t>
        </is>
      </c>
      <c r="F1556" s="144" t="inlineStr">
        <is>
          <t>C7387B GA</t>
        </is>
      </c>
      <c r="G1556" s="144" t="inlineStr">
        <is>
          <t>GRAY FRIEGHTLINER</t>
        </is>
      </c>
      <c r="H1556" s="144" t="n">
        <v>1221</v>
      </c>
      <c r="I1556" s="144" t="inlineStr">
        <is>
          <t>COMMERCIAL</t>
        </is>
      </c>
    </row>
    <row r="1557" ht="18" customHeight="1" s="7">
      <c r="A1557" s="144" t="inlineStr">
        <is>
          <t>CHARMARIN NORMAN</t>
        </is>
      </c>
      <c r="B1557" s="144" t="inlineStr">
        <is>
          <t>*045861985 GA</t>
        </is>
      </c>
      <c r="C1557" s="144" t="inlineStr">
        <is>
          <t>HD ELITE</t>
        </is>
      </c>
      <c r="D1557" s="144" t="n">
        <v>6785312071</v>
      </c>
      <c r="E1557" s="144" t="inlineStr">
        <is>
          <t>BOX</t>
        </is>
      </c>
      <c r="F1557" s="144" t="inlineStr">
        <is>
          <t>YAQ959 GA</t>
        </is>
      </c>
      <c r="G1557" s="144" t="inlineStr">
        <is>
          <t>WHITE INTER</t>
        </is>
      </c>
      <c r="H1557" s="144" t="n">
        <v>5500</v>
      </c>
      <c r="I1557" s="144" t="inlineStr">
        <is>
          <t>COMMERCIAL</t>
        </is>
      </c>
    </row>
    <row r="1558" ht="18" customHeight="1" s="7">
      <c r="A1558" s="144" t="inlineStr">
        <is>
          <t>ANTHONY MAREUS</t>
        </is>
      </c>
      <c r="B1558" s="144" t="inlineStr">
        <is>
          <t>*054283412 GA</t>
        </is>
      </c>
      <c r="C1558" s="144" t="inlineStr">
        <is>
          <t>ACT</t>
        </is>
      </c>
      <c r="D1558" s="144" t="n">
        <v>2293497104</v>
      </c>
      <c r="E1558" s="144" t="inlineStr">
        <is>
          <t>PU</t>
        </is>
      </c>
      <c r="F1558" s="144" t="inlineStr">
        <is>
          <t>38A2MRX AL</t>
        </is>
      </c>
      <c r="G1558" s="144" t="inlineStr">
        <is>
          <t>WHITE CHEVY</t>
        </is>
      </c>
      <c r="H1558" s="144" t="inlineStr">
        <is>
          <t>HOUSING</t>
        </is>
      </c>
      <c r="I1558" s="144" t="inlineStr">
        <is>
          <t>CONTRACTOR</t>
        </is>
      </c>
    </row>
    <row r="1559" ht="18" customHeight="1" s="7">
      <c r="A1559" s="144" t="inlineStr">
        <is>
          <t>ZACKARY BENTLEY</t>
        </is>
      </c>
      <c r="B1559" s="144" t="inlineStr">
        <is>
          <t>*059525933 GA</t>
        </is>
      </c>
      <c r="C1559" s="144" t="inlineStr">
        <is>
          <t>RUG DOCTOR</t>
        </is>
      </c>
      <c r="D1559" s="144" t="n">
        <v>2298819578</v>
      </c>
      <c r="E1559" s="144" t="inlineStr">
        <is>
          <t>VAN</t>
        </is>
      </c>
      <c r="F1559" s="144" t="inlineStr">
        <is>
          <t>SFW9710 GA</t>
        </is>
      </c>
      <c r="G1559" s="144" t="inlineStr">
        <is>
          <t>WHITE FORD</t>
        </is>
      </c>
      <c r="H1559" s="144" t="n">
        <v>7501</v>
      </c>
      <c r="I1559" s="144" t="inlineStr">
        <is>
          <t>CONTRACTOR</t>
        </is>
      </c>
    </row>
    <row r="1560" ht="18" customHeight="1" s="7">
      <c r="A1560" s="144" t="inlineStr">
        <is>
          <t>OVCHAROVA OLGA</t>
        </is>
      </c>
      <c r="B1560" s="144" t="inlineStr">
        <is>
          <t>531958466 NY</t>
        </is>
      </c>
      <c r="C1560" s="144" t="inlineStr">
        <is>
          <t>FRIEGHT EXPRESS</t>
        </is>
      </c>
      <c r="D1560" s="144" t="n">
        <v>3477680772</v>
      </c>
      <c r="E1560" s="144" t="inlineStr">
        <is>
          <t>BOX</t>
        </is>
      </c>
      <c r="F1560" s="144" t="inlineStr">
        <is>
          <t>46812PF NY</t>
        </is>
      </c>
      <c r="G1560" s="144" t="inlineStr">
        <is>
          <t>WHITE FRIEGHTLINER</t>
        </is>
      </c>
      <c r="H1560" s="144" t="n">
        <v>1221</v>
      </c>
      <c r="I1560" s="144" t="inlineStr">
        <is>
          <t>COMMERCIAL</t>
        </is>
      </c>
    </row>
    <row r="1561" ht="18" customHeight="1" s="7">
      <c r="A1561" s="144" t="inlineStr">
        <is>
          <t>KAVANAUGH LEDALE</t>
        </is>
      </c>
      <c r="B1561" s="144" t="inlineStr">
        <is>
          <t>K93234568 KY</t>
        </is>
      </c>
      <c r="C1561" s="144" t="inlineStr">
        <is>
          <t>LANDSTAR</t>
        </is>
      </c>
      <c r="D1561" s="144" t="n">
        <v>8592007992</v>
      </c>
      <c r="E1561" s="144" t="inlineStr">
        <is>
          <t>FLAT</t>
        </is>
      </c>
      <c r="F1561" s="144" t="inlineStr">
        <is>
          <t>2508948 IN</t>
        </is>
      </c>
      <c r="G1561" s="144" t="inlineStr">
        <is>
          <t>WHITE WESTERN STAR</t>
        </is>
      </c>
      <c r="H1561" s="144" t="n">
        <v>1221</v>
      </c>
      <c r="I1561" s="144" t="inlineStr">
        <is>
          <t>COMMERCIAL</t>
        </is>
      </c>
    </row>
    <row r="1562" ht="18" customHeight="1" s="7">
      <c r="A1562" s="144" t="inlineStr">
        <is>
          <t>MURRAY WASHINGTON</t>
        </is>
      </c>
      <c r="B1562" s="144" t="inlineStr">
        <is>
          <t>*051683658 GA</t>
        </is>
      </c>
      <c r="C1562" s="144" t="inlineStr">
        <is>
          <t xml:space="preserve">LEGACY </t>
        </is>
      </c>
      <c r="D1562" s="144" t="n">
        <v>2293524300</v>
      </c>
      <c r="E1562" s="144" t="inlineStr">
        <is>
          <t>DUMP</t>
        </is>
      </c>
      <c r="F1562" s="144" t="inlineStr">
        <is>
          <t>GIQ294 GA</t>
        </is>
      </c>
      <c r="G1562" s="144" t="inlineStr">
        <is>
          <t>WHITE WESTERN STAR</t>
        </is>
      </c>
      <c r="H1562" s="144" t="n">
        <v>2200</v>
      </c>
      <c r="I1562" s="144" t="inlineStr">
        <is>
          <t>COMMERCIAL</t>
        </is>
      </c>
    </row>
    <row r="1563" ht="18" customHeight="1" s="7">
      <c r="A1563" s="144" t="inlineStr">
        <is>
          <t>CLIFTON JOHNSON</t>
        </is>
      </c>
      <c r="B1563" s="144" t="inlineStr">
        <is>
          <t>*023215161 GA</t>
        </is>
      </c>
      <c r="C1563" s="144" t="inlineStr">
        <is>
          <t>CONCRETE ENTERP</t>
        </is>
      </c>
      <c r="D1563" s="144" t="n">
        <v>2298881904</v>
      </c>
      <c r="E1563" s="144" t="inlineStr">
        <is>
          <t>DUMP</t>
        </is>
      </c>
      <c r="F1563" s="144" t="inlineStr">
        <is>
          <t>GGR742 GA</t>
        </is>
      </c>
      <c r="G1563" s="144" t="inlineStr">
        <is>
          <t>WHITE FRIEGHTLINER</t>
        </is>
      </c>
      <c r="H1563" s="144" t="n">
        <v>2200</v>
      </c>
      <c r="I1563" s="144" t="inlineStr">
        <is>
          <t>COMMERCIAL</t>
        </is>
      </c>
    </row>
    <row r="1564" ht="18" customHeight="1" s="7">
      <c r="A1564" s="144" t="inlineStr">
        <is>
          <t>LEGGETTE AISHIA</t>
        </is>
      </c>
      <c r="B1564" s="144" t="inlineStr">
        <is>
          <t>*007777831 SC</t>
        </is>
      </c>
      <c r="C1564" s="144" t="inlineStr">
        <is>
          <t xml:space="preserve">MILLERS </t>
        </is>
      </c>
      <c r="D1564" s="144" t="n">
        <v>8439332070</v>
      </c>
      <c r="E1564" s="144" t="inlineStr">
        <is>
          <t>BOX</t>
        </is>
      </c>
      <c r="F1564" s="144" t="inlineStr">
        <is>
          <t>A007858 SC</t>
        </is>
      </c>
      <c r="G1564" s="144" t="inlineStr">
        <is>
          <t>RED VOLVO</t>
        </is>
      </c>
      <c r="H1564" s="144" t="n">
        <v>1221</v>
      </c>
      <c r="I1564" s="144" t="inlineStr">
        <is>
          <t>COMMERCIAL</t>
        </is>
      </c>
    </row>
    <row r="1565" ht="18" customHeight="1" s="7">
      <c r="A1565" s="144" t="inlineStr">
        <is>
          <t>TYLER HALL</t>
        </is>
      </c>
      <c r="B1565" s="144" t="inlineStr">
        <is>
          <t>*056172872 GA</t>
        </is>
      </c>
      <c r="C1565" s="144" t="inlineStr">
        <is>
          <t>J&amp; H</t>
        </is>
      </c>
      <c r="D1565" s="144" t="n">
        <v>7063447495</v>
      </c>
      <c r="E1565" s="144" t="inlineStr">
        <is>
          <t>PU</t>
        </is>
      </c>
      <c r="F1565" s="144" t="inlineStr">
        <is>
          <t>JHBLRS2 GA</t>
        </is>
      </c>
      <c r="G1565" s="144" t="inlineStr">
        <is>
          <t>WHITE CHEVY</t>
        </is>
      </c>
      <c r="H1565" s="144" t="n">
        <v>2211</v>
      </c>
      <c r="I1565" s="144" t="inlineStr">
        <is>
          <t>CONTRACTOR</t>
        </is>
      </c>
    </row>
    <row r="1566" ht="18" customHeight="1" s="7">
      <c r="A1566" s="144" t="inlineStr">
        <is>
          <t>JAYME JOHNSTON</t>
        </is>
      </c>
      <c r="B1566" s="144" t="inlineStr">
        <is>
          <t>*050992563 GA</t>
        </is>
      </c>
      <c r="C1566" s="144" t="inlineStr">
        <is>
          <t>J&amp; H</t>
        </is>
      </c>
      <c r="D1566" s="144" t="n">
        <v>7063447495</v>
      </c>
      <c r="E1566" s="144" t="inlineStr">
        <is>
          <t>PU</t>
        </is>
      </c>
      <c r="F1566" s="144" t="inlineStr">
        <is>
          <t>JHBLRS6 GA</t>
        </is>
      </c>
      <c r="G1566" s="144" t="inlineStr">
        <is>
          <t>WHITE CHEVY</t>
        </is>
      </c>
      <c r="H1566" s="144" t="n">
        <v>2211</v>
      </c>
      <c r="I1566" s="144" t="inlineStr">
        <is>
          <t>CONTRACTOR</t>
        </is>
      </c>
    </row>
    <row r="1567" ht="18" customHeight="1" s="7">
      <c r="A1567" s="144" t="inlineStr">
        <is>
          <t>CHRISTOPHER GLENN</t>
        </is>
      </c>
      <c r="B1567" s="144" t="inlineStr">
        <is>
          <t>*049806074 GA</t>
        </is>
      </c>
      <c r="C1567" s="144" t="inlineStr">
        <is>
          <t>PEACH STATE KING</t>
        </is>
      </c>
      <c r="D1567" s="144" t="n">
        <v>4786624590</v>
      </c>
      <c r="E1567" s="144" t="inlineStr">
        <is>
          <t>DUMP</t>
        </is>
      </c>
      <c r="F1567" s="144" t="inlineStr">
        <is>
          <t>GGR347 GA</t>
        </is>
      </c>
      <c r="G1567" s="144" t="inlineStr">
        <is>
          <t>WHITE PETERBILT</t>
        </is>
      </c>
      <c r="H1567" s="144" t="n">
        <v>2200</v>
      </c>
      <c r="I1567" s="144" t="inlineStr">
        <is>
          <t>COMMERCIAL</t>
        </is>
      </c>
    </row>
    <row r="1568" ht="18" customHeight="1" s="7">
      <c r="A1568" s="144" t="inlineStr">
        <is>
          <t>ISLER LUTYEA</t>
        </is>
      </c>
      <c r="B1568" s="144" t="inlineStr">
        <is>
          <t>I627736789000 FL</t>
        </is>
      </c>
      <c r="C1568" s="144" t="inlineStr">
        <is>
          <t>PRIMEWAY</t>
        </is>
      </c>
      <c r="D1568" s="144" t="n">
        <v>2528641435</v>
      </c>
      <c r="E1568" s="144" t="inlineStr">
        <is>
          <t>BOX</t>
        </is>
      </c>
      <c r="F1568" s="144" t="inlineStr">
        <is>
          <t>3653146 IN</t>
        </is>
      </c>
      <c r="G1568" s="144" t="inlineStr">
        <is>
          <t>WHITE INTER</t>
        </is>
      </c>
      <c r="H1568" s="144" t="n">
        <v>1221</v>
      </c>
      <c r="I1568" s="144" t="inlineStr">
        <is>
          <t>COMMERCIAL</t>
        </is>
      </c>
    </row>
    <row r="1569" ht="18" customHeight="1" s="7">
      <c r="A1569" s="144" t="inlineStr">
        <is>
          <t>BEZERRA THIAGO</t>
        </is>
      </c>
      <c r="B1569" s="144" t="inlineStr">
        <is>
          <t>B261800851250 FL</t>
        </is>
      </c>
      <c r="C1569" s="144" t="inlineStr">
        <is>
          <t>GC UNIVERSAL</t>
        </is>
      </c>
      <c r="D1569" s="144" t="n">
        <v>7818537525</v>
      </c>
      <c r="E1569" s="144" t="inlineStr">
        <is>
          <t>FLAT</t>
        </is>
      </c>
      <c r="F1569" s="144" t="inlineStr">
        <is>
          <t>SPG508171 IL</t>
        </is>
      </c>
      <c r="G1569" s="144" t="inlineStr">
        <is>
          <t>WHITE FRIEGHTLINER</t>
        </is>
      </c>
      <c r="H1569" s="144" t="n">
        <v>1241</v>
      </c>
      <c r="I1569" s="144" t="inlineStr">
        <is>
          <t>COMMERCIAL</t>
        </is>
      </c>
    </row>
    <row r="1570" ht="18" customHeight="1" s="7">
      <c r="A1570" s="144" t="inlineStr">
        <is>
          <t>JOHN FERNANDEZ</t>
        </is>
      </c>
      <c r="B1570" s="144" t="inlineStr">
        <is>
          <t>029438653GA</t>
        </is>
      </c>
      <c r="C1570" s="144" t="inlineStr">
        <is>
          <t>CENTIMARK</t>
        </is>
      </c>
      <c r="D1570" s="144" t="n">
        <v>40403926778</v>
      </c>
      <c r="E1570" s="144" t="inlineStr">
        <is>
          <t>FLAT</t>
        </is>
      </c>
      <c r="F1570" s="144" t="inlineStr">
        <is>
          <t>P1198986 IL</t>
        </is>
      </c>
      <c r="G1570" s="144" t="inlineStr">
        <is>
          <t>WHITE INTERNATIONAL</t>
        </is>
      </c>
      <c r="H1570" s="144" t="n">
        <v>3700</v>
      </c>
      <c r="I1570" s="144" t="inlineStr">
        <is>
          <t>COMMERCIAL</t>
        </is>
      </c>
    </row>
    <row r="1571" ht="18" customHeight="1" s="7">
      <c r="A1571" s="144" t="inlineStr">
        <is>
          <t>FLORIN MAFTEI</t>
        </is>
      </c>
      <c r="B1571" s="144" t="inlineStr">
        <is>
          <t>M130255340022 MI</t>
        </is>
      </c>
      <c r="C1571" s="144" t="inlineStr">
        <is>
          <t>KEEN CARGO</t>
        </is>
      </c>
      <c r="D1571" s="144" t="n">
        <v>5963448354</v>
      </c>
      <c r="E1571" s="144" t="inlineStr">
        <is>
          <t>BOX</t>
        </is>
      </c>
      <c r="F1571" s="144" t="inlineStr">
        <is>
          <t>3790922 IN</t>
        </is>
      </c>
      <c r="G1571" s="144" t="inlineStr">
        <is>
          <t>WHITE FRIEGHTLINER</t>
        </is>
      </c>
      <c r="H1571" s="144" t="n">
        <v>1221</v>
      </c>
      <c r="I1571" s="144" t="inlineStr">
        <is>
          <t>COMMERCIAL</t>
        </is>
      </c>
    </row>
    <row r="1572" ht="18" customHeight="1" s="7">
      <c r="A1572" s="144" t="inlineStr">
        <is>
          <t>BIGHAM JASON</t>
        </is>
      </c>
      <c r="B1572" s="144" t="inlineStr">
        <is>
          <t>B5818861 CA</t>
        </is>
      </c>
      <c r="C1572" s="144" t="inlineStr">
        <is>
          <t>MAG</t>
        </is>
      </c>
      <c r="D1572" s="144" t="n">
        <v>3239154518</v>
      </c>
      <c r="E1572" s="144" t="inlineStr">
        <is>
          <t>BOX</t>
        </is>
      </c>
      <c r="F1572" s="144" t="inlineStr">
        <is>
          <t>42112U3 CA</t>
        </is>
      </c>
      <c r="G1572" s="144" t="inlineStr">
        <is>
          <t>WHITE FRIEGHTLINER</t>
        </is>
      </c>
      <c r="H1572" s="144" t="n">
        <v>1221</v>
      </c>
      <c r="I1572" s="144" t="inlineStr">
        <is>
          <t>COMMERCIAL</t>
        </is>
      </c>
    </row>
    <row r="1573" ht="18" customHeight="1" s="7">
      <c r="A1573" s="144" t="inlineStr">
        <is>
          <t>BENJAMIN WALKER M</t>
        </is>
      </c>
      <c r="B1573" s="144" t="inlineStr">
        <is>
          <t>*059686694 GA</t>
        </is>
      </c>
      <c r="C1573" s="144" t="inlineStr">
        <is>
          <t>MAG</t>
        </is>
      </c>
      <c r="D1573" s="144" t="n">
        <v>4044167018</v>
      </c>
      <c r="E1573" s="144" t="inlineStr">
        <is>
          <t>BOX</t>
        </is>
      </c>
      <c r="F1573" s="144" t="inlineStr">
        <is>
          <t>C252DD GA</t>
        </is>
      </c>
      <c r="G1573" s="144" t="inlineStr">
        <is>
          <t>WHITE FRIEGHTLINER</t>
        </is>
      </c>
      <c r="H1573" s="144" t="n">
        <v>1221</v>
      </c>
      <c r="I1573" s="144" t="inlineStr">
        <is>
          <t>COMMERCIAL</t>
        </is>
      </c>
    </row>
    <row r="1574" ht="18" customHeight="1" s="7">
      <c r="A1574" s="144" t="inlineStr">
        <is>
          <t>ROBERT GILLIAM JR</t>
        </is>
      </c>
      <c r="B1574" s="144" t="inlineStr">
        <is>
          <t>*029198595 GA</t>
        </is>
      </c>
      <c r="C1574" s="144" t="inlineStr">
        <is>
          <t>A-1</t>
        </is>
      </c>
      <c r="D1574" s="144" t="n">
        <v>2294363990</v>
      </c>
      <c r="E1574" s="144" t="inlineStr">
        <is>
          <t>FLAT</t>
        </is>
      </c>
      <c r="F1574" s="144" t="inlineStr">
        <is>
          <t>EHD729 GA</t>
        </is>
      </c>
      <c r="G1574" s="144" t="inlineStr">
        <is>
          <t>RED PETERBILT</t>
        </is>
      </c>
      <c r="H1574" s="144" t="n">
        <v>1221</v>
      </c>
      <c r="I1574" s="144" t="inlineStr">
        <is>
          <t>COMMERCIAL</t>
        </is>
      </c>
    </row>
    <row r="1575" ht="18" customHeight="1" s="7">
      <c r="A1575" s="144" t="inlineStr">
        <is>
          <t>RANDY SASSER</t>
        </is>
      </c>
      <c r="B1575" s="144" t="inlineStr">
        <is>
          <t>3600435 AL</t>
        </is>
      </c>
      <c r="C1575" s="144" t="inlineStr">
        <is>
          <t>LANDSTAR</t>
        </is>
      </c>
      <c r="D1575" s="144" t="n">
        <v>3345388119</v>
      </c>
      <c r="E1575" s="144" t="inlineStr">
        <is>
          <t>FLAT</t>
        </is>
      </c>
      <c r="F1575" s="144" t="inlineStr">
        <is>
          <t>2509376 IN</t>
        </is>
      </c>
      <c r="G1575" s="144" t="inlineStr">
        <is>
          <t>PURPLE WESTERN STAR</t>
        </is>
      </c>
      <c r="H1575" s="144" t="n">
        <v>1221</v>
      </c>
      <c r="I1575" s="144" t="inlineStr">
        <is>
          <t>COMMERCIAL</t>
        </is>
      </c>
    </row>
    <row r="1576" ht="18" customHeight="1" s="7">
      <c r="A1576" s="144" t="inlineStr">
        <is>
          <t>RANDALL ANDERSON</t>
        </is>
      </c>
      <c r="B1576" s="144" t="inlineStr">
        <is>
          <t>*049526749 GA</t>
        </is>
      </c>
      <c r="C1576" s="144" t="inlineStr">
        <is>
          <t>S&amp;S CONCRETE</t>
        </is>
      </c>
      <c r="D1576" s="144" t="n">
        <v>2294388566</v>
      </c>
      <c r="E1576" s="144" t="inlineStr">
        <is>
          <t>PU</t>
        </is>
      </c>
      <c r="F1576" s="144" t="inlineStr">
        <is>
          <t>SSCRET7 GA</t>
        </is>
      </c>
      <c r="G1576" s="144" t="inlineStr">
        <is>
          <t>WHITE DODGE</t>
        </is>
      </c>
      <c r="H1576" s="144" t="n">
        <v>2200</v>
      </c>
      <c r="I1576" s="144" t="inlineStr">
        <is>
          <t>CONTRACTOR</t>
        </is>
      </c>
    </row>
    <row r="1577" ht="18" customHeight="1" s="7">
      <c r="A1577" s="144" t="inlineStr">
        <is>
          <t>CRUZ JOHN</t>
        </is>
      </c>
      <c r="B1577" s="144" t="inlineStr">
        <is>
          <t>1604039752 NE</t>
        </is>
      </c>
      <c r="C1577" s="144" t="inlineStr">
        <is>
          <t>LUXTON LOGISTICS</t>
        </is>
      </c>
      <c r="D1577" s="144" t="n">
        <v>7027212275</v>
      </c>
      <c r="E1577" s="144" t="inlineStr">
        <is>
          <t>BOX</t>
        </is>
      </c>
      <c r="F1577" s="144" t="inlineStr">
        <is>
          <t>3523198 PA</t>
        </is>
      </c>
      <c r="G1577" s="144" t="inlineStr">
        <is>
          <t>GRAY VOLVO</t>
        </is>
      </c>
      <c r="H1577" s="144" t="n">
        <v>1221</v>
      </c>
      <c r="I1577" s="144" t="inlineStr">
        <is>
          <t>COMMERCIAL</t>
        </is>
      </c>
    </row>
    <row r="1578" ht="18" customHeight="1" s="7">
      <c r="A1578" s="144" t="inlineStr">
        <is>
          <t>BERNARD HAYES</t>
        </is>
      </c>
      <c r="B1578" s="144" t="inlineStr">
        <is>
          <t>*050341377 GA</t>
        </is>
      </c>
      <c r="C1578" s="144" t="inlineStr">
        <is>
          <t>CITY OF ALBANY</t>
        </is>
      </c>
      <c r="D1578" s="144" t="n">
        <v>2298942846</v>
      </c>
      <c r="E1578" s="144" t="inlineStr">
        <is>
          <t>PU</t>
        </is>
      </c>
      <c r="F1578" s="144" t="inlineStr">
        <is>
          <t>GV2393R GA</t>
        </is>
      </c>
      <c r="G1578" s="144" t="inlineStr">
        <is>
          <t>WHITE FORD</t>
        </is>
      </c>
      <c r="H1578" s="144" t="inlineStr">
        <is>
          <t>K-9</t>
        </is>
      </c>
      <c r="I1578" s="144" t="inlineStr">
        <is>
          <t>CONTRACTOR</t>
        </is>
      </c>
    </row>
    <row r="1579" ht="18" customHeight="1" s="7">
      <c r="A1579" s="144" t="inlineStr">
        <is>
          <t>SINGH BALJIT</t>
        </is>
      </c>
      <c r="B1579" s="144" t="inlineStr">
        <is>
          <t>Y7095314 CA</t>
        </is>
      </c>
      <c r="C1579" s="144" t="inlineStr">
        <is>
          <t>CHHINA CARRIERS</t>
        </is>
      </c>
      <c r="D1579" s="144" t="n">
        <v>6612180810</v>
      </c>
      <c r="E1579" s="144" t="inlineStr">
        <is>
          <t>BOX</t>
        </is>
      </c>
      <c r="F1579" s="144" t="inlineStr">
        <is>
          <t>YP49833 CA</t>
        </is>
      </c>
      <c r="G1579" s="144" t="inlineStr">
        <is>
          <t>WHITE VOLCO</t>
        </is>
      </c>
      <c r="H1579" s="144" t="n">
        <v>1221</v>
      </c>
      <c r="I1579" s="144" t="inlineStr">
        <is>
          <t>COMMERCIAL</t>
        </is>
      </c>
    </row>
    <row r="1580" ht="18" customHeight="1" s="7">
      <c r="A1580" s="144" t="inlineStr">
        <is>
          <t>JARRETT JOHNSON</t>
        </is>
      </c>
      <c r="B1580" s="144" t="inlineStr">
        <is>
          <t>*057414075 GA</t>
        </is>
      </c>
      <c r="C1580" s="144" t="inlineStr">
        <is>
          <t>JOHNSON CONTROL</t>
        </is>
      </c>
      <c r="D1580" s="144" t="n">
        <v>2297331076</v>
      </c>
      <c r="E1580" s="144" t="inlineStr">
        <is>
          <t>VAN</t>
        </is>
      </c>
      <c r="F1580" s="144" t="inlineStr">
        <is>
          <t>SIT3617 GA</t>
        </is>
      </c>
      <c r="G1580" s="144" t="inlineStr">
        <is>
          <t>WHITE FORD</t>
        </is>
      </c>
      <c r="H1580" s="144" t="n">
        <v>3600</v>
      </c>
      <c r="I1580" s="144" t="inlineStr">
        <is>
          <t>CONTRACTOR</t>
        </is>
      </c>
    </row>
    <row r="1581" ht="18" customHeight="1" s="7">
      <c r="A1581" s="144" t="inlineStr">
        <is>
          <t>JEFFERY HOLLIMAN</t>
        </is>
      </c>
      <c r="B1581" s="144" t="inlineStr">
        <is>
          <t>H455431611750 FL</t>
        </is>
      </c>
      <c r="C1581" s="144" t="inlineStr">
        <is>
          <t>K TECH</t>
        </is>
      </c>
      <c r="D1581" s="144" t="n">
        <v>9547939750</v>
      </c>
      <c r="E1581" s="144" t="inlineStr">
        <is>
          <t>BOX</t>
        </is>
      </c>
      <c r="F1581" s="144" t="inlineStr">
        <is>
          <t>DF74EL FL</t>
        </is>
      </c>
      <c r="G1581" s="144" t="inlineStr">
        <is>
          <t>WHITE FREIGHTLINER</t>
        </is>
      </c>
      <c r="H1581" s="144" t="n">
        <v>1221</v>
      </c>
      <c r="I1581" s="144" t="inlineStr">
        <is>
          <t>COMMERCIAL</t>
        </is>
      </c>
    </row>
    <row r="1582" ht="18" customHeight="1" s="7">
      <c r="A1582" s="144" t="inlineStr">
        <is>
          <t>ENRIQUE TRETO</t>
        </is>
      </c>
      <c r="B1582" s="144" t="inlineStr">
        <is>
          <t>216518177 NY</t>
        </is>
      </c>
      <c r="C1582" s="144" t="inlineStr">
        <is>
          <t xml:space="preserve">PRECISSION </t>
        </is>
      </c>
      <c r="D1582" s="144" t="n">
        <v>5856049997</v>
      </c>
      <c r="E1582" s="144" t="inlineStr">
        <is>
          <t>VAN</t>
        </is>
      </c>
      <c r="F1582" s="144" t="inlineStr">
        <is>
          <t>64829NF NY</t>
        </is>
      </c>
      <c r="G1582" s="144" t="inlineStr">
        <is>
          <t>WHITE FORD</t>
        </is>
      </c>
      <c r="H1582" s="144" t="n">
        <v>1221</v>
      </c>
      <c r="I1582" s="144" t="inlineStr">
        <is>
          <t>CONTRACTOR</t>
        </is>
      </c>
    </row>
    <row r="1583" ht="18" customHeight="1" s="7">
      <c r="A1583" s="144" t="inlineStr">
        <is>
          <t>JAMIE BURNS</t>
        </is>
      </c>
      <c r="B1583" s="144" t="inlineStr">
        <is>
          <t>NHL16961820 NH</t>
        </is>
      </c>
      <c r="C1583" s="144" t="inlineStr">
        <is>
          <t>RT RELOCATION</t>
        </is>
      </c>
      <c r="D1583" s="144" t="n">
        <v>9783144504</v>
      </c>
      <c r="E1583" s="144" t="inlineStr">
        <is>
          <t>BOX</t>
        </is>
      </c>
      <c r="F1583" s="144" t="inlineStr">
        <is>
          <t>AE87611 AZ</t>
        </is>
      </c>
      <c r="G1583" s="144" t="inlineStr">
        <is>
          <t>WHITE FORD</t>
        </is>
      </c>
      <c r="H1583" s="144" t="n">
        <v>7130</v>
      </c>
      <c r="I1583" s="144" t="inlineStr">
        <is>
          <t>CONTRACTOR</t>
        </is>
      </c>
    </row>
    <row r="1584" ht="18" customHeight="1" s="7">
      <c r="A1584" s="144" t="inlineStr">
        <is>
          <t>TONY HUFF</t>
        </is>
      </c>
      <c r="B1584" s="144" t="inlineStr">
        <is>
          <t>*055707619 GA</t>
        </is>
      </c>
      <c r="C1584" s="144" t="inlineStr">
        <is>
          <t>LANDSTAR</t>
        </is>
      </c>
      <c r="D1584" s="144" t="n">
        <v>7062482348</v>
      </c>
      <c r="E1584" s="144" t="inlineStr">
        <is>
          <t>VAN</t>
        </is>
      </c>
      <c r="F1584" s="144" t="inlineStr">
        <is>
          <t>2518610 IN</t>
        </is>
      </c>
      <c r="G1584" s="144" t="inlineStr">
        <is>
          <t>WHITE SPRINTER</t>
        </is>
      </c>
      <c r="H1584" s="144" t="n">
        <v>1221</v>
      </c>
      <c r="I1584" s="144" t="inlineStr">
        <is>
          <t>CONTRACTOR</t>
        </is>
      </c>
    </row>
    <row r="1585" ht="18" customHeight="1" s="7">
      <c r="A1585" s="144" t="inlineStr">
        <is>
          <t>TERRY FARLEY</t>
        </is>
      </c>
      <c r="B1585" s="144" t="inlineStr">
        <is>
          <t>M082608696 OK</t>
        </is>
      </c>
      <c r="C1585" s="144" t="inlineStr">
        <is>
          <t>PINK PANTHERS INC</t>
        </is>
      </c>
      <c r="D1585" s="144" t="n">
        <v>5807994805</v>
      </c>
      <c r="E1585" s="144" t="inlineStr">
        <is>
          <t>BOX</t>
        </is>
      </c>
      <c r="F1585" s="144" t="inlineStr">
        <is>
          <t>P1287199 IL</t>
        </is>
      </c>
      <c r="G1585" s="144" t="inlineStr">
        <is>
          <t>BLUE FREIGHTLINER</t>
        </is>
      </c>
      <c r="H1585" s="144" t="n">
        <v>1221</v>
      </c>
      <c r="I1585" s="144" t="inlineStr">
        <is>
          <t>COMMERCIAL</t>
        </is>
      </c>
    </row>
    <row r="1586" ht="18" customHeight="1" s="7">
      <c r="A1586" s="144" t="inlineStr">
        <is>
          <t>KYLE MCDONALD</t>
        </is>
      </c>
      <c r="B1586" s="144" t="inlineStr">
        <is>
          <t>*053945205 GA</t>
        </is>
      </c>
      <c r="C1586" s="144" t="inlineStr">
        <is>
          <t>FEDEX</t>
        </is>
      </c>
      <c r="D1586" s="144" t="n">
        <v>2293958298</v>
      </c>
      <c r="E1586" s="144" t="inlineStr">
        <is>
          <t>BOX</t>
        </is>
      </c>
      <c r="F1586" s="144" t="inlineStr">
        <is>
          <t>WQF567 GA</t>
        </is>
      </c>
      <c r="G1586" s="144" t="inlineStr">
        <is>
          <t>WHITE FREIGHTLINER</t>
        </is>
      </c>
      <c r="H1586" s="144" t="inlineStr">
        <is>
          <t>BASEWIDE</t>
        </is>
      </c>
      <c r="I1586" s="144" t="inlineStr">
        <is>
          <t>CONTRACTOR</t>
        </is>
      </c>
    </row>
    <row r="1587" ht="18" customHeight="1" s="7">
      <c r="A1587" s="144" t="inlineStr">
        <is>
          <t>CARL DAVIDSON</t>
        </is>
      </c>
      <c r="B1587" s="144" t="inlineStr">
        <is>
          <t>*060655886 GA</t>
        </is>
      </c>
      <c r="C1587" s="144" t="inlineStr">
        <is>
          <t>ADA LOGISTIC</t>
        </is>
      </c>
      <c r="D1587" s="144" t="n">
        <v>6465001016</v>
      </c>
      <c r="E1587" s="144" t="inlineStr">
        <is>
          <t>BOX</t>
        </is>
      </c>
      <c r="F1587" s="144" t="inlineStr">
        <is>
          <t>R545497 TX</t>
        </is>
      </c>
      <c r="G1587" s="144" t="inlineStr">
        <is>
          <t>RED INTERNATIONAL</t>
        </is>
      </c>
      <c r="H1587" s="144" t="n">
        <v>1221</v>
      </c>
      <c r="I1587" s="144" t="inlineStr">
        <is>
          <t>COMMERICAL</t>
        </is>
      </c>
    </row>
    <row r="1588" ht="18" customHeight="1" s="7">
      <c r="A1588" s="144" t="inlineStr">
        <is>
          <t>JASON RANEW</t>
        </is>
      </c>
      <c r="B1588" s="144" t="inlineStr">
        <is>
          <t>*049034377 GA</t>
        </is>
      </c>
      <c r="C1588" s="144" t="inlineStr">
        <is>
          <t>SEPTIC SOLUTIONS</t>
        </is>
      </c>
      <c r="D1588" s="144" t="n">
        <v>2294072108</v>
      </c>
      <c r="E1588" s="144" t="inlineStr">
        <is>
          <t>BOX</t>
        </is>
      </c>
      <c r="F1588" s="144" t="inlineStr">
        <is>
          <t>YHE500 GA</t>
        </is>
      </c>
      <c r="G1588" s="144" t="inlineStr">
        <is>
          <t>WHITE FORD</t>
        </is>
      </c>
      <c r="H1588" s="144" t="inlineStr">
        <is>
          <t>CDC</t>
        </is>
      </c>
      <c r="I1588" s="144" t="inlineStr">
        <is>
          <t>CONTRACTOR</t>
        </is>
      </c>
    </row>
    <row r="1589" ht="18" customHeight="1" s="7">
      <c r="A1589" s="144" t="inlineStr">
        <is>
          <t>MARQUEZ LOVE</t>
        </is>
      </c>
      <c r="B1589" s="144" t="inlineStr">
        <is>
          <t>*059472545 GA</t>
        </is>
      </c>
      <c r="C1589" s="144" t="inlineStr">
        <is>
          <t>COLEMAN AMERICA</t>
        </is>
      </c>
      <c r="D1589" s="144" t="n">
        <v>7065308668</v>
      </c>
      <c r="E1589" s="144" t="inlineStr">
        <is>
          <t>BOX</t>
        </is>
      </c>
      <c r="F1589" s="144" t="inlineStr">
        <is>
          <t>1175888 AL</t>
        </is>
      </c>
      <c r="G1589" s="144" t="inlineStr">
        <is>
          <t>INTERNATIONAL</t>
        </is>
      </c>
      <c r="H1589" s="144" t="inlineStr">
        <is>
          <t>HOUSING</t>
        </is>
      </c>
      <c r="I1589" s="144" t="inlineStr">
        <is>
          <t>COMMERICAL</t>
        </is>
      </c>
    </row>
    <row r="1590" ht="18" customHeight="1" s="7">
      <c r="A1590" s="144" t="inlineStr">
        <is>
          <t>TYLER LAWRENCE</t>
        </is>
      </c>
      <c r="B1590" s="144" t="inlineStr">
        <is>
          <t>060939746 GA</t>
        </is>
      </c>
      <c r="C1590" s="144" t="inlineStr">
        <is>
          <t>ALLIED</t>
        </is>
      </c>
      <c r="D1590" s="144" t="n">
        <v>7065870591</v>
      </c>
      <c r="E1590" s="144" t="inlineStr">
        <is>
          <t>BOX</t>
        </is>
      </c>
      <c r="F1590" s="144" t="inlineStr">
        <is>
          <t>1175750 AL</t>
        </is>
      </c>
      <c r="G1590" s="144" t="inlineStr">
        <is>
          <t xml:space="preserve"> ORANGE INTERNATIONAL</t>
        </is>
      </c>
      <c r="H1590" s="144" t="n">
        <v>7130</v>
      </c>
      <c r="I1590" s="144" t="inlineStr">
        <is>
          <t>COMMERICAL</t>
        </is>
      </c>
    </row>
    <row r="1591" ht="18" customHeight="1" s="7">
      <c r="A1591" s="144" t="inlineStr">
        <is>
          <t>MATTHEW GERDES</t>
        </is>
      </c>
      <c r="B1591" s="144" t="inlineStr">
        <is>
          <t>K02032794 KS</t>
        </is>
      </c>
      <c r="C1591" s="144" t="inlineStr">
        <is>
          <t>KIM LOGISTIC</t>
        </is>
      </c>
      <c r="D1591" s="144" t="n">
        <v>7854104816</v>
      </c>
      <c r="E1591" s="144" t="inlineStr">
        <is>
          <t>BOX</t>
        </is>
      </c>
      <c r="F1591" s="144" t="inlineStr">
        <is>
          <t>P1286683 IL</t>
        </is>
      </c>
      <c r="G1591" s="144" t="inlineStr">
        <is>
          <t>BLUE FREIGHTLINER</t>
        </is>
      </c>
      <c r="H1591" s="144" t="n">
        <v>1221</v>
      </c>
      <c r="I1591" s="144" t="inlineStr">
        <is>
          <t>COMMERICAL</t>
        </is>
      </c>
    </row>
    <row r="1592" ht="18" customHeight="1" s="7">
      <c r="A1592" s="144" t="inlineStr">
        <is>
          <t>JOSPH TERRELL</t>
        </is>
      </c>
      <c r="B1592" s="144" t="inlineStr">
        <is>
          <t>*055564902 GA</t>
        </is>
      </c>
      <c r="C1592" s="144" t="inlineStr">
        <is>
          <t>SAIA</t>
        </is>
      </c>
      <c r="D1592" s="144" t="n">
        <v>2295208810</v>
      </c>
      <c r="E1592" s="144" t="inlineStr">
        <is>
          <t>BOX</t>
        </is>
      </c>
      <c r="F1592" s="144" t="inlineStr">
        <is>
          <t>P269126 LA</t>
        </is>
      </c>
      <c r="G1592" s="144" t="inlineStr">
        <is>
          <t>RED FREIGHTLINER</t>
        </is>
      </c>
      <c r="H1592" s="144" t="inlineStr">
        <is>
          <t>MCX</t>
        </is>
      </c>
      <c r="I1592" s="144" t="inlineStr">
        <is>
          <t>COMMERICAL</t>
        </is>
      </c>
    </row>
    <row r="1593" ht="18" customHeight="1" s="7">
      <c r="A1593" s="144" t="inlineStr">
        <is>
          <t>ROBERT PARKER</t>
        </is>
      </c>
      <c r="B1593" s="144" t="inlineStr">
        <is>
          <t>051211270 GA</t>
        </is>
      </c>
      <c r="C1593" s="144" t="inlineStr">
        <is>
          <t>LUBRICATION SERVICE</t>
        </is>
      </c>
      <c r="D1593" s="144" t="n">
        <v>7702350881</v>
      </c>
      <c r="E1593" s="144" t="inlineStr">
        <is>
          <t>PU</t>
        </is>
      </c>
      <c r="F1593" s="144" t="inlineStr">
        <is>
          <t>SGF8771 GA</t>
        </is>
      </c>
      <c r="G1593" s="144" t="inlineStr">
        <is>
          <t xml:space="preserve">BLACK FORD </t>
        </is>
      </c>
      <c r="H1593" s="144" t="n">
        <v>2211</v>
      </c>
      <c r="I1593" s="144" t="inlineStr">
        <is>
          <t>CONTRACTOR</t>
        </is>
      </c>
    </row>
    <row r="1594" ht="18" customHeight="1" s="7">
      <c r="A1594" s="144" t="inlineStr">
        <is>
          <t>JACQUELINE JAMES</t>
        </is>
      </c>
      <c r="B1594" s="144" t="inlineStr">
        <is>
          <t>056811382 GA</t>
        </is>
      </c>
      <c r="C1594" s="144" t="inlineStr">
        <is>
          <t>APPLE MOVING</t>
        </is>
      </c>
      <c r="D1594" s="144" t="n">
        <v>7065873597</v>
      </c>
      <c r="E1594" s="144" t="inlineStr">
        <is>
          <t>BOX</t>
        </is>
      </c>
      <c r="F1594" s="144" t="inlineStr">
        <is>
          <t>75371P VA</t>
        </is>
      </c>
      <c r="G1594" s="144" t="inlineStr">
        <is>
          <t>WHITE GMC</t>
        </is>
      </c>
      <c r="H1594" s="144" t="inlineStr">
        <is>
          <t>HOUSING</t>
        </is>
      </c>
      <c r="I1594" s="144" t="inlineStr">
        <is>
          <t>CONTRACTOR</t>
        </is>
      </c>
    </row>
    <row r="1595" ht="18" customHeight="1" s="7">
      <c r="A1595" s="144" t="inlineStr">
        <is>
          <t>DAMON LOSEE</t>
        </is>
      </c>
      <c r="B1595" s="144" t="inlineStr">
        <is>
          <t>6721443 AL</t>
        </is>
      </c>
      <c r="C1595" s="144" t="inlineStr">
        <is>
          <t>KMS EXPRESS</t>
        </is>
      </c>
      <c r="D1595" s="144" t="n">
        <v>3344054303</v>
      </c>
      <c r="E1595" s="144" t="inlineStr">
        <is>
          <t>BOX</t>
        </is>
      </c>
      <c r="F1595" s="144" t="inlineStr">
        <is>
          <t>P1095317 IL</t>
        </is>
      </c>
      <c r="G1595" s="144" t="inlineStr">
        <is>
          <t>WHITE FREIGHTLINER</t>
        </is>
      </c>
      <c r="H1595" s="144" t="n">
        <v>1221</v>
      </c>
      <c r="I1595" s="144" t="inlineStr">
        <is>
          <t>COMMERICAL</t>
        </is>
      </c>
    </row>
    <row r="1596" ht="18" customHeight="1" s="7">
      <c r="A1596" s="144" t="inlineStr">
        <is>
          <t>JURGEN KOLDASHI</t>
        </is>
      </c>
      <c r="B1596" s="144" t="inlineStr">
        <is>
          <t>48506199 TX</t>
        </is>
      </c>
      <c r="C1596" s="144" t="inlineStr">
        <is>
          <t>MULAJ TRANSPORTATION</t>
        </is>
      </c>
      <c r="D1596" s="144" t="n">
        <v>9049091279</v>
      </c>
      <c r="E1596" s="144" t="inlineStr">
        <is>
          <t>BOX</t>
        </is>
      </c>
      <c r="F1596" s="144" t="inlineStr">
        <is>
          <t>XE594G FL</t>
        </is>
      </c>
      <c r="G1596" s="144" t="inlineStr">
        <is>
          <t>BLUE FREIGHTLINER</t>
        </is>
      </c>
      <c r="H1596" s="144" t="n">
        <v>1221</v>
      </c>
      <c r="I1596" s="144" t="inlineStr">
        <is>
          <t>COMMERICAL</t>
        </is>
      </c>
    </row>
    <row r="1597" ht="18" customHeight="1" s="7">
      <c r="A1597" s="144" t="inlineStr">
        <is>
          <t>JACKSON GLASS</t>
        </is>
      </c>
      <c r="B1597" s="144" t="inlineStr">
        <is>
          <t>8941259314 IN</t>
        </is>
      </c>
      <c r="C1597" s="144" t="inlineStr">
        <is>
          <t>MEDIACOM</t>
        </is>
      </c>
      <c r="D1597" s="144" t="n">
        <v>2292558722</v>
      </c>
      <c r="E1597" s="144" t="inlineStr">
        <is>
          <t>VAN</t>
        </is>
      </c>
      <c r="F1597" s="144" t="inlineStr">
        <is>
          <t>RIT8875 GA</t>
        </is>
      </c>
      <c r="G1597" s="144" t="inlineStr">
        <is>
          <t>WHITE FORD</t>
        </is>
      </c>
      <c r="H1597" s="144" t="inlineStr">
        <is>
          <t>HOUSING</t>
        </is>
      </c>
      <c r="I1597" s="144" t="inlineStr">
        <is>
          <t>CONTRACTOR</t>
        </is>
      </c>
    </row>
    <row r="1598" ht="18" customHeight="1" s="7">
      <c r="A1598" s="144" t="inlineStr">
        <is>
          <t>PHILLIP MOFFATT</t>
        </is>
      </c>
      <c r="B1598" s="144" t="inlineStr">
        <is>
          <t>8941259314 IN</t>
        </is>
      </c>
      <c r="C1598" s="144" t="inlineStr">
        <is>
          <t>XLG TRANSPORTATION</t>
        </is>
      </c>
      <c r="D1598" s="144" t="n">
        <v>5026643027</v>
      </c>
      <c r="E1598" s="144" t="inlineStr">
        <is>
          <t>FLAT</t>
        </is>
      </c>
      <c r="F1598" s="144" t="inlineStr">
        <is>
          <t>2817928 IN</t>
        </is>
      </c>
      <c r="G1598" s="144" t="inlineStr">
        <is>
          <t>BLACK PETERBUILT</t>
        </is>
      </c>
      <c r="H1598" s="144" t="n">
        <v>1221</v>
      </c>
      <c r="I1598" s="144" t="inlineStr">
        <is>
          <t>COMMERICAL</t>
        </is>
      </c>
    </row>
    <row r="1599" ht="18" customHeight="1" s="7">
      <c r="A1599" s="144" t="inlineStr">
        <is>
          <t>TOMMY BROWN</t>
        </is>
      </c>
      <c r="B1599" s="144" t="inlineStr">
        <is>
          <t>55526361 GA</t>
        </is>
      </c>
      <c r="C1599" s="144" t="inlineStr">
        <is>
          <t>METRO POWER</t>
        </is>
      </c>
      <c r="D1599" s="144" t="n">
        <v>2293430749</v>
      </c>
      <c r="E1599" s="144" t="inlineStr">
        <is>
          <t>PU</t>
        </is>
      </c>
      <c r="F1599" s="144" t="inlineStr">
        <is>
          <t>CLM1804 GA</t>
        </is>
      </c>
      <c r="G1599" s="144" t="inlineStr">
        <is>
          <t>CHEV</t>
        </is>
      </c>
      <c r="H1599" s="144" t="inlineStr">
        <is>
          <t>BASEWIDE</t>
        </is>
      </c>
      <c r="I1599" s="144" t="inlineStr">
        <is>
          <t>CONTRACTOR</t>
        </is>
      </c>
    </row>
    <row r="1600" ht="18" customHeight="1" s="7">
      <c r="A1600" s="144" t="inlineStr">
        <is>
          <t>ROBERT COOPER</t>
        </is>
      </c>
      <c r="B1600" s="144" t="inlineStr">
        <is>
          <t>058791544 GA</t>
        </is>
      </c>
      <c r="C1600" s="144" t="inlineStr">
        <is>
          <t>W.HOWARD FARMS</t>
        </is>
      </c>
      <c r="D1600" s="144" t="n">
        <v>3365340778</v>
      </c>
      <c r="E1600" s="144" t="inlineStr">
        <is>
          <t>BOX</t>
        </is>
      </c>
      <c r="F1600" s="144" t="inlineStr">
        <is>
          <t>C973DZ GA</t>
        </is>
      </c>
      <c r="G1600" s="144" t="inlineStr">
        <is>
          <t>BLACK PETERBUILT</t>
        </is>
      </c>
      <c r="H1600" s="144" t="n">
        <v>1221</v>
      </c>
      <c r="I1600" s="144" t="inlineStr">
        <is>
          <t>COMMERICAL</t>
        </is>
      </c>
    </row>
    <row r="1601" ht="18" customHeight="1" s="7">
      <c r="A1601" s="144" t="inlineStr">
        <is>
          <t>THOMAS FRYE</t>
        </is>
      </c>
      <c r="B1601" s="144" t="inlineStr">
        <is>
          <t>051287163 GA</t>
        </is>
      </c>
      <c r="C1601" s="144" t="inlineStr">
        <is>
          <t>ERG POWER</t>
        </is>
      </c>
      <c r="D1601" s="144" t="n">
        <v>2294023476</v>
      </c>
      <c r="E1601" s="144" t="inlineStr">
        <is>
          <t>FLAT</t>
        </is>
      </c>
      <c r="F1601" s="144" t="inlineStr">
        <is>
          <t>1210403 AL</t>
        </is>
      </c>
      <c r="G1601" s="144" t="inlineStr">
        <is>
          <t>WHITE MACK</t>
        </is>
      </c>
      <c r="H1601" s="144" t="n">
        <v>1360</v>
      </c>
      <c r="I1601" s="144" t="inlineStr">
        <is>
          <t>COMMERICAL</t>
        </is>
      </c>
    </row>
    <row r="1602" ht="18" customHeight="1" s="7">
      <c r="A1602" s="144" t="inlineStr">
        <is>
          <t>CHISTOPHER LOPEZ</t>
        </is>
      </c>
      <c r="B1602" s="144" t="inlineStr">
        <is>
          <t>056977092 GA</t>
        </is>
      </c>
      <c r="C1602" s="144" t="inlineStr">
        <is>
          <t>S&amp;S CONCRETE</t>
        </is>
      </c>
      <c r="D1602" s="144" t="n">
        <v>2294388566</v>
      </c>
      <c r="E1602" s="144" t="inlineStr">
        <is>
          <t>PU</t>
        </is>
      </c>
      <c r="F1602" s="144" t="inlineStr">
        <is>
          <t>SSCRETE02 GA</t>
        </is>
      </c>
      <c r="G1602" s="144" t="inlineStr">
        <is>
          <t>WHITE DODGE</t>
        </is>
      </c>
      <c r="H1602" s="144" t="inlineStr">
        <is>
          <t>BASEWIDE</t>
        </is>
      </c>
      <c r="I1602" s="144" t="inlineStr">
        <is>
          <t>CONTRACTOR</t>
        </is>
      </c>
    </row>
    <row r="1603" ht="18" customHeight="1" s="7">
      <c r="A1603" s="144" t="inlineStr">
        <is>
          <t>THOMAS EVANS</t>
        </is>
      </c>
      <c r="B1603" s="144" t="inlineStr">
        <is>
          <t>070064274 GA</t>
        </is>
      </c>
      <c r="C1603" s="144" t="inlineStr">
        <is>
          <t>FAST TRANSP.</t>
        </is>
      </c>
      <c r="D1603" s="144" t="n">
        <v>2393214064</v>
      </c>
      <c r="E1603" s="144" t="inlineStr">
        <is>
          <t>FLAT</t>
        </is>
      </c>
      <c r="F1603" s="144" t="inlineStr">
        <is>
          <t>C747ES GA</t>
        </is>
      </c>
      <c r="G1603" s="144" t="inlineStr">
        <is>
          <t>BLUE VOLVO</t>
        </is>
      </c>
      <c r="H1603" s="144" t="n">
        <v>1221</v>
      </c>
      <c r="I1603" s="144" t="inlineStr">
        <is>
          <t>COMMERICAL</t>
        </is>
      </c>
    </row>
    <row r="1604" ht="18" customHeight="1" s="7">
      <c r="A1604" s="144" t="inlineStr">
        <is>
          <t>JOHN NASH</t>
        </is>
      </c>
      <c r="B1604" s="144" t="inlineStr">
        <is>
          <t>052846147 GA</t>
        </is>
      </c>
      <c r="C1604" s="144" t="inlineStr">
        <is>
          <t>GEORGIA POWER</t>
        </is>
      </c>
      <c r="D1604" s="144" t="n">
        <v>2292067884</v>
      </c>
      <c r="E1604" s="144" t="inlineStr">
        <is>
          <t>PU</t>
        </is>
      </c>
      <c r="F1604" s="144" t="inlineStr">
        <is>
          <t>RXS6712 GA</t>
        </is>
      </c>
      <c r="G1604" s="144" t="inlineStr">
        <is>
          <t>WHITE FORD</t>
        </is>
      </c>
      <c r="H1604" s="144" t="inlineStr">
        <is>
          <t>HOUSING</t>
        </is>
      </c>
      <c r="I1604" s="144" t="inlineStr">
        <is>
          <t>CONTRACTOR</t>
        </is>
      </c>
    </row>
    <row r="1605" ht="18" customHeight="1" s="7">
      <c r="A1605" s="144" t="inlineStr">
        <is>
          <t>TAYLER FOUNTAIN</t>
        </is>
      </c>
      <c r="B1605" s="144" t="inlineStr">
        <is>
          <t>056665689 GA</t>
        </is>
      </c>
      <c r="C1605" s="144" t="inlineStr">
        <is>
          <t>GEORGIA POWER</t>
        </is>
      </c>
      <c r="D1605" s="144" t="n">
        <v>2299426236</v>
      </c>
      <c r="E1605" s="144" t="inlineStr">
        <is>
          <t>CRANE</t>
        </is>
      </c>
      <c r="F1605" s="144" t="inlineStr">
        <is>
          <t>EPJ991 GA</t>
        </is>
      </c>
      <c r="G1605" s="144" t="inlineStr">
        <is>
          <t>WHITE FREIGHTLINER</t>
        </is>
      </c>
      <c r="H1605" s="144" t="inlineStr">
        <is>
          <t>HOUSING</t>
        </is>
      </c>
      <c r="I1605" s="144" t="inlineStr">
        <is>
          <t>CONTRACTOR</t>
        </is>
      </c>
    </row>
    <row r="1606" ht="18" customHeight="1" s="7">
      <c r="A1606" s="144" t="inlineStr">
        <is>
          <t>ZACKERY HOWELL</t>
        </is>
      </c>
      <c r="B1606" s="144" t="inlineStr">
        <is>
          <t>057905198 GA</t>
        </is>
      </c>
      <c r="C1606" s="144" t="inlineStr">
        <is>
          <t>GEORGIA POWER</t>
        </is>
      </c>
      <c r="D1606" s="144" t="n">
        <v>2295918390</v>
      </c>
      <c r="E1606" s="144" t="inlineStr">
        <is>
          <t>CRANE</t>
        </is>
      </c>
      <c r="F1606" s="144" t="inlineStr">
        <is>
          <t>DFX766 GA</t>
        </is>
      </c>
      <c r="G1606" s="144" t="inlineStr">
        <is>
          <t>WHITE FREIGHTLINER</t>
        </is>
      </c>
      <c r="H1606" s="144" t="inlineStr">
        <is>
          <t>HOUSING</t>
        </is>
      </c>
      <c r="I1606" s="144" t="inlineStr">
        <is>
          <t>CONTRACTOR</t>
        </is>
      </c>
    </row>
    <row r="1607" ht="18" customHeight="1" s="7">
      <c r="A1607" s="144" t="inlineStr">
        <is>
          <t>ZACKERYPARRISH</t>
        </is>
      </c>
      <c r="B1607" s="144" t="inlineStr">
        <is>
          <t>059288035 GA</t>
        </is>
      </c>
      <c r="C1607" s="144" t="inlineStr">
        <is>
          <t>GEORGIA POWER</t>
        </is>
      </c>
      <c r="D1607" s="144" t="n">
        <v>2298943694</v>
      </c>
      <c r="E1607" s="144" t="inlineStr">
        <is>
          <t>CRANE</t>
        </is>
      </c>
      <c r="F1607" s="144" t="inlineStr">
        <is>
          <t>XSA263GA</t>
        </is>
      </c>
      <c r="G1607" s="144" t="inlineStr">
        <is>
          <t>WHITE FREIGHTLINER</t>
        </is>
      </c>
      <c r="H1607" s="144" t="inlineStr">
        <is>
          <t>HOUSING</t>
        </is>
      </c>
      <c r="I1607" s="144" t="inlineStr">
        <is>
          <t>CONTRACTOR</t>
        </is>
      </c>
    </row>
    <row r="1608" ht="18" customHeight="1" s="7">
      <c r="A1608" s="144" t="inlineStr">
        <is>
          <t>HOCHSTETLER WILLIAMS</t>
        </is>
      </c>
      <c r="B1608" s="144" t="inlineStr">
        <is>
          <t>RS294785 OH</t>
        </is>
      </c>
      <c r="C1608" s="144" t="inlineStr">
        <is>
          <t>XLG TRANSPORTATION</t>
        </is>
      </c>
      <c r="D1608" s="144" t="n">
        <v>3304641513</v>
      </c>
      <c r="E1608" s="144" t="inlineStr">
        <is>
          <t>FLAT</t>
        </is>
      </c>
      <c r="F1608" s="144" t="inlineStr">
        <is>
          <t>3643003 IN</t>
        </is>
      </c>
      <c r="G1608" s="144" t="inlineStr">
        <is>
          <t>YELLOW PETERBILT</t>
        </is>
      </c>
      <c r="H1608" s="144" t="n">
        <v>1221</v>
      </c>
      <c r="I1608" s="144" t="inlineStr">
        <is>
          <t>COMMERICAL</t>
        </is>
      </c>
    </row>
    <row r="1609" ht="18" customHeight="1" s="7">
      <c r="A1609" s="144" t="inlineStr">
        <is>
          <t>WILLIAM BELL</t>
        </is>
      </c>
      <c r="B1609" s="144" t="inlineStr">
        <is>
          <t>041687235 GA</t>
        </is>
      </c>
      <c r="C1609" s="144" t="inlineStr">
        <is>
          <t>MATRIX</t>
        </is>
      </c>
      <c r="D1609" s="144" t="n">
        <v>2293765960</v>
      </c>
      <c r="E1609" s="144" t="inlineStr">
        <is>
          <t>PU</t>
        </is>
      </c>
      <c r="F1609" s="144" t="inlineStr">
        <is>
          <t>SGC8158 GA</t>
        </is>
      </c>
      <c r="G1609" s="144" t="inlineStr">
        <is>
          <t>GREY FORD</t>
        </is>
      </c>
      <c r="H1609" s="144" t="inlineStr">
        <is>
          <t>GATE 15</t>
        </is>
      </c>
      <c r="I1609" s="144" t="inlineStr">
        <is>
          <t>CONTRACTOR</t>
        </is>
      </c>
    </row>
    <row r="1610" ht="18" customHeight="1" s="7">
      <c r="A1610" s="144" t="inlineStr">
        <is>
          <t>JAWASKI GILLIARD</t>
        </is>
      </c>
      <c r="B1610" s="144" t="inlineStr">
        <is>
          <t>049092056 GA</t>
        </is>
      </c>
      <c r="C1610" s="144" t="inlineStr">
        <is>
          <t>FEDEX</t>
        </is>
      </c>
      <c r="D1610" s="144" t="n">
        <v>4045739394</v>
      </c>
      <c r="E1610" s="144" t="inlineStr">
        <is>
          <t>BOX</t>
        </is>
      </c>
      <c r="F1610" s="144" t="inlineStr">
        <is>
          <t>3DB380 OK</t>
        </is>
      </c>
      <c r="G1610" s="144" t="inlineStr">
        <is>
          <t>WHITE FORD</t>
        </is>
      </c>
      <c r="H1610" s="144" t="n">
        <v>1221</v>
      </c>
      <c r="I1610" s="144" t="inlineStr">
        <is>
          <t>CONTRACTOR</t>
        </is>
      </c>
    </row>
    <row r="1611" ht="18" customHeight="1" s="7">
      <c r="A1611" s="144" t="inlineStr">
        <is>
          <t>VASILACHI OLEG</t>
        </is>
      </c>
      <c r="B1611" s="144" t="inlineStr">
        <is>
          <t>V242640871050 FL</t>
        </is>
      </c>
      <c r="C1611" s="144" t="inlineStr">
        <is>
          <t>FRIGABI CORP</t>
        </is>
      </c>
      <c r="D1611" s="144" t="n">
        <v>4074528843</v>
      </c>
      <c r="E1611" s="144" t="inlineStr">
        <is>
          <t>FLAT</t>
        </is>
      </c>
      <c r="F1611" s="144" t="inlineStr">
        <is>
          <t>XE178R FL</t>
        </is>
      </c>
      <c r="G1611" s="144" t="inlineStr">
        <is>
          <t>WHITE VOLVO</t>
        </is>
      </c>
      <c r="H1611" s="144" t="n">
        <v>1221</v>
      </c>
      <c r="I1611" s="144" t="inlineStr">
        <is>
          <t>CONTRACTOR</t>
        </is>
      </c>
    </row>
    <row r="1612" ht="18" customHeight="1" s="7">
      <c r="A1612" s="144" t="inlineStr">
        <is>
          <t xml:space="preserve"> ORTEGA ANTONIO</t>
        </is>
      </c>
      <c r="B1612" s="144" t="inlineStr">
        <is>
          <t>O632000854060 FL</t>
        </is>
      </c>
      <c r="C1612" s="144" t="inlineStr">
        <is>
          <t>METAL SALES</t>
        </is>
      </c>
      <c r="D1612" s="144" t="n">
        <v>8003944419</v>
      </c>
      <c r="E1612" s="144" t="inlineStr">
        <is>
          <t>BOX</t>
        </is>
      </c>
      <c r="F1612" s="144" t="inlineStr">
        <is>
          <t>3552659 IN</t>
        </is>
      </c>
      <c r="G1612" s="144" t="inlineStr">
        <is>
          <t>WHITE FREIGHTLINER</t>
        </is>
      </c>
      <c r="H1612" s="144" t="n">
        <v>1221</v>
      </c>
      <c r="I1612" s="144" t="inlineStr">
        <is>
          <t>COMMERICAL</t>
        </is>
      </c>
    </row>
    <row r="1613" ht="18" customHeight="1" s="7">
      <c r="A1613" s="144" t="inlineStr">
        <is>
          <t>GREG HUGHES</t>
        </is>
      </c>
      <c r="B1613" s="144" t="inlineStr">
        <is>
          <t>049876328 GA</t>
        </is>
      </c>
      <c r="C1613" s="144" t="inlineStr">
        <is>
          <t>MEDIACOM</t>
        </is>
      </c>
      <c r="D1613" s="144" t="n">
        <v>2293571951</v>
      </c>
      <c r="E1613" s="144" t="inlineStr">
        <is>
          <t>CRANE</t>
        </is>
      </c>
      <c r="F1613" s="144" t="inlineStr">
        <is>
          <t>EBW993 GA</t>
        </is>
      </c>
      <c r="G1613" s="144" t="inlineStr">
        <is>
          <t>WHITE FORD</t>
        </is>
      </c>
      <c r="H1613" s="144" t="inlineStr">
        <is>
          <t>HOUSING</t>
        </is>
      </c>
      <c r="I1613" s="144" t="inlineStr">
        <is>
          <t>CONTRACTOR</t>
        </is>
      </c>
    </row>
    <row r="1614" ht="18" customHeight="1" s="7">
      <c r="A1614" s="144" t="inlineStr">
        <is>
          <t>CALVIN CRAWFORD</t>
        </is>
      </c>
      <c r="B1614" s="144" t="inlineStr">
        <is>
          <t>C616100551340 FL</t>
        </is>
      </c>
      <c r="C1614" s="144" t="inlineStr">
        <is>
          <t>SAC SERVICES</t>
        </is>
      </c>
      <c r="D1614" s="144" t="n">
        <v>7049683499</v>
      </c>
      <c r="E1614" s="144" t="inlineStr">
        <is>
          <t>PU</t>
        </is>
      </c>
      <c r="F1614" s="144" t="inlineStr">
        <is>
          <t>LERP26 FL</t>
        </is>
      </c>
      <c r="G1614" s="144" t="inlineStr">
        <is>
          <t>WHITE FORD</t>
        </is>
      </c>
      <c r="H1614" s="144" t="n">
        <v>7108</v>
      </c>
      <c r="I1614" s="144" t="inlineStr">
        <is>
          <t>CONTRACTOR</t>
        </is>
      </c>
    </row>
    <row r="1615" ht="18" customHeight="1" s="7">
      <c r="A1615" s="144" t="inlineStr">
        <is>
          <t>PAUL GOODE</t>
        </is>
      </c>
      <c r="B1615" s="144" t="inlineStr">
        <is>
          <t>*055463598 GA</t>
        </is>
      </c>
      <c r="C1615" s="144" t="inlineStr">
        <is>
          <t>CARWELLS BRO</t>
        </is>
      </c>
      <c r="D1615" s="144" t="n">
        <v>2293490824</v>
      </c>
      <c r="E1615" s="144" t="inlineStr">
        <is>
          <t>PU</t>
        </is>
      </c>
      <c r="F1615" s="144" t="inlineStr">
        <is>
          <t>RUK0911 GA</t>
        </is>
      </c>
      <c r="G1615" s="144" t="inlineStr">
        <is>
          <t>WHITE CHEVY</t>
        </is>
      </c>
      <c r="H1615" s="144" t="n">
        <v>3700</v>
      </c>
      <c r="I1615" s="144" t="inlineStr">
        <is>
          <t>CONTRACTOR</t>
        </is>
      </c>
    </row>
    <row r="1616" ht="18" customHeight="1" s="7">
      <c r="A1616" s="144" t="inlineStr">
        <is>
          <t>MAURICE JOHNSON</t>
        </is>
      </c>
      <c r="B1616" s="144" t="inlineStr">
        <is>
          <t>*049025636 GA</t>
        </is>
      </c>
      <c r="C1616" s="144" t="inlineStr">
        <is>
          <t xml:space="preserve">TECTA </t>
        </is>
      </c>
      <c r="D1616" s="144" t="n">
        <v>7704506314</v>
      </c>
      <c r="E1616" s="144" t="inlineStr">
        <is>
          <t>VAN</t>
        </is>
      </c>
      <c r="F1616" s="144" t="inlineStr">
        <is>
          <t>SJG5801 GA</t>
        </is>
      </c>
      <c r="G1616" s="144" t="inlineStr">
        <is>
          <t>WHITE FORD</t>
        </is>
      </c>
      <c r="H1616" s="144" t="n">
        <v>1250</v>
      </c>
      <c r="I1616" s="144" t="inlineStr">
        <is>
          <t>CONTRACTOR</t>
        </is>
      </c>
    </row>
    <row r="1617" ht="18" customHeight="1" s="7">
      <c r="A1617" s="144" t="inlineStr">
        <is>
          <t>AKRAMOV DILSHOD</t>
        </is>
      </c>
      <c r="B1617" s="144" t="inlineStr">
        <is>
          <t>A265160763110 FL</t>
        </is>
      </c>
      <c r="C1617" s="144" t="inlineStr">
        <is>
          <t>GOZAL INC</t>
        </is>
      </c>
      <c r="D1617" s="144" t="n">
        <v>2292199508</v>
      </c>
      <c r="E1617" s="144" t="inlineStr">
        <is>
          <t>BOX</t>
        </is>
      </c>
      <c r="F1617" s="144" t="inlineStr">
        <is>
          <t>PWV3700 OH</t>
        </is>
      </c>
      <c r="G1617" s="144" t="inlineStr">
        <is>
          <t>WHITE VOLVO</t>
        </is>
      </c>
      <c r="H1617" s="144" t="n">
        <v>1221</v>
      </c>
      <c r="I1617" s="144" t="inlineStr">
        <is>
          <t>COMMERCIAL</t>
        </is>
      </c>
    </row>
    <row r="1618" ht="18" customHeight="1" s="7">
      <c r="A1618" s="144" t="inlineStr">
        <is>
          <t>CODY SITES</t>
        </is>
      </c>
      <c r="B1618" s="144" t="inlineStr">
        <is>
          <t>*056950581 GA</t>
        </is>
      </c>
      <c r="C1618" s="144" t="inlineStr">
        <is>
          <t xml:space="preserve">A&amp;J </t>
        </is>
      </c>
      <c r="D1618" s="144" t="n">
        <v>6783163152</v>
      </c>
      <c r="E1618" s="144" t="inlineStr">
        <is>
          <t>PU</t>
        </is>
      </c>
      <c r="F1618" s="144" t="inlineStr">
        <is>
          <t>80511 TN</t>
        </is>
      </c>
      <c r="G1618" s="144" t="inlineStr">
        <is>
          <t>BLACK FORD</t>
        </is>
      </c>
      <c r="H1618" s="144" t="n">
        <v>1221</v>
      </c>
      <c r="I1618" s="144" t="inlineStr">
        <is>
          <t>CONTRACTOR</t>
        </is>
      </c>
    </row>
    <row r="1619" ht="18" customHeight="1" s="7">
      <c r="A1619" s="144" t="inlineStr">
        <is>
          <t xml:space="preserve">CASAP VLADIMIR </t>
        </is>
      </c>
      <c r="B1619" s="144" t="inlineStr">
        <is>
          <t>C236535380000 FL</t>
        </is>
      </c>
      <c r="C1619" s="144" t="inlineStr">
        <is>
          <t>VLADLEN</t>
        </is>
      </c>
      <c r="D1619" s="144" t="n">
        <v>4079896641</v>
      </c>
      <c r="E1619" s="144" t="inlineStr">
        <is>
          <t>FLAT</t>
        </is>
      </c>
      <c r="F1619" s="144" t="inlineStr">
        <is>
          <t>XE6OOW FL</t>
        </is>
      </c>
      <c r="G1619" s="144" t="inlineStr">
        <is>
          <t>WHITE VOLVO</t>
        </is>
      </c>
      <c r="H1619" s="144" t="n">
        <v>1221</v>
      </c>
      <c r="I1619" s="144" t="inlineStr">
        <is>
          <t>COMMERCIAL</t>
        </is>
      </c>
    </row>
    <row r="1620" ht="18" customHeight="1" s="7">
      <c r="A1620" s="144" t="inlineStr">
        <is>
          <t>TURCAN DENIS</t>
        </is>
      </c>
      <c r="B1620" s="144" t="inlineStr">
        <is>
          <t>T625160870920 FL</t>
        </is>
      </c>
      <c r="C1620" s="144" t="inlineStr">
        <is>
          <t>DLE LOGISTICS</t>
        </is>
      </c>
      <c r="D1620" s="144" t="n">
        <v>4078031778</v>
      </c>
      <c r="E1620" s="144" t="inlineStr">
        <is>
          <t>FLAT</t>
        </is>
      </c>
      <c r="F1620" s="144" t="inlineStr">
        <is>
          <t>XE789F FL</t>
        </is>
      </c>
      <c r="G1620" s="144" t="inlineStr">
        <is>
          <t>WHITE VOLVO</t>
        </is>
      </c>
      <c r="H1620" s="144" t="n">
        <v>1221</v>
      </c>
      <c r="I1620" s="144" t="inlineStr">
        <is>
          <t>COMMERCIAL</t>
        </is>
      </c>
    </row>
    <row r="1621" ht="18" customHeight="1" s="7">
      <c r="A1621" s="144" t="inlineStr">
        <is>
          <t>AVERY ALKESHIAH</t>
        </is>
      </c>
      <c r="B1621" s="144" t="inlineStr">
        <is>
          <t>*007721692 SC</t>
        </is>
      </c>
      <c r="C1621" s="144" t="inlineStr">
        <is>
          <t>AVERY EXP</t>
        </is>
      </c>
      <c r="D1621" s="144" t="n">
        <v>8432960181</v>
      </c>
      <c r="E1621" s="144" t="inlineStr">
        <is>
          <t>BOX</t>
        </is>
      </c>
      <c r="F1621" s="144" t="inlineStr">
        <is>
          <t>P862441 SC</t>
        </is>
      </c>
      <c r="G1621" s="144" t="inlineStr">
        <is>
          <t>WHITE FRIEGHTLINER</t>
        </is>
      </c>
      <c r="H1621" s="144" t="n">
        <v>1221</v>
      </c>
      <c r="I1621" s="144" t="inlineStr">
        <is>
          <t>COMMERCIAL</t>
        </is>
      </c>
    </row>
    <row r="1622" ht="18" customHeight="1" s="7">
      <c r="A1622" s="144" t="inlineStr">
        <is>
          <t>KLOEHN JONATHAN</t>
        </is>
      </c>
      <c r="B1622" s="144" t="inlineStr">
        <is>
          <t>38192413 TX</t>
        </is>
      </c>
      <c r="C1622" s="144" t="inlineStr">
        <is>
          <t>XLG</t>
        </is>
      </c>
      <c r="D1622" s="144" t="n">
        <v>2543451669</v>
      </c>
      <c r="E1622" s="144" t="inlineStr">
        <is>
          <t>FLAT</t>
        </is>
      </c>
      <c r="F1622" s="144" t="inlineStr">
        <is>
          <t>3423186 IN</t>
        </is>
      </c>
      <c r="G1622" s="144" t="inlineStr">
        <is>
          <t>BLUE PETERBILT</t>
        </is>
      </c>
      <c r="H1622" s="144" t="n">
        <v>1221</v>
      </c>
      <c r="I1622" s="144" t="inlineStr">
        <is>
          <t>COMMERCIAL</t>
        </is>
      </c>
    </row>
    <row r="1623" ht="18" customHeight="1" s="7">
      <c r="A1623" s="144" t="inlineStr">
        <is>
          <t>WEAVER JEROME</t>
        </is>
      </c>
      <c r="B1623" s="144" t="inlineStr">
        <is>
          <t>W456226770000 FL</t>
        </is>
      </c>
      <c r="C1623" s="144" t="inlineStr">
        <is>
          <t>EXCLUSIVE ENTERPRISE</t>
        </is>
      </c>
      <c r="D1623" s="144" t="n">
        <v>8505096861</v>
      </c>
      <c r="E1623" s="144" t="inlineStr">
        <is>
          <t>BOX</t>
        </is>
      </c>
      <c r="F1623" s="144" t="inlineStr">
        <is>
          <t>REPM62 FL</t>
        </is>
      </c>
      <c r="G1623" s="144" t="inlineStr">
        <is>
          <t>WHITE INTER</t>
        </is>
      </c>
      <c r="H1623" s="144" t="inlineStr">
        <is>
          <t>HOUSING</t>
        </is>
      </c>
      <c r="I1623" s="144" t="inlineStr">
        <is>
          <t>COMMERCIAL</t>
        </is>
      </c>
    </row>
    <row r="1624" ht="18" customHeight="1" s="7">
      <c r="A1624" s="144" t="inlineStr">
        <is>
          <t>CHARLEMAGNE YVES</t>
        </is>
      </c>
      <c r="B1624" s="144" t="inlineStr">
        <is>
          <t>C645960684571 FL</t>
        </is>
      </c>
      <c r="C1624" s="144" t="inlineStr">
        <is>
          <t>TRIUMPH INC</t>
        </is>
      </c>
      <c r="D1624" s="144" t="n">
        <v>3215271046</v>
      </c>
      <c r="E1624" s="144" t="inlineStr">
        <is>
          <t>BOX</t>
        </is>
      </c>
      <c r="F1624" s="144" t="inlineStr">
        <is>
          <t>P1218818 IL</t>
        </is>
      </c>
      <c r="G1624" s="144" t="inlineStr">
        <is>
          <t>WHITE FRIEGHTLINER</t>
        </is>
      </c>
      <c r="H1624" s="144" t="n">
        <v>1221</v>
      </c>
      <c r="I1624" s="144" t="inlineStr">
        <is>
          <t>COMMERCIAL</t>
        </is>
      </c>
    </row>
    <row r="1625" ht="18" customHeight="1" s="7">
      <c r="A1625" s="144" t="inlineStr">
        <is>
          <t>NAIDITCH IGOR</t>
        </is>
      </c>
      <c r="B1625" s="144" t="inlineStr">
        <is>
          <t>N332400623780 FL</t>
        </is>
      </c>
      <c r="C1625" s="144" t="inlineStr">
        <is>
          <t>YK EXPRESS</t>
        </is>
      </c>
      <c r="D1625" s="144" t="n">
        <v>9046840845</v>
      </c>
      <c r="E1625" s="144" t="inlineStr">
        <is>
          <t>FLAT</t>
        </is>
      </c>
      <c r="F1625" s="144" t="inlineStr">
        <is>
          <t>XE435V FL</t>
        </is>
      </c>
      <c r="G1625" s="144" t="inlineStr">
        <is>
          <t>WHITE FRIEGHTLINER</t>
        </is>
      </c>
      <c r="H1625" s="144" t="n">
        <v>1221</v>
      </c>
      <c r="I1625" s="144" t="inlineStr">
        <is>
          <t>COMMERCIAL</t>
        </is>
      </c>
    </row>
    <row r="1626" ht="18" customHeight="1" s="7">
      <c r="A1626" s="144" t="inlineStr">
        <is>
          <t>OZZIE SOLOMON</t>
        </is>
      </c>
      <c r="B1626" s="144" t="inlineStr">
        <is>
          <t>*050986615 GA</t>
        </is>
      </c>
      <c r="C1626" s="144" t="inlineStr">
        <is>
          <t>FARMS</t>
        </is>
      </c>
      <c r="D1626" s="144" t="n">
        <v>7703010693</v>
      </c>
      <c r="E1626" s="144" t="inlineStr">
        <is>
          <t>BOX</t>
        </is>
      </c>
      <c r="F1626" s="144" t="inlineStr">
        <is>
          <t>C973DZ GA</t>
        </is>
      </c>
      <c r="G1626" s="144" t="inlineStr">
        <is>
          <t>BLACK PETERBILT</t>
        </is>
      </c>
      <c r="H1626" s="144" t="n">
        <v>1330</v>
      </c>
      <c r="I1626" s="144" t="inlineStr">
        <is>
          <t>COMMERCIAL</t>
        </is>
      </c>
    </row>
    <row r="1627" ht="18" customHeight="1" s="7">
      <c r="A1627" s="144" t="inlineStr">
        <is>
          <t>FLESHMAN TAVIS</t>
        </is>
      </c>
      <c r="B1627" s="144" t="inlineStr">
        <is>
          <t>25012706 PA</t>
        </is>
      </c>
      <c r="C1627" s="144" t="inlineStr">
        <is>
          <t>WRIGHT EXPRESS</t>
        </is>
      </c>
      <c r="D1627" s="144" t="n">
        <v>7175154872</v>
      </c>
      <c r="E1627" s="144" t="inlineStr">
        <is>
          <t>BOX</t>
        </is>
      </c>
      <c r="F1627" s="144" t="inlineStr">
        <is>
          <t>AH66057 PA</t>
        </is>
      </c>
      <c r="G1627" s="144" t="inlineStr">
        <is>
          <t>WHITE KENWORTH</t>
        </is>
      </c>
      <c r="H1627" s="144" t="n">
        <v>1221</v>
      </c>
      <c r="I1627" s="144" t="inlineStr">
        <is>
          <t>COMMERCIAL</t>
        </is>
      </c>
    </row>
    <row r="1628" ht="18" customHeight="1" s="7">
      <c r="A1628" s="144" t="inlineStr">
        <is>
          <t>DENNIS WALTON</t>
        </is>
      </c>
      <c r="B1628" s="144" t="inlineStr">
        <is>
          <t>*056478911 GA</t>
        </is>
      </c>
      <c r="C1628" s="144" t="inlineStr">
        <is>
          <t>BEVERAGE SOUTH</t>
        </is>
      </c>
      <c r="D1628" s="144" t="n">
        <v>2295379329</v>
      </c>
      <c r="E1628" s="144" t="inlineStr">
        <is>
          <t>BOX</t>
        </is>
      </c>
      <c r="F1628" s="144" t="inlineStr">
        <is>
          <t>YHE507 GA</t>
        </is>
      </c>
      <c r="G1628" s="144" t="inlineStr">
        <is>
          <t>WHITE KENWORTH</t>
        </is>
      </c>
      <c r="H1628" s="144" t="n">
        <v>7501</v>
      </c>
      <c r="I1628" s="144" t="inlineStr">
        <is>
          <t>COMMERCIAL</t>
        </is>
      </c>
    </row>
    <row r="1629" ht="18" customHeight="1" s="7">
      <c r="A1629" s="144" t="inlineStr">
        <is>
          <t>KINNEER LAWRENCE</t>
        </is>
      </c>
      <c r="B1629" s="144" t="inlineStr">
        <is>
          <t>K560539563430 FL</t>
        </is>
      </c>
      <c r="C1629" s="144" t="inlineStr">
        <is>
          <t>LANDSTAR</t>
        </is>
      </c>
      <c r="D1629" s="144" t="n">
        <v>7655855454</v>
      </c>
      <c r="E1629" s="144" t="inlineStr">
        <is>
          <t>BOX</t>
        </is>
      </c>
      <c r="F1629" s="144" t="inlineStr">
        <is>
          <t>3236352 IN</t>
        </is>
      </c>
      <c r="G1629" s="144" t="inlineStr">
        <is>
          <t>WHITE FRIEGHTLINER</t>
        </is>
      </c>
      <c r="H1629" s="144" t="n">
        <v>1221</v>
      </c>
      <c r="I1629" s="144" t="inlineStr">
        <is>
          <t>COMMERCIAL</t>
        </is>
      </c>
    </row>
    <row r="1630" ht="18" customHeight="1" s="7">
      <c r="A1630" s="144" t="inlineStr">
        <is>
          <t>HENRY HUDSON</t>
        </is>
      </c>
      <c r="B1630" s="144" t="inlineStr">
        <is>
          <t>*055839078 GA</t>
        </is>
      </c>
      <c r="C1630" s="144" t="inlineStr">
        <is>
          <t>OXFORD</t>
        </is>
      </c>
      <c r="D1630" s="144" t="n">
        <v>2294490818</v>
      </c>
      <c r="E1630" s="144" t="inlineStr">
        <is>
          <t>CRANE</t>
        </is>
      </c>
      <c r="F1630" s="144" t="inlineStr">
        <is>
          <t>ZJW081 GA</t>
        </is>
      </c>
      <c r="G1630" s="144" t="inlineStr">
        <is>
          <t>WHITE INTER</t>
        </is>
      </c>
      <c r="H1630" s="144" t="inlineStr">
        <is>
          <t>GATE 1/5</t>
        </is>
      </c>
      <c r="I1630" s="144" t="inlineStr">
        <is>
          <t>COMMERCIAL</t>
        </is>
      </c>
    </row>
    <row r="1631" ht="18" customHeight="1" s="7">
      <c r="A1631" s="144" t="inlineStr">
        <is>
          <t>TONNIE DEBOSE</t>
        </is>
      </c>
      <c r="B1631" s="144" t="inlineStr">
        <is>
          <t>5124202 AL</t>
        </is>
      </c>
      <c r="C1631" s="144" t="inlineStr">
        <is>
          <t>MONDELEZ GLOBAL</t>
        </is>
      </c>
      <c r="D1631" s="144" t="n">
        <v>3345963830</v>
      </c>
      <c r="E1631" s="144" t="inlineStr">
        <is>
          <t>BOX</t>
        </is>
      </c>
      <c r="F1631" s="144" t="inlineStr">
        <is>
          <t xml:space="preserve">2637297 IN </t>
        </is>
      </c>
      <c r="G1631" s="144" t="inlineStr">
        <is>
          <t>WHITE FRIEGHTLINER</t>
        </is>
      </c>
      <c r="H1631" s="144" t="n">
        <v>7501</v>
      </c>
      <c r="I1631" s="144" t="inlineStr">
        <is>
          <t>COMMERCIAL</t>
        </is>
      </c>
    </row>
    <row r="1632" ht="18" customHeight="1" s="7">
      <c r="A1632" s="144" t="inlineStr">
        <is>
          <t>JULIAN GONZALEZ</t>
        </is>
      </c>
      <c r="B1632" s="144" t="inlineStr">
        <is>
          <t>G524431013630 FL</t>
        </is>
      </c>
      <c r="C1632" s="144" t="inlineStr">
        <is>
          <t>FALCONS LOGISTICS</t>
        </is>
      </c>
      <c r="D1632" s="144" t="n">
        <v>7863811838</v>
      </c>
      <c r="E1632" s="144" t="inlineStr">
        <is>
          <t>BOX</t>
        </is>
      </c>
      <c r="F1632" s="144" t="inlineStr">
        <is>
          <t>ZT3066 NC</t>
        </is>
      </c>
      <c r="G1632" s="144" t="inlineStr">
        <is>
          <t>WHITE FRIEGHTLINER</t>
        </is>
      </c>
      <c r="H1632" s="144" t="n">
        <v>1351</v>
      </c>
      <c r="I1632" s="144" t="inlineStr">
        <is>
          <t>COMMERCIAL</t>
        </is>
      </c>
    </row>
    <row r="1633" ht="18" customHeight="1" s="7">
      <c r="A1633" s="144" t="inlineStr">
        <is>
          <t>CHARLES CLYATT</t>
        </is>
      </c>
      <c r="B1633" s="144" t="inlineStr">
        <is>
          <t>*037442110 GA</t>
        </is>
      </c>
      <c r="C1633" s="144" t="inlineStr">
        <is>
          <t>TTL</t>
        </is>
      </c>
      <c r="D1633" s="144" t="n">
        <v>2298541443</v>
      </c>
      <c r="E1633" s="144" t="inlineStr">
        <is>
          <t>PU</t>
        </is>
      </c>
      <c r="F1633" s="144" t="inlineStr">
        <is>
          <t>3C002MH AL</t>
        </is>
      </c>
      <c r="G1633" s="144" t="inlineStr">
        <is>
          <t>WHITE TY</t>
        </is>
      </c>
      <c r="H1633" s="144" t="n">
        <v>7450</v>
      </c>
      <c r="I1633" s="144" t="inlineStr">
        <is>
          <t>CONTRACTOR</t>
        </is>
      </c>
    </row>
    <row r="1634" ht="18" customHeight="1" s="7">
      <c r="A1634" s="144" t="inlineStr">
        <is>
          <t>ROBERT TURNER</t>
        </is>
      </c>
      <c r="B1634" s="144" t="inlineStr">
        <is>
          <t>T656777710190 FL</t>
        </is>
      </c>
      <c r="C1634" s="144" t="inlineStr">
        <is>
          <t>WALTS</t>
        </is>
      </c>
      <c r="D1634" s="144" t="n">
        <v>9043896644</v>
      </c>
      <c r="E1634" s="144" t="inlineStr">
        <is>
          <t>FLAT</t>
        </is>
      </c>
      <c r="F1634" s="144" t="inlineStr">
        <is>
          <t>DFOOGM FL</t>
        </is>
      </c>
      <c r="G1634" s="144" t="inlineStr">
        <is>
          <t>WHITE KENWORTH</t>
        </is>
      </c>
      <c r="H1634" s="144" t="n">
        <v>1221</v>
      </c>
      <c r="I1634" s="144" t="inlineStr">
        <is>
          <t>COMMERCIAL</t>
        </is>
      </c>
    </row>
    <row r="1635" ht="18" customHeight="1" s="7">
      <c r="A1635" s="144" t="inlineStr">
        <is>
          <t>MICHAEL STYLES</t>
        </is>
      </c>
      <c r="B1635" s="144" t="inlineStr">
        <is>
          <t>*053809986 GA</t>
        </is>
      </c>
      <c r="C1635" s="144" t="inlineStr">
        <is>
          <t>LIFT 1</t>
        </is>
      </c>
      <c r="D1635" s="144" t="n">
        <v>2294070741</v>
      </c>
      <c r="E1635" s="144" t="inlineStr">
        <is>
          <t>VAN</t>
        </is>
      </c>
      <c r="F1635" s="144" t="inlineStr">
        <is>
          <t>SAJ3699 GA</t>
        </is>
      </c>
      <c r="G1635" s="144" t="inlineStr">
        <is>
          <t>WHITE FORD</t>
        </is>
      </c>
      <c r="H1635" s="144" t="n">
        <v>1430</v>
      </c>
      <c r="I1635" s="144" t="inlineStr">
        <is>
          <t>CONTRACTOR</t>
        </is>
      </c>
    </row>
    <row r="1636" ht="18" customHeight="1" s="7">
      <c r="A1636" s="144" t="inlineStr">
        <is>
          <t>TINNEL JEFFREY</t>
        </is>
      </c>
      <c r="B1636" s="144" t="inlineStr">
        <is>
          <t>T63014426 VA</t>
        </is>
      </c>
      <c r="C1636" s="144" t="inlineStr">
        <is>
          <t>LANDSTAR</t>
        </is>
      </c>
      <c r="D1636" s="144" t="n">
        <v>5402302455</v>
      </c>
      <c r="E1636" s="144" t="inlineStr">
        <is>
          <t>VAN</t>
        </is>
      </c>
      <c r="F1636" s="144" t="inlineStr">
        <is>
          <t>UB88822 VA</t>
        </is>
      </c>
      <c r="G1636" s="144" t="inlineStr">
        <is>
          <t>WHITE MEB</t>
        </is>
      </c>
      <c r="H1636" s="144" t="n">
        <v>1221</v>
      </c>
      <c r="I1636" s="144" t="inlineStr">
        <is>
          <t>CONTRACTOR</t>
        </is>
      </c>
    </row>
    <row r="1637" ht="18" customHeight="1" s="7">
      <c r="A1637" s="144" t="inlineStr">
        <is>
          <t>HACHE ISAAC</t>
        </is>
      </c>
      <c r="B1637" s="144" t="inlineStr">
        <is>
          <t>H212401830500 FL</t>
        </is>
      </c>
      <c r="C1637" s="144" t="inlineStr">
        <is>
          <t>PURPLE H</t>
        </is>
      </c>
      <c r="D1637" s="144" t="n">
        <v>4074600072</v>
      </c>
      <c r="E1637" s="144" t="inlineStr">
        <is>
          <t>PU</t>
        </is>
      </c>
      <c r="F1637" s="144" t="inlineStr">
        <is>
          <t>DD97HZ FL</t>
        </is>
      </c>
      <c r="G1637" s="144" t="inlineStr">
        <is>
          <t>GRAY DODGE</t>
        </is>
      </c>
      <c r="H1637" s="144" t="n">
        <v>1221</v>
      </c>
      <c r="I1637" s="144" t="inlineStr">
        <is>
          <t>CONTRACTOR</t>
        </is>
      </c>
    </row>
    <row r="1638" ht="18" customHeight="1" s="7">
      <c r="A1638" s="144" t="inlineStr">
        <is>
          <t>WALWORTH ERIC</t>
        </is>
      </c>
      <c r="B1638" s="144" t="inlineStr">
        <is>
          <t>000026854675 NC</t>
        </is>
      </c>
      <c r="C1638" s="144" t="inlineStr">
        <is>
          <t>APPLE MOVING</t>
        </is>
      </c>
      <c r="D1638" s="144" t="n">
        <v>9108856085</v>
      </c>
      <c r="E1638" s="144" t="inlineStr">
        <is>
          <t>BOX</t>
        </is>
      </c>
      <c r="F1638" s="144" t="inlineStr">
        <is>
          <t>60061UA VA</t>
        </is>
      </c>
      <c r="G1638" s="144" t="inlineStr">
        <is>
          <t>WHITE INTER</t>
        </is>
      </c>
      <c r="H1638" s="144" t="inlineStr">
        <is>
          <t>HOUSING</t>
        </is>
      </c>
      <c r="I1638" s="144" t="inlineStr">
        <is>
          <t>CONTRACTOR</t>
        </is>
      </c>
    </row>
    <row r="1639" ht="18" customHeight="1" s="7">
      <c r="A1639" s="144" t="inlineStr">
        <is>
          <t>RIC PARTON</t>
        </is>
      </c>
      <c r="B1639" s="144" t="inlineStr">
        <is>
          <t>H084101704 OK</t>
        </is>
      </c>
      <c r="C1639" s="144" t="inlineStr">
        <is>
          <t xml:space="preserve">BENNETT </t>
        </is>
      </c>
      <c r="D1639" s="144" t="n">
        <v>9187185979</v>
      </c>
      <c r="E1639" s="144" t="inlineStr">
        <is>
          <t>BOX</t>
        </is>
      </c>
      <c r="F1639" s="144" t="inlineStr">
        <is>
          <t>P1220847 IL</t>
        </is>
      </c>
      <c r="G1639" s="144" t="inlineStr">
        <is>
          <t>RED KENWORTH</t>
        </is>
      </c>
      <c r="H1639" s="144" t="n">
        <v>1221</v>
      </c>
      <c r="I1639" s="144" t="inlineStr">
        <is>
          <t>COMMERCIAL</t>
        </is>
      </c>
    </row>
    <row r="1640" ht="18" customHeight="1" s="7">
      <c r="A1640" s="144" t="inlineStr">
        <is>
          <t>JESSE CRUZ</t>
        </is>
      </c>
      <c r="B1640" s="144" t="inlineStr">
        <is>
          <t>C208961898000</t>
        </is>
      </c>
      <c r="C1640" s="144" t="inlineStr">
        <is>
          <t>A&amp;M CARRIERS</t>
        </is>
      </c>
      <c r="D1640" s="144" t="n">
        <v>5617288787</v>
      </c>
      <c r="E1640" s="144" t="inlineStr">
        <is>
          <t>FLAT</t>
        </is>
      </c>
      <c r="F1640" s="144" t="inlineStr">
        <is>
          <t>P1257739 IL</t>
        </is>
      </c>
      <c r="G1640" s="144" t="inlineStr">
        <is>
          <t>WHITE VOLVO</t>
        </is>
      </c>
      <c r="H1640" s="144" t="n">
        <v>1221</v>
      </c>
      <c r="I1640" s="144" t="inlineStr">
        <is>
          <t>COMMERICAL</t>
        </is>
      </c>
    </row>
    <row r="1641" ht="18" customHeight="1" s="7">
      <c r="A1641" s="144" t="inlineStr">
        <is>
          <t>FELIPE VALDEZ</t>
        </is>
      </c>
      <c r="B1641" s="144" t="inlineStr">
        <is>
          <t>D06100521 AZ</t>
        </is>
      </c>
      <c r="C1641" s="144" t="inlineStr">
        <is>
          <t>A&amp;M CARRIERS</t>
        </is>
      </c>
      <c r="D1641" s="144" t="n">
        <v>9285093279</v>
      </c>
      <c r="E1641" s="144" t="inlineStr">
        <is>
          <t>FLAT</t>
        </is>
      </c>
      <c r="F1641" s="144" t="inlineStr">
        <is>
          <t>P1054577 IL</t>
        </is>
      </c>
      <c r="G1641" s="144" t="inlineStr">
        <is>
          <t>GREEN FREIGHTLINER</t>
        </is>
      </c>
      <c r="H1641" s="144" t="n">
        <v>1221</v>
      </c>
      <c r="I1641" s="144" t="inlineStr">
        <is>
          <t>COMMERICAL</t>
        </is>
      </c>
    </row>
    <row r="1642" ht="18" customHeight="1" s="7">
      <c r="A1642" s="144" t="inlineStr">
        <is>
          <t>KASSANOV RUSLAN</t>
        </is>
      </c>
      <c r="B1642" s="144" t="inlineStr">
        <is>
          <t>061306113 GA</t>
        </is>
      </c>
      <c r="C1642" s="144" t="inlineStr">
        <is>
          <t>A&amp;M CARRIERS</t>
        </is>
      </c>
      <c r="D1642" s="144" t="n">
        <v>4703801167</v>
      </c>
      <c r="E1642" s="144" t="inlineStr">
        <is>
          <t>FLAT</t>
        </is>
      </c>
      <c r="F1642" s="144" t="inlineStr">
        <is>
          <t>SPG505069 IL</t>
        </is>
      </c>
      <c r="G1642" s="144" t="inlineStr">
        <is>
          <t>WHITE FREIGHTLINER</t>
        </is>
      </c>
      <c r="H1642" s="144" t="n">
        <v>1221</v>
      </c>
      <c r="I1642" s="144" t="inlineStr">
        <is>
          <t>COMMERICAL</t>
        </is>
      </c>
    </row>
    <row r="1643" ht="18" customHeight="1" s="7">
      <c r="A1643" s="144" t="inlineStr">
        <is>
          <t>HENADZI PASHKEVICH</t>
        </is>
      </c>
      <c r="B1643" s="144" t="inlineStr">
        <is>
          <t>P07393240009724 NJ</t>
        </is>
      </c>
      <c r="C1643" s="144" t="inlineStr">
        <is>
          <t>FALCONS LOGISTICS</t>
        </is>
      </c>
      <c r="D1643" s="144" t="n">
        <v>9179303851</v>
      </c>
      <c r="E1643" s="144" t="inlineStr">
        <is>
          <t>BOX</t>
        </is>
      </c>
      <c r="F1643" s="144" t="inlineStr">
        <is>
          <t>XNCS31 NJ</t>
        </is>
      </c>
      <c r="G1643" s="144" t="inlineStr">
        <is>
          <t>WHITE FORD</t>
        </is>
      </c>
      <c r="H1643" s="144" t="n">
        <v>1351</v>
      </c>
      <c r="I1643" s="144" t="inlineStr">
        <is>
          <t>CONTRACTOR</t>
        </is>
      </c>
    </row>
    <row r="1644" ht="18" customHeight="1" s="7">
      <c r="A1644" s="144" t="inlineStr">
        <is>
          <t>ELDARKHAN IBRAGIMOV</t>
        </is>
      </c>
      <c r="B1644" s="144" t="inlineStr">
        <is>
          <t>W9108768 CA</t>
        </is>
      </c>
      <c r="C1644" s="144" t="inlineStr">
        <is>
          <t>A&amp;M CARRIERS</t>
        </is>
      </c>
      <c r="D1644" s="144" t="n">
        <v>279278487</v>
      </c>
      <c r="E1644" s="144" t="inlineStr">
        <is>
          <t>FLAT</t>
        </is>
      </c>
      <c r="F1644" s="144" t="inlineStr">
        <is>
          <t>SPG502237 IL</t>
        </is>
      </c>
      <c r="G1644" s="144" t="inlineStr">
        <is>
          <t>WHITE VOLVO</t>
        </is>
      </c>
      <c r="H1644" s="144" t="n">
        <v>1221</v>
      </c>
      <c r="I1644" s="144" t="inlineStr">
        <is>
          <t>COMMERICAL</t>
        </is>
      </c>
    </row>
    <row r="1645" ht="18" customHeight="1" s="7">
      <c r="A1645" s="144" t="inlineStr">
        <is>
          <t>MELINDA FERRYMAN</t>
        </is>
      </c>
      <c r="B1645" s="144" t="inlineStr">
        <is>
          <t>F655550697970 FL</t>
        </is>
      </c>
      <c r="C1645" s="144" t="inlineStr">
        <is>
          <t>LANDSTAR</t>
        </is>
      </c>
      <c r="D1645" s="144" t="n">
        <v>6154004305</v>
      </c>
      <c r="E1645" s="144" t="inlineStr">
        <is>
          <t>BOX</t>
        </is>
      </c>
      <c r="F1645" s="144" t="inlineStr">
        <is>
          <t>3312328 ID</t>
        </is>
      </c>
      <c r="G1645" s="144" t="inlineStr">
        <is>
          <t>BLUE VOLVO</t>
        </is>
      </c>
      <c r="H1645" s="144" t="n">
        <v>1221</v>
      </c>
      <c r="I1645" s="144" t="inlineStr">
        <is>
          <t>COMMERICAL</t>
        </is>
      </c>
    </row>
    <row r="1646" ht="18" customHeight="1" s="7">
      <c r="A1646" s="144" t="inlineStr">
        <is>
          <t>TIMMY TUCKER</t>
        </is>
      </c>
      <c r="B1646" s="144" t="inlineStr">
        <is>
          <t>07702287 TN</t>
        </is>
      </c>
      <c r="C1646" s="144" t="inlineStr">
        <is>
          <t>SAC SERVICES</t>
        </is>
      </c>
      <c r="D1646" s="144" t="n">
        <v>9316919272</v>
      </c>
      <c r="E1646" s="144" t="inlineStr">
        <is>
          <t>PU</t>
        </is>
      </c>
      <c r="F1646" s="144" t="inlineStr">
        <is>
          <t>Y199ZB FL</t>
        </is>
      </c>
      <c r="G1646" s="144" t="inlineStr">
        <is>
          <t>WHITE FORD</t>
        </is>
      </c>
      <c r="H1646" s="144" t="n">
        <v>7520</v>
      </c>
      <c r="I1646" s="144" t="inlineStr">
        <is>
          <t>CONTRACTOR</t>
        </is>
      </c>
    </row>
    <row r="1647" ht="18" customHeight="1" s="7">
      <c r="A1647" s="144" t="inlineStr">
        <is>
          <t>SCHAIRED ROBERT</t>
        </is>
      </c>
      <c r="B1647" s="144" t="inlineStr">
        <is>
          <t>22388845 TX</t>
        </is>
      </c>
      <c r="C1647" s="144" t="inlineStr">
        <is>
          <t xml:space="preserve">2 SCHAIREDS </t>
        </is>
      </c>
      <c r="D1647" s="144" t="n">
        <v>9126221083</v>
      </c>
      <c r="E1647" s="144" t="inlineStr">
        <is>
          <t>PU</t>
        </is>
      </c>
      <c r="F1647" s="144" t="inlineStr">
        <is>
          <t>TNF7101 TX</t>
        </is>
      </c>
      <c r="G1647" s="144" t="inlineStr">
        <is>
          <t>WHITE FORD</t>
        </is>
      </c>
      <c r="H1647" s="144" t="n">
        <v>1220</v>
      </c>
      <c r="I1647" s="144" t="inlineStr">
        <is>
          <t>CONTRACTOR</t>
        </is>
      </c>
    </row>
    <row r="1648" ht="18" customHeight="1" s="7">
      <c r="A1648" s="144" t="inlineStr">
        <is>
          <t>CODY HOLTON</t>
        </is>
      </c>
      <c r="B1648" s="144" t="inlineStr">
        <is>
          <t>*054876525 GA</t>
        </is>
      </c>
      <c r="C1648" s="144" t="inlineStr">
        <is>
          <t>GEA</t>
        </is>
      </c>
      <c r="D1648" s="144" t="n">
        <v>2294855299</v>
      </c>
      <c r="E1648" s="144" t="inlineStr">
        <is>
          <t>PU</t>
        </is>
      </c>
      <c r="F1648" s="144" t="inlineStr">
        <is>
          <t>SFS0334 GA</t>
        </is>
      </c>
      <c r="G1648" s="144" t="inlineStr">
        <is>
          <t>WHITE FORD</t>
        </is>
      </c>
      <c r="H1648" s="144" t="n">
        <v>7450</v>
      </c>
      <c r="I1648" s="144" t="inlineStr">
        <is>
          <t>CONTRACTOR</t>
        </is>
      </c>
    </row>
    <row r="1649" ht="18" customHeight="1" s="7">
      <c r="A1649" s="144" t="inlineStr">
        <is>
          <t>MARTIN HARDEN</t>
        </is>
      </c>
      <c r="B1649" s="144" t="inlineStr">
        <is>
          <t>E218312400 MO</t>
        </is>
      </c>
      <c r="C1649" s="144" t="inlineStr">
        <is>
          <t>AATCO</t>
        </is>
      </c>
      <c r="D1649" s="144" t="n">
        <v>4176808209</v>
      </c>
      <c r="E1649" s="144" t="inlineStr">
        <is>
          <t>BOX</t>
        </is>
      </c>
      <c r="F1649" s="144" t="inlineStr">
        <is>
          <t>AM56969 AZ</t>
        </is>
      </c>
      <c r="G1649" s="144" t="inlineStr">
        <is>
          <t>GRAY VOLVO</t>
        </is>
      </c>
      <c r="H1649" s="144" t="n">
        <v>1221</v>
      </c>
      <c r="I1649" s="144" t="inlineStr">
        <is>
          <t>COMMERCIAL</t>
        </is>
      </c>
    </row>
    <row r="1650" ht="18" customHeight="1" s="7">
      <c r="A1650" s="144" t="inlineStr">
        <is>
          <t>JOHNSTON STEVEN</t>
        </is>
      </c>
      <c r="B1650" s="144" t="inlineStr">
        <is>
          <t>51493480 TX</t>
        </is>
      </c>
      <c r="C1650" s="144" t="inlineStr">
        <is>
          <t>ADMIRAL MERCHANTS</t>
        </is>
      </c>
      <c r="D1650" s="144" t="n">
        <v>9062211541</v>
      </c>
      <c r="E1650" s="144" t="inlineStr">
        <is>
          <t>FLAT</t>
        </is>
      </c>
      <c r="F1650" s="144" t="inlineStr">
        <is>
          <t>PZA7643 MN</t>
        </is>
      </c>
      <c r="G1650" s="144" t="inlineStr">
        <is>
          <t>WHITE WESTERN STAR</t>
        </is>
      </c>
      <c r="H1650" s="144" t="n">
        <v>1221</v>
      </c>
      <c r="I1650" s="144" t="inlineStr">
        <is>
          <t>COMMERCIAL</t>
        </is>
      </c>
    </row>
    <row r="1651" ht="18" customHeight="1" s="7">
      <c r="A1651" s="144" t="inlineStr">
        <is>
          <t>LUIS ARIAS</t>
        </is>
      </c>
      <c r="B1651" s="144" t="inlineStr">
        <is>
          <t>*059139735 GA</t>
        </is>
      </c>
      <c r="C1651" s="144" t="inlineStr">
        <is>
          <t>METRO POWER</t>
        </is>
      </c>
      <c r="D1651" s="144" t="n">
        <v>2293227752</v>
      </c>
      <c r="E1651" s="144" t="inlineStr">
        <is>
          <t>PU</t>
        </is>
      </c>
      <c r="F1651" s="144" t="inlineStr">
        <is>
          <t>EMV766 GA</t>
        </is>
      </c>
      <c r="G1651" s="144" t="inlineStr">
        <is>
          <t>WHITE CHEVY</t>
        </is>
      </c>
      <c r="H1651" s="144" t="n">
        <v>7520</v>
      </c>
      <c r="I1651" s="144" t="inlineStr">
        <is>
          <t>CONTRACTOR</t>
        </is>
      </c>
    </row>
    <row r="1652" ht="18" customHeight="1" s="7">
      <c r="A1652" s="144" t="inlineStr">
        <is>
          <t>JAMES G. BROWN</t>
        </is>
      </c>
      <c r="B1652" s="144" t="inlineStr">
        <is>
          <t>*049104644 GA</t>
        </is>
      </c>
      <c r="C1652" s="144" t="inlineStr">
        <is>
          <t>CITY OF ALBANY</t>
        </is>
      </c>
      <c r="D1652" s="144" t="n">
        <v>2296031804</v>
      </c>
      <c r="E1652" s="144" t="inlineStr">
        <is>
          <t>PU</t>
        </is>
      </c>
      <c r="F1652" s="144" t="inlineStr">
        <is>
          <t>GV8276L GA</t>
        </is>
      </c>
      <c r="G1652" s="144" t="inlineStr">
        <is>
          <t>WHITE FORD</t>
        </is>
      </c>
      <c r="H1652" s="144" t="n">
        <v>2215</v>
      </c>
      <c r="I1652" s="144" t="inlineStr">
        <is>
          <t>CONTRACTOR</t>
        </is>
      </c>
    </row>
    <row r="1653" ht="18" customHeight="1" s="7">
      <c r="A1653" s="144" t="inlineStr">
        <is>
          <t>FRANCIS TOOLE</t>
        </is>
      </c>
      <c r="B1653" s="144" t="inlineStr">
        <is>
          <t>*055926309 GA</t>
        </is>
      </c>
      <c r="C1653" s="144" t="inlineStr">
        <is>
          <t>TOOLE</t>
        </is>
      </c>
      <c r="D1653" s="144" t="n">
        <v>2298886900</v>
      </c>
      <c r="E1653" s="144" t="inlineStr">
        <is>
          <t>PU</t>
        </is>
      </c>
      <c r="F1653" s="144" t="inlineStr">
        <is>
          <t>SGY9714 GA</t>
        </is>
      </c>
      <c r="G1653" s="144" t="inlineStr">
        <is>
          <t>WHITE CHEVY</t>
        </is>
      </c>
      <c r="H1653" s="144" t="inlineStr">
        <is>
          <t>GYM</t>
        </is>
      </c>
      <c r="I1653" s="144" t="inlineStr">
        <is>
          <t>CONTRACTOR</t>
        </is>
      </c>
    </row>
    <row r="1654" ht="18" customHeight="1" s="7">
      <c r="A1654" s="144" t="inlineStr">
        <is>
          <t>STOPYRA ANDREW</t>
        </is>
      </c>
      <c r="B1654" s="144" t="inlineStr">
        <is>
          <t>23652629 PA</t>
        </is>
      </c>
      <c r="C1654" s="144" t="inlineStr">
        <is>
          <t>DIRTYMAX</t>
        </is>
      </c>
      <c r="D1654" s="144" t="n">
        <v>7173313800</v>
      </c>
      <c r="E1654" s="144" t="inlineStr">
        <is>
          <t>PU</t>
        </is>
      </c>
      <c r="F1654" s="144" t="inlineStr">
        <is>
          <t>ZPB1903 PA</t>
        </is>
      </c>
      <c r="G1654" s="144" t="inlineStr">
        <is>
          <t>RED CHEVY</t>
        </is>
      </c>
      <c r="H1654" s="144" t="n">
        <v>1221</v>
      </c>
      <c r="I1654" s="144" t="inlineStr">
        <is>
          <t>CONTRACTOR</t>
        </is>
      </c>
    </row>
    <row r="1655" ht="18" customHeight="1" s="7">
      <c r="A1655" s="144" t="inlineStr">
        <is>
          <t>EDWIN MCKENZIE</t>
        </is>
      </c>
      <c r="B1655" s="144" t="inlineStr">
        <is>
          <t>*054577142 GA</t>
        </is>
      </c>
      <c r="C1655" s="144" t="inlineStr">
        <is>
          <t>ETM</t>
        </is>
      </c>
      <c r="D1655" s="144" t="n">
        <v>2298868188</v>
      </c>
      <c r="E1655" s="144" t="inlineStr">
        <is>
          <t>PU</t>
        </is>
      </c>
      <c r="F1655" s="144" t="inlineStr">
        <is>
          <t>PHDLIFE GA</t>
        </is>
      </c>
      <c r="G1655" s="144" t="inlineStr">
        <is>
          <t>GRAY CHEVY</t>
        </is>
      </c>
      <c r="H1655" s="144" t="n">
        <v>7520</v>
      </c>
      <c r="I1655" s="144" t="inlineStr">
        <is>
          <t>CONTRACTOR</t>
        </is>
      </c>
    </row>
    <row r="1656" ht="18" customHeight="1" s="7">
      <c r="A1656" s="144" t="inlineStr">
        <is>
          <t>KENNETH JOHNSON</t>
        </is>
      </c>
      <c r="B1656" s="144" t="inlineStr">
        <is>
          <t>*060250629 GA</t>
        </is>
      </c>
      <c r="C1656" s="144" t="inlineStr">
        <is>
          <t>ETM</t>
        </is>
      </c>
      <c r="D1656" s="144" t="n">
        <v>2297331004</v>
      </c>
      <c r="E1656" s="144" t="inlineStr">
        <is>
          <t>PU</t>
        </is>
      </c>
      <c r="F1656" s="144" t="inlineStr">
        <is>
          <t>SHN7166 GA</t>
        </is>
      </c>
      <c r="G1656" s="144" t="inlineStr">
        <is>
          <t>WHITE FORD</t>
        </is>
      </c>
      <c r="H1656" s="144" t="n">
        <v>7520</v>
      </c>
      <c r="I1656" s="144" t="inlineStr">
        <is>
          <t>CONTRACTOR</t>
        </is>
      </c>
    </row>
    <row r="1657" ht="18" customHeight="1" s="7">
      <c r="A1657" s="144" t="inlineStr">
        <is>
          <t>KOZEN STEVEN</t>
        </is>
      </c>
      <c r="B1657" s="144" t="inlineStr">
        <is>
          <t>26138457 PA</t>
        </is>
      </c>
      <c r="C1657" s="144" t="inlineStr">
        <is>
          <t>TITAN</t>
        </is>
      </c>
      <c r="D1657" s="144" t="n">
        <v>8149358974</v>
      </c>
      <c r="E1657" s="144" t="inlineStr">
        <is>
          <t>VAN</t>
        </is>
      </c>
      <c r="F1657" s="144" t="inlineStr">
        <is>
          <t>CHA1508 GA</t>
        </is>
      </c>
      <c r="G1657" s="144" t="inlineStr">
        <is>
          <t>RED CHRYSLER</t>
        </is>
      </c>
      <c r="H1657" s="144" t="n">
        <v>2284</v>
      </c>
      <c r="I1657" s="144" t="inlineStr">
        <is>
          <t>CONTRACTOR</t>
        </is>
      </c>
    </row>
    <row r="1658" ht="18" customHeight="1" s="7">
      <c r="A1658" s="144" t="inlineStr">
        <is>
          <t>HERNANDEZ HERZON</t>
        </is>
      </c>
      <c r="B1658" s="144" t="inlineStr">
        <is>
          <t>*05373466 TX</t>
        </is>
      </c>
      <c r="C1658" s="144" t="inlineStr">
        <is>
          <t>FENIX TRANS</t>
        </is>
      </c>
      <c r="D1658" s="144" t="n">
        <v>8328819965</v>
      </c>
      <c r="E1658" s="144" t="inlineStr">
        <is>
          <t>PU</t>
        </is>
      </c>
      <c r="F1658" s="144" t="inlineStr">
        <is>
          <t>K185284 TX</t>
        </is>
      </c>
      <c r="G1658" s="144" t="inlineStr">
        <is>
          <t>RED DODGE</t>
        </is>
      </c>
      <c r="H1658" s="144" t="n">
        <v>1221</v>
      </c>
      <c r="I1658" s="144" t="inlineStr">
        <is>
          <t>CONTRACTOR</t>
        </is>
      </c>
    </row>
    <row r="1659" ht="18" customHeight="1" s="7">
      <c r="A1659" s="144" t="inlineStr">
        <is>
          <t>MARCUS ROBINSON</t>
        </is>
      </c>
      <c r="B1659" s="144" t="inlineStr">
        <is>
          <t>*051497066 GA</t>
        </is>
      </c>
      <c r="C1659" s="144" t="inlineStr">
        <is>
          <t>SCPII</t>
        </is>
      </c>
      <c r="D1659" s="144" t="n">
        <v>2297988083</v>
      </c>
      <c r="E1659" s="144" t="inlineStr">
        <is>
          <t>BOX</t>
        </is>
      </c>
      <c r="F1659" s="144" t="inlineStr">
        <is>
          <t>C579DN GA</t>
        </is>
      </c>
      <c r="G1659" s="144" t="inlineStr">
        <is>
          <t>BLUE FREIGHTLINER</t>
        </is>
      </c>
      <c r="H1659" s="144" t="n">
        <v>1221</v>
      </c>
      <c r="I1659" s="144" t="inlineStr">
        <is>
          <t>COMMERCIAL</t>
        </is>
      </c>
    </row>
    <row r="1660" ht="18" customHeight="1" s="7">
      <c r="A1660" s="144" t="inlineStr">
        <is>
          <t>PHILP PERSINGER</t>
        </is>
      </c>
      <c r="B1660" s="144" t="inlineStr">
        <is>
          <t>*057636833 GA</t>
        </is>
      </c>
      <c r="C1660" s="144" t="inlineStr">
        <is>
          <t>SHERIDAN LOGISTICS</t>
        </is>
      </c>
      <c r="D1660" s="144" t="n">
        <v>2296466519</v>
      </c>
      <c r="E1660" s="144" t="inlineStr">
        <is>
          <t>FLAT</t>
        </is>
      </c>
      <c r="F1660" s="144" t="inlineStr">
        <is>
          <t>3GH694 OK</t>
        </is>
      </c>
      <c r="G1660" s="144" t="inlineStr">
        <is>
          <t>BLACK PETERBILT</t>
        </is>
      </c>
      <c r="H1660" s="144" t="n">
        <v>1221</v>
      </c>
      <c r="I1660" s="144" t="inlineStr">
        <is>
          <t>COMMERCIAL</t>
        </is>
      </c>
    </row>
    <row r="1661" ht="18" customHeight="1" s="7">
      <c r="A1661" s="144" t="inlineStr">
        <is>
          <t xml:space="preserve">JON MOORE </t>
        </is>
      </c>
      <c r="B1661" s="144" t="inlineStr">
        <is>
          <t>*051957625 GA</t>
        </is>
      </c>
      <c r="C1661" s="144" t="inlineStr">
        <is>
          <t>OWL</t>
        </is>
      </c>
      <c r="D1661" s="144" t="n">
        <v>3347823833</v>
      </c>
      <c r="E1661" s="144" t="inlineStr">
        <is>
          <t>VAN</t>
        </is>
      </c>
      <c r="F1661" s="144" t="inlineStr">
        <is>
          <t>3A0848Y AL</t>
        </is>
      </c>
      <c r="G1661" s="144" t="inlineStr">
        <is>
          <t>WHITE CHEVY</t>
        </is>
      </c>
      <c r="H1661" s="144" t="n">
        <v>5400</v>
      </c>
      <c r="I1661" s="144" t="inlineStr">
        <is>
          <t>CONTRACTOR</t>
        </is>
      </c>
    </row>
    <row r="1662" ht="18" customHeight="1" s="7">
      <c r="A1662" s="144" t="inlineStr">
        <is>
          <t>JEREMAINE ISREAL</t>
        </is>
      </c>
      <c r="B1662" s="144" t="inlineStr">
        <is>
          <t>*050906828 GA</t>
        </is>
      </c>
      <c r="C1662" s="144" t="inlineStr">
        <is>
          <t>RYDER</t>
        </is>
      </c>
      <c r="D1662" s="144" t="n">
        <v>6785088562</v>
      </c>
      <c r="E1662" s="144" t="inlineStr">
        <is>
          <t>BOX</t>
        </is>
      </c>
      <c r="F1662" s="144" t="inlineStr">
        <is>
          <t>XKQ567 GA</t>
        </is>
      </c>
      <c r="G1662" s="144" t="inlineStr">
        <is>
          <t>WHITE FREIGHTLINER</t>
        </is>
      </c>
      <c r="H1662" s="144" t="n">
        <v>3600</v>
      </c>
      <c r="I1662" s="144" t="inlineStr">
        <is>
          <t>COMMERCIAL</t>
        </is>
      </c>
    </row>
    <row r="1663" ht="18" customHeight="1" s="7">
      <c r="A1663" s="144" t="inlineStr">
        <is>
          <t>NOAH PHILLIPS</t>
        </is>
      </c>
      <c r="B1663" s="144" t="inlineStr">
        <is>
          <t>*056828625 GA</t>
        </is>
      </c>
      <c r="C1663" s="144" t="inlineStr">
        <is>
          <t>FLINT</t>
        </is>
      </c>
      <c r="D1663" s="144" t="n">
        <v>2294327468</v>
      </c>
      <c r="E1663" s="144" t="inlineStr">
        <is>
          <t>PU</t>
        </is>
      </c>
      <c r="F1663" s="144" t="inlineStr">
        <is>
          <t>EGQ497 GA</t>
        </is>
      </c>
      <c r="G1663" s="144" t="inlineStr">
        <is>
          <t>WHITE DODGE</t>
        </is>
      </c>
      <c r="H1663" s="144" t="n">
        <v>5651</v>
      </c>
      <c r="I1663" s="144" t="inlineStr">
        <is>
          <t>CONTRACTOR</t>
        </is>
      </c>
    </row>
    <row r="1664" ht="18" customHeight="1" s="7">
      <c r="A1664" s="144" t="inlineStr">
        <is>
          <t>ZACHARY LEPPERT</t>
        </is>
      </c>
      <c r="B1664" s="144" t="inlineStr">
        <is>
          <t>*057195086 GA</t>
        </is>
      </c>
      <c r="C1664" s="144" t="inlineStr">
        <is>
          <t>BIBLER</t>
        </is>
      </c>
      <c r="D1664" s="144" t="n">
        <v>4043487788</v>
      </c>
      <c r="E1664" s="144" t="inlineStr">
        <is>
          <t>PU</t>
        </is>
      </c>
      <c r="F1664" s="144" t="inlineStr">
        <is>
          <t>RSU3827 GA</t>
        </is>
      </c>
      <c r="G1664" s="144" t="inlineStr">
        <is>
          <t>WHITE FORD</t>
        </is>
      </c>
      <c r="H1664" s="144" t="n">
        <v>1221</v>
      </c>
      <c r="I1664" s="144" t="inlineStr">
        <is>
          <t>CONTRACTOR</t>
        </is>
      </c>
    </row>
    <row r="1665" ht="18" customHeight="1" s="7">
      <c r="A1665" s="144" t="inlineStr">
        <is>
          <t>DEREK MCNAIR</t>
        </is>
      </c>
      <c r="B1665" s="144" t="inlineStr">
        <is>
          <t>*052311928 GA</t>
        </is>
      </c>
      <c r="C1665" s="144" t="inlineStr">
        <is>
          <t>FRITO LAYS</t>
        </is>
      </c>
      <c r="D1665" s="144" t="n">
        <v>2292911006</v>
      </c>
      <c r="E1665" s="144" t="inlineStr">
        <is>
          <t>BOX</t>
        </is>
      </c>
      <c r="F1665" s="144" t="inlineStr">
        <is>
          <t>YEE313 GA</t>
        </is>
      </c>
      <c r="G1665" s="144" t="inlineStr">
        <is>
          <t>WHITE FREIGHTLINER</t>
        </is>
      </c>
      <c r="H1665" s="144" t="n">
        <v>7501</v>
      </c>
      <c r="I1665" s="144" t="inlineStr">
        <is>
          <t>COMMERCIAL</t>
        </is>
      </c>
    </row>
    <row r="1666" ht="18" customHeight="1" s="7">
      <c r="A1666" s="144" t="inlineStr">
        <is>
          <t xml:space="preserve">KENTRIO WHITE </t>
        </is>
      </c>
      <c r="B1666" s="144" t="inlineStr">
        <is>
          <t>*049713576 GA</t>
        </is>
      </c>
      <c r="C1666" s="144" t="inlineStr">
        <is>
          <t>OXFORD</t>
        </is>
      </c>
      <c r="D1666" s="144" t="n">
        <v>2299428317</v>
      </c>
      <c r="E1666" s="144" t="inlineStr">
        <is>
          <t>DUMP</t>
        </is>
      </c>
      <c r="F1666" s="144" t="inlineStr">
        <is>
          <t>GAF932 GA</t>
        </is>
      </c>
      <c r="G1666" s="144" t="inlineStr">
        <is>
          <t>WHITE MACK</t>
        </is>
      </c>
      <c r="H1666" s="144" t="inlineStr">
        <is>
          <t>GATE1/5</t>
        </is>
      </c>
      <c r="I1666" s="144" t="inlineStr">
        <is>
          <t>COMMERCIAL</t>
        </is>
      </c>
    </row>
    <row r="1667" ht="18" customHeight="1" s="7">
      <c r="A1667" s="144" t="inlineStr">
        <is>
          <t>KELVIN ANDERSON</t>
        </is>
      </c>
      <c r="B1667" s="144" t="inlineStr">
        <is>
          <t>*9745784 AL</t>
        </is>
      </c>
      <c r="C1667" s="144" t="inlineStr">
        <is>
          <t xml:space="preserve">MIDSOUTH PRODUCE </t>
        </is>
      </c>
      <c r="D1667" s="144" t="n">
        <v>2054224685</v>
      </c>
      <c r="E1667" s="144" t="inlineStr">
        <is>
          <t>BOX</t>
        </is>
      </c>
      <c r="F1667" s="144" t="inlineStr">
        <is>
          <t>3356543 IN</t>
        </is>
      </c>
      <c r="G1667" s="144" t="inlineStr">
        <is>
          <t>WHITE FREIGHTLINER</t>
        </is>
      </c>
      <c r="H1667" s="144" t="n">
        <v>7501</v>
      </c>
      <c r="I1667" s="144" t="inlineStr">
        <is>
          <t>COMMERCIAL</t>
        </is>
      </c>
    </row>
    <row r="1668" ht="18" customHeight="1" s="7">
      <c r="A1668" s="144" t="inlineStr">
        <is>
          <t>TALBERT CEETRICK</t>
        </is>
      </c>
      <c r="B1668" s="144" t="inlineStr">
        <is>
          <t>*007027600 SC</t>
        </is>
      </c>
      <c r="C1668" s="144" t="inlineStr">
        <is>
          <t>TRANSWOOD INC</t>
        </is>
      </c>
      <c r="D1668" s="144" t="n">
        <v>7069930480</v>
      </c>
      <c r="E1668" s="144" t="inlineStr">
        <is>
          <t>TANK</t>
        </is>
      </c>
      <c r="F1668" s="144" t="inlineStr">
        <is>
          <t>415795 NE</t>
        </is>
      </c>
      <c r="G1668" s="144" t="inlineStr">
        <is>
          <t>WHITE FREIGHTLINER</t>
        </is>
      </c>
      <c r="H1668" s="144" t="n">
        <v>2200</v>
      </c>
      <c r="I1668" s="144" t="inlineStr">
        <is>
          <t>COMMERCIAL</t>
        </is>
      </c>
    </row>
    <row r="1669" ht="18" customHeight="1" s="7">
      <c r="A1669" s="144" t="inlineStr">
        <is>
          <t>RYAN TOOLE</t>
        </is>
      </c>
      <c r="B1669" s="144" t="inlineStr">
        <is>
          <t>*057856789 GA</t>
        </is>
      </c>
      <c r="C1669" s="144" t="inlineStr">
        <is>
          <t>TOOLE</t>
        </is>
      </c>
      <c r="D1669" s="144" t="n">
        <v>2293448111</v>
      </c>
      <c r="E1669" s="144" t="inlineStr">
        <is>
          <t>PU</t>
        </is>
      </c>
      <c r="F1669" s="144" t="inlineStr">
        <is>
          <t>DBI2408 GA</t>
        </is>
      </c>
      <c r="G1669" s="144" t="inlineStr">
        <is>
          <t>WHITE CHEVY</t>
        </is>
      </c>
      <c r="H1669" s="144" t="inlineStr">
        <is>
          <t>GYM</t>
        </is>
      </c>
      <c r="I1669" s="144" t="inlineStr">
        <is>
          <t>CONTRACTOR</t>
        </is>
      </c>
    </row>
    <row r="1670" ht="18" customHeight="1" s="7">
      <c r="A1670" s="144" t="inlineStr">
        <is>
          <t>SALINAS CIPRIANO</t>
        </is>
      </c>
      <c r="B1670" s="144" t="inlineStr">
        <is>
          <t>*48295433 TX</t>
        </is>
      </c>
      <c r="C1670" s="144" t="inlineStr">
        <is>
          <t>BIGMEN'S TRANSPORT</t>
        </is>
      </c>
      <c r="D1670" s="144" t="n">
        <v>9568885142</v>
      </c>
      <c r="E1670" s="144" t="inlineStr">
        <is>
          <t>PU</t>
        </is>
      </c>
      <c r="F1670" s="144" t="inlineStr">
        <is>
          <t>TGA1754 VA</t>
        </is>
      </c>
      <c r="G1670" s="144" t="inlineStr">
        <is>
          <t>WHITE FORD</t>
        </is>
      </c>
      <c r="H1670" s="144" t="inlineStr">
        <is>
          <t>DLA</t>
        </is>
      </c>
      <c r="I1670" s="144" t="inlineStr">
        <is>
          <t>CONTRACTOR</t>
        </is>
      </c>
    </row>
    <row r="1671" ht="18" customHeight="1" s="7">
      <c r="A1671" s="144" t="inlineStr">
        <is>
          <t>GREGORY MOYE</t>
        </is>
      </c>
      <c r="B1671" s="144" t="inlineStr">
        <is>
          <t>*054285631 GA</t>
        </is>
      </c>
      <c r="C1671" s="144" t="inlineStr">
        <is>
          <t>TRINITY POWER</t>
        </is>
      </c>
      <c r="D1671" s="144" t="n">
        <v>2298942269</v>
      </c>
      <c r="E1671" s="144" t="inlineStr">
        <is>
          <t>PU</t>
        </is>
      </c>
      <c r="F1671" s="144" t="inlineStr">
        <is>
          <t>YLP833 GA</t>
        </is>
      </c>
      <c r="G1671" s="144" t="inlineStr">
        <is>
          <t>WHITE DODGE</t>
        </is>
      </c>
      <c r="H1671" s="144" t="inlineStr">
        <is>
          <t>GME</t>
        </is>
      </c>
      <c r="I1671" s="144" t="inlineStr">
        <is>
          <t>CONTRACTOR</t>
        </is>
      </c>
    </row>
    <row r="1672" ht="18" customHeight="1" s="7">
      <c r="A1672" s="144" t="inlineStr">
        <is>
          <t>EVANS MARQUIS</t>
        </is>
      </c>
      <c r="B1672" s="144" t="inlineStr">
        <is>
          <t xml:space="preserve">*800568284 GA </t>
        </is>
      </c>
      <c r="C1672" s="144" t="inlineStr">
        <is>
          <t>ALL 48 FREIGHT</t>
        </is>
      </c>
      <c r="D1672" s="144" t="n">
        <v>7692377545</v>
      </c>
      <c r="E1672" s="144" t="inlineStr">
        <is>
          <t>FLAT</t>
        </is>
      </c>
      <c r="F1672" s="144" t="inlineStr">
        <is>
          <t xml:space="preserve">P1056855 IL </t>
        </is>
      </c>
      <c r="G1672" s="144" t="inlineStr">
        <is>
          <t>WHITE BRAVO</t>
        </is>
      </c>
      <c r="H1672" s="144" t="n">
        <v>1221</v>
      </c>
      <c r="I1672" s="144" t="inlineStr">
        <is>
          <t>COMMERCIAL</t>
        </is>
      </c>
    </row>
    <row r="1673" ht="18" customHeight="1" s="7">
      <c r="A1673" s="144" t="inlineStr">
        <is>
          <t>TOMMY JOHNSON</t>
        </is>
      </c>
      <c r="B1673" s="144" t="inlineStr">
        <is>
          <t>*059465136 GA</t>
        </is>
      </c>
      <c r="C1673" s="144" t="inlineStr">
        <is>
          <t>OXFORD</t>
        </is>
      </c>
      <c r="D1673" s="144" t="inlineStr">
        <is>
          <t>*2292885072</t>
        </is>
      </c>
      <c r="E1673" s="144" t="inlineStr">
        <is>
          <t>DUMP</t>
        </is>
      </c>
      <c r="F1673" s="144" t="inlineStr">
        <is>
          <t>GHA909 GA</t>
        </is>
      </c>
      <c r="G1673" s="144" t="inlineStr">
        <is>
          <t>WHITE MAC</t>
        </is>
      </c>
      <c r="H1673" s="144" t="inlineStr">
        <is>
          <t>GATE 15</t>
        </is>
      </c>
      <c r="I1673" s="144" t="inlineStr">
        <is>
          <t>COMMERCIAL</t>
        </is>
      </c>
    </row>
    <row r="1674" ht="18" customHeight="1" s="7">
      <c r="A1674" s="144" t="inlineStr">
        <is>
          <t>GREGORY ROCKWELL</t>
        </is>
      </c>
      <c r="B1674" s="144" t="inlineStr">
        <is>
          <t xml:space="preserve">*050624022 GA </t>
        </is>
      </c>
      <c r="C1674" s="144" t="inlineStr">
        <is>
          <t xml:space="preserve">OXFORD </t>
        </is>
      </c>
      <c r="D1674" s="144" t="inlineStr">
        <is>
          <t>*2290396012</t>
        </is>
      </c>
      <c r="E1674" s="144" t="inlineStr">
        <is>
          <t>DUMP</t>
        </is>
      </c>
      <c r="F1674" s="144" t="inlineStr">
        <is>
          <t>EYM477 GA</t>
        </is>
      </c>
      <c r="G1674" s="144" t="inlineStr">
        <is>
          <t xml:space="preserve">WHITE MAC </t>
        </is>
      </c>
      <c r="H1674" s="144" t="inlineStr">
        <is>
          <t>GATE 15</t>
        </is>
      </c>
      <c r="I1674" s="144" t="inlineStr">
        <is>
          <t>COMMERCIAL</t>
        </is>
      </c>
    </row>
    <row r="1675" ht="18" customHeight="1" s="7">
      <c r="A1675" s="144" t="inlineStr">
        <is>
          <t>BRANDON LEE</t>
        </is>
      </c>
      <c r="B1675" s="144" t="inlineStr">
        <is>
          <t>*011032879</t>
        </is>
      </c>
      <c r="C1675" s="144" t="inlineStr">
        <is>
          <t>ROAD LEGENDS</t>
        </is>
      </c>
      <c r="D1675" s="144" t="inlineStr">
        <is>
          <t>*3184939018</t>
        </is>
      </c>
      <c r="E1675" s="144" t="inlineStr">
        <is>
          <t>BOX</t>
        </is>
      </c>
      <c r="F1675" s="144" t="inlineStr">
        <is>
          <t>P1123730 IL</t>
        </is>
      </c>
      <c r="G1675" s="144" t="inlineStr">
        <is>
          <t>BLUE KW</t>
        </is>
      </c>
      <c r="H1675" s="144" t="n">
        <v>1221</v>
      </c>
      <c r="I1675" s="144" t="inlineStr">
        <is>
          <t>COMMERCIAL</t>
        </is>
      </c>
    </row>
    <row r="1676" ht="18" customHeight="1" s="7">
      <c r="A1676" s="144" t="inlineStr">
        <is>
          <t>GAUNICHAUX CECIL</t>
        </is>
      </c>
      <c r="B1676" s="144" t="inlineStr">
        <is>
          <t>*009735703 LA</t>
        </is>
      </c>
      <c r="C1676" s="144" t="inlineStr">
        <is>
          <t>GORENTY TRANS</t>
        </is>
      </c>
      <c r="D1676" s="144" t="n">
        <v>5048929901</v>
      </c>
      <c r="E1676" s="144" t="inlineStr">
        <is>
          <t>BOX</t>
        </is>
      </c>
      <c r="F1676" s="144" t="inlineStr">
        <is>
          <t>C440EU GA</t>
        </is>
      </c>
      <c r="G1676" s="144" t="inlineStr">
        <is>
          <t>WHITE FREIGHTLINER</t>
        </is>
      </c>
      <c r="H1676" s="144" t="n">
        <v>1221</v>
      </c>
      <c r="I1676" s="144" t="inlineStr">
        <is>
          <t>COMMERCIAL</t>
        </is>
      </c>
    </row>
    <row r="1677" ht="18" customHeight="1" s="7">
      <c r="A1677" s="144" t="inlineStr">
        <is>
          <t>MARCUS DURDEN</t>
        </is>
      </c>
      <c r="B1677" s="144" t="inlineStr">
        <is>
          <t>*051235252 GA</t>
        </is>
      </c>
      <c r="C1677" s="144" t="inlineStr">
        <is>
          <t>CONCRETE ENTERP</t>
        </is>
      </c>
      <c r="D1677" s="144" t="n">
        <v>2298881904</v>
      </c>
      <c r="E1677" s="144" t="inlineStr">
        <is>
          <t>DUMP</t>
        </is>
      </c>
      <c r="F1677" s="144" t="inlineStr">
        <is>
          <t>GGE368 GA</t>
        </is>
      </c>
      <c r="G1677" s="144" t="inlineStr">
        <is>
          <t>WHITE FREIGHTLINER</t>
        </is>
      </c>
      <c r="H1677" s="144" t="inlineStr">
        <is>
          <t>GATE1/5</t>
        </is>
      </c>
      <c r="I1677" s="144" t="inlineStr">
        <is>
          <t>COMMERCIAL</t>
        </is>
      </c>
    </row>
    <row r="1678" ht="18" customHeight="1" s="7">
      <c r="A1678" s="144" t="inlineStr">
        <is>
          <t>ROBERT ROSE JR</t>
        </is>
      </c>
      <c r="B1678" s="144" t="inlineStr">
        <is>
          <t>*051830130 GA</t>
        </is>
      </c>
      <c r="C1678" s="144" t="inlineStr">
        <is>
          <t>R&amp;S TRUCKING</t>
        </is>
      </c>
      <c r="D1678" s="144" t="n">
        <v>2293936091</v>
      </c>
      <c r="E1678" s="144" t="inlineStr">
        <is>
          <t>BOX</t>
        </is>
      </c>
      <c r="F1678" s="144" t="inlineStr">
        <is>
          <t>C415EC GA</t>
        </is>
      </c>
      <c r="G1678" s="144" t="inlineStr">
        <is>
          <t>WHITE FREIGHTLINER</t>
        </is>
      </c>
      <c r="H1678" s="144" t="n">
        <v>1221</v>
      </c>
      <c r="I1678" s="144" t="inlineStr">
        <is>
          <t>COMMERCIAL</t>
        </is>
      </c>
    </row>
    <row r="1679" ht="18" customHeight="1" s="7">
      <c r="A1679" s="144" t="inlineStr">
        <is>
          <t>CHISM DENISHA</t>
        </is>
      </c>
      <c r="B1679" s="144" t="inlineStr">
        <is>
          <t>48721552 TX</t>
        </is>
      </c>
      <c r="C1679" s="144" t="inlineStr">
        <is>
          <t>SCHILLER</t>
        </is>
      </c>
      <c r="D1679" s="144" t="n">
        <v>9107412894</v>
      </c>
      <c r="E1679" s="144" t="inlineStr">
        <is>
          <t>BOX</t>
        </is>
      </c>
      <c r="F1679" s="144" t="inlineStr">
        <is>
          <t>P1090966 IL</t>
        </is>
      </c>
      <c r="G1679" s="144" t="inlineStr">
        <is>
          <t>BLUE KENWORTH</t>
        </is>
      </c>
      <c r="H1679" s="144" t="n">
        <v>1221</v>
      </c>
      <c r="I1679" s="144" t="inlineStr">
        <is>
          <t>COMMERCIAL</t>
        </is>
      </c>
    </row>
    <row r="1680" ht="18" customHeight="1" s="7">
      <c r="A1680" s="144" t="inlineStr">
        <is>
          <t>VEST ASHLEE</t>
        </is>
      </c>
      <c r="B1680" s="144" t="inlineStr">
        <is>
          <t>*054302857 GA</t>
        </is>
      </c>
      <c r="C1680" s="144" t="inlineStr">
        <is>
          <t>OXFORD</t>
        </is>
      </c>
      <c r="D1680" s="144" t="n">
        <v>4789603125</v>
      </c>
      <c r="E1680" s="144" t="inlineStr">
        <is>
          <t>DUMP</t>
        </is>
      </c>
      <c r="F1680" s="144" t="inlineStr">
        <is>
          <t>EYM478 GA</t>
        </is>
      </c>
      <c r="G1680" s="144" t="inlineStr">
        <is>
          <t>WHITE MACK</t>
        </is>
      </c>
      <c r="H1680" s="144" t="inlineStr">
        <is>
          <t>GATE1/5</t>
        </is>
      </c>
      <c r="I1680" s="144" t="inlineStr">
        <is>
          <t>COMMERCIAL</t>
        </is>
      </c>
    </row>
    <row r="1681" ht="18" customHeight="1" s="7">
      <c r="A1681" s="144" t="inlineStr">
        <is>
          <t>ASHLEY SEYMOUR</t>
        </is>
      </c>
      <c r="B1681" s="144" t="inlineStr">
        <is>
          <t>*057941768 GA</t>
        </is>
      </c>
      <c r="C1681" s="144" t="inlineStr">
        <is>
          <t>OXFORD</t>
        </is>
      </c>
      <c r="D1681" s="144" t="n">
        <v>2298881904</v>
      </c>
      <c r="E1681" s="144" t="inlineStr">
        <is>
          <t>DUMP</t>
        </is>
      </c>
      <c r="F1681" s="144" t="inlineStr">
        <is>
          <t>GAF927 GA</t>
        </is>
      </c>
      <c r="G1681" s="144" t="inlineStr">
        <is>
          <t>WHITE MACK</t>
        </is>
      </c>
      <c r="H1681" s="144" t="inlineStr">
        <is>
          <t>GATE 1/5</t>
        </is>
      </c>
      <c r="I1681" s="144" t="inlineStr">
        <is>
          <t>COMMERCIAL</t>
        </is>
      </c>
    </row>
    <row r="1682" ht="18" customHeight="1" s="7">
      <c r="A1682" s="144" t="inlineStr">
        <is>
          <t>LUIS SUAREZ</t>
        </is>
      </c>
      <c r="B1682" s="144" t="inlineStr">
        <is>
          <t>*s238-640-3-000-0</t>
        </is>
      </c>
      <c r="C1682" s="144" t="inlineStr">
        <is>
          <t>HIGHWAY EXPRESS</t>
        </is>
      </c>
      <c r="D1682" s="144" t="n">
        <v>4079733878</v>
      </c>
      <c r="E1682" s="144" t="inlineStr">
        <is>
          <t>VAN</t>
        </is>
      </c>
      <c r="F1682" s="144" t="inlineStr">
        <is>
          <t>RYBA40 FL</t>
        </is>
      </c>
      <c r="G1682" s="144" t="inlineStr">
        <is>
          <t>WHITE DODGE</t>
        </is>
      </c>
      <c r="H1682" s="144" t="n">
        <v>1221</v>
      </c>
      <c r="I1682" s="144" t="inlineStr">
        <is>
          <t>COMMERCIAL</t>
        </is>
      </c>
    </row>
    <row r="1683" ht="18" customHeight="1" s="7">
      <c r="A1683" s="144" t="inlineStr">
        <is>
          <t>EARL SLEDGE</t>
        </is>
      </c>
      <c r="B1683" s="144" t="inlineStr">
        <is>
          <t>*50577703</t>
        </is>
      </c>
      <c r="C1683" s="144" t="inlineStr">
        <is>
          <t>KMS EXPRESS INC</t>
        </is>
      </c>
      <c r="D1683" s="144" t="n">
        <v>6616184386</v>
      </c>
      <c r="E1683" s="144" t="inlineStr">
        <is>
          <t>BOX</t>
        </is>
      </c>
      <c r="F1683" s="144" t="inlineStr">
        <is>
          <t>SPG967891 IL</t>
        </is>
      </c>
      <c r="G1683" s="144" t="inlineStr">
        <is>
          <t>WHITE CASCADIA</t>
        </is>
      </c>
      <c r="H1683" s="144" t="n">
        <v>1221</v>
      </c>
      <c r="I1683" s="144" t="inlineStr">
        <is>
          <t>COMMERCIAL</t>
        </is>
      </c>
    </row>
    <row r="1684" ht="18" customHeight="1" s="7">
      <c r="A1684" s="144" t="inlineStr">
        <is>
          <t>DEVIN COTTON</t>
        </is>
      </c>
      <c r="B1684" s="144" t="inlineStr">
        <is>
          <t>*058113408</t>
        </is>
      </c>
      <c r="C1684" s="144" t="inlineStr">
        <is>
          <t>MCLANE</t>
        </is>
      </c>
      <c r="D1684" s="144" t="n">
        <v>4783059330</v>
      </c>
      <c r="E1684" s="144" t="inlineStr">
        <is>
          <t>BOX</t>
        </is>
      </c>
      <c r="F1684" s="144" t="inlineStr">
        <is>
          <t>P965442 IL</t>
        </is>
      </c>
      <c r="G1684" s="144" t="inlineStr">
        <is>
          <t>WHITE FREIGHTLINER</t>
        </is>
      </c>
      <c r="H1684" s="144" t="n">
        <v>7501</v>
      </c>
      <c r="I1684" s="144" t="inlineStr">
        <is>
          <t>COMMERCIAL</t>
        </is>
      </c>
    </row>
    <row r="1685" ht="18" customHeight="1" s="7">
      <c r="A1685" s="144" t="inlineStr">
        <is>
          <t>EDWARD GRUMMAN</t>
        </is>
      </c>
      <c r="B1685" s="144" t="inlineStr">
        <is>
          <t>RP479193 OH</t>
        </is>
      </c>
      <c r="C1685" s="144" t="inlineStr">
        <is>
          <t>LANDSTAR</t>
        </is>
      </c>
      <c r="D1685" s="144" t="n">
        <v>7405650819</v>
      </c>
      <c r="E1685" s="144" t="inlineStr">
        <is>
          <t>BOX</t>
        </is>
      </c>
      <c r="F1685" s="144" t="inlineStr">
        <is>
          <t>3619505 IN</t>
        </is>
      </c>
      <c r="G1685" s="144" t="inlineStr">
        <is>
          <t>WHITE FREIGHTLINER</t>
        </is>
      </c>
      <c r="H1685" s="144" t="n">
        <v>1221</v>
      </c>
      <c r="I1685" s="144" t="inlineStr">
        <is>
          <t>COMMERCIAL</t>
        </is>
      </c>
    </row>
    <row r="1686" ht="18" customHeight="1" s="7">
      <c r="A1686" s="144" t="inlineStr">
        <is>
          <t>DAVID PLUMB</t>
        </is>
      </c>
      <c r="B1686" s="144" t="inlineStr">
        <is>
          <t>P4511766733205 WI</t>
        </is>
      </c>
      <c r="C1686" s="144" t="inlineStr">
        <is>
          <t>LANDSTAR</t>
        </is>
      </c>
      <c r="D1686" s="144" t="n">
        <v>6082254706</v>
      </c>
      <c r="E1686" s="144" t="inlineStr">
        <is>
          <t>BOX</t>
        </is>
      </c>
      <c r="F1686" s="144" t="inlineStr">
        <is>
          <t>36232Z WI</t>
        </is>
      </c>
      <c r="G1686" s="144" t="inlineStr">
        <is>
          <t>WHITE VOLVO</t>
        </is>
      </c>
      <c r="H1686" s="144" t="n">
        <v>1221</v>
      </c>
      <c r="I1686" s="144" t="inlineStr">
        <is>
          <t>COMMERCIAL</t>
        </is>
      </c>
    </row>
    <row r="1687" ht="18" customHeight="1" s="7">
      <c r="A1687" s="144" t="inlineStr">
        <is>
          <t>GINGER MCNIEL</t>
        </is>
      </c>
      <c r="B1687" s="144" t="inlineStr">
        <is>
          <t>*050986205 GA</t>
        </is>
      </c>
      <c r="C1687" s="144" t="inlineStr">
        <is>
          <t>OXFORD</t>
        </is>
      </c>
      <c r="D1687" s="144" t="n">
        <v>2294073217</v>
      </c>
      <c r="E1687" s="144" t="inlineStr">
        <is>
          <t>DUMP</t>
        </is>
      </c>
      <c r="F1687" s="144" t="inlineStr">
        <is>
          <t>GMG782 GA</t>
        </is>
      </c>
      <c r="G1687" s="144" t="inlineStr">
        <is>
          <t>WHITE MACK</t>
        </is>
      </c>
      <c r="H1687" s="144" t="inlineStr">
        <is>
          <t>BASEWIDE</t>
        </is>
      </c>
      <c r="I1687" s="144" t="inlineStr">
        <is>
          <t>COMMERCIAL</t>
        </is>
      </c>
    </row>
    <row r="1688" ht="18" customHeight="1" s="7">
      <c r="A1688" s="144" t="inlineStr">
        <is>
          <t>DETRIC CLAY</t>
        </is>
      </c>
      <c r="B1688" s="144" t="inlineStr">
        <is>
          <t>*055623528 GA</t>
        </is>
      </c>
      <c r="C1688" s="144" t="inlineStr">
        <is>
          <t>OXFORD</t>
        </is>
      </c>
      <c r="D1688" s="144" t="n">
        <v>2294493301</v>
      </c>
      <c r="E1688" s="144" t="inlineStr">
        <is>
          <t>DUMP</t>
        </is>
      </c>
      <c r="F1688" s="144" t="inlineStr">
        <is>
          <t>GAF929 GA</t>
        </is>
      </c>
      <c r="G1688" s="144" t="inlineStr">
        <is>
          <t>WHITE MACK</t>
        </is>
      </c>
      <c r="H1688" s="144" t="inlineStr">
        <is>
          <t>BASEWIDE</t>
        </is>
      </c>
      <c r="I1688" s="144" t="inlineStr">
        <is>
          <t>COMMERCIAL</t>
        </is>
      </c>
    </row>
    <row r="1689" ht="18" customHeight="1" s="7">
      <c r="A1689" s="144" t="inlineStr">
        <is>
          <t>DANIEL DOCKERY</t>
        </is>
      </c>
      <c r="B1689" s="144" t="inlineStr">
        <is>
          <t>*093442041 TN</t>
        </is>
      </c>
      <c r="C1689" s="144" t="inlineStr">
        <is>
          <t>CITY OF MADISONVILLE</t>
        </is>
      </c>
      <c r="D1689" s="144" t="n">
        <v>4232615197</v>
      </c>
      <c r="E1689" s="144" t="inlineStr">
        <is>
          <t>FLAT</t>
        </is>
      </c>
      <c r="F1689" s="144" t="inlineStr">
        <is>
          <t>0057GH TN</t>
        </is>
      </c>
      <c r="G1689" s="144" t="inlineStr">
        <is>
          <t>GRAY FREIGHT</t>
        </is>
      </c>
      <c r="H1689" s="144" t="inlineStr">
        <is>
          <t>DRMO</t>
        </is>
      </c>
      <c r="I1689" s="144" t="inlineStr">
        <is>
          <t>COMMERCIAL</t>
        </is>
      </c>
    </row>
    <row r="1690" ht="18" customHeight="1" s="7">
      <c r="A1690" s="144" t="inlineStr">
        <is>
          <t>RICHARD JACKSON</t>
        </is>
      </c>
      <c r="B1690" s="144" t="inlineStr">
        <is>
          <t>*054075247 GA</t>
        </is>
      </c>
      <c r="C1690" s="144" t="inlineStr">
        <is>
          <t>HAMMERTIME</t>
        </is>
      </c>
      <c r="D1690" s="144" t="n">
        <v>7704682939</v>
      </c>
      <c r="E1690" s="144" t="inlineStr">
        <is>
          <t>BOX</t>
        </is>
      </c>
      <c r="F1690" s="144" t="inlineStr">
        <is>
          <t>EZN789 GA</t>
        </is>
      </c>
      <c r="G1690" s="144" t="inlineStr">
        <is>
          <t>WHITE FREIGHTLINER</t>
        </is>
      </c>
      <c r="H1690" s="144" t="n">
        <v>1221</v>
      </c>
      <c r="I1690" s="144" t="inlineStr">
        <is>
          <t>COMMERCIAL</t>
        </is>
      </c>
    </row>
    <row r="1691" ht="18" customHeight="1" s="7">
      <c r="A1691" s="144" t="inlineStr">
        <is>
          <t>DAVID BATES</t>
        </is>
      </c>
      <c r="B1691" s="144" t="inlineStr">
        <is>
          <t>*056484644 GA</t>
        </is>
      </c>
      <c r="C1691" s="144" t="inlineStr">
        <is>
          <t>STANLEY STEAMER</t>
        </is>
      </c>
      <c r="D1691" s="144" t="n">
        <v>2296038491</v>
      </c>
      <c r="E1691" s="144" t="inlineStr">
        <is>
          <t>VAN</t>
        </is>
      </c>
      <c r="F1691" s="144" t="inlineStr">
        <is>
          <t>SFE3964 GA</t>
        </is>
      </c>
      <c r="G1691" s="144" t="inlineStr">
        <is>
          <t>YELLOW FORD</t>
        </is>
      </c>
      <c r="H1691" s="144" t="inlineStr">
        <is>
          <t>HOUSING</t>
        </is>
      </c>
      <c r="I1691" s="144" t="inlineStr">
        <is>
          <t>CONTRACTOR</t>
        </is>
      </c>
    </row>
    <row r="1692" ht="18" customHeight="1" s="7">
      <c r="A1692" s="144" t="inlineStr">
        <is>
          <t>DUSTIN WALLS</t>
        </is>
      </c>
      <c r="B1692" s="144" t="inlineStr">
        <is>
          <t>*055325482 GA</t>
        </is>
      </c>
      <c r="C1692" s="144" t="inlineStr">
        <is>
          <t>BOSWELL OIL</t>
        </is>
      </c>
      <c r="D1692" s="144" t="n">
        <v>2298868513</v>
      </c>
      <c r="E1692" s="144" t="inlineStr">
        <is>
          <t>TANK</t>
        </is>
      </c>
      <c r="F1692" s="144" t="inlineStr">
        <is>
          <t>P982CP GA</t>
        </is>
      </c>
      <c r="G1692" s="144" t="inlineStr">
        <is>
          <t>WHITE PETERBILT</t>
        </is>
      </c>
      <c r="H1692" s="144" t="n">
        <v>2200</v>
      </c>
      <c r="I1692" s="144" t="inlineStr">
        <is>
          <t>COMMERCIAL</t>
        </is>
      </c>
    </row>
    <row r="1693" ht="18" customHeight="1" s="7">
      <c r="A1693" s="144" t="inlineStr">
        <is>
          <t>ROBERT LESSIE</t>
        </is>
      </c>
      <c r="B1693" s="144" t="inlineStr">
        <is>
          <t>*056779904 GA</t>
        </is>
      </c>
      <c r="C1693" s="144" t="inlineStr">
        <is>
          <t>TOOLE</t>
        </is>
      </c>
      <c r="D1693" s="144" t="n">
        <v>2293954486</v>
      </c>
      <c r="E1693" s="144" t="inlineStr">
        <is>
          <t>PU</t>
        </is>
      </c>
      <c r="F1693" s="144" t="inlineStr">
        <is>
          <t>XJL487 GA</t>
        </is>
      </c>
      <c r="G1693" s="144" t="inlineStr">
        <is>
          <t>WHITE FORD</t>
        </is>
      </c>
      <c r="H1693" s="144" t="n">
        <v>7530</v>
      </c>
      <c r="I1693" s="144" t="inlineStr">
        <is>
          <t>CONTRACTOR</t>
        </is>
      </c>
    </row>
    <row r="1694" ht="18" customHeight="1" s="7">
      <c r="A1694" s="144" t="inlineStr">
        <is>
          <t>WILLIS MITCHELL</t>
        </is>
      </c>
      <c r="B1694" s="144" t="inlineStr">
        <is>
          <t>*050465325 GA</t>
        </is>
      </c>
      <c r="C1694" s="144" t="inlineStr">
        <is>
          <t>MVW</t>
        </is>
      </c>
      <c r="D1694" s="144" t="n">
        <v>2298812593</v>
      </c>
      <c r="E1694" s="144" t="inlineStr">
        <is>
          <t>PU</t>
        </is>
      </c>
      <c r="F1694" s="144" t="inlineStr">
        <is>
          <t>SJM8852 GA</t>
        </is>
      </c>
      <c r="G1694" s="144" t="inlineStr">
        <is>
          <t>GRAY FORD</t>
        </is>
      </c>
      <c r="H1694" s="144" t="n">
        <v>2215</v>
      </c>
      <c r="I1694" s="144" t="inlineStr">
        <is>
          <t>CONTRACTOR</t>
        </is>
      </c>
    </row>
    <row r="1695" ht="18" customHeight="1" s="7">
      <c r="A1695" s="144" t="inlineStr">
        <is>
          <t>LEE BROWN N</t>
        </is>
      </c>
      <c r="B1695" s="144" t="inlineStr">
        <is>
          <t>*049505533 GA</t>
        </is>
      </c>
      <c r="C1695" s="144" t="inlineStr">
        <is>
          <t>CONCRETE ENTERP</t>
        </is>
      </c>
      <c r="D1695" s="144" t="n">
        <v>2298881904</v>
      </c>
      <c r="E1695" s="144" t="inlineStr">
        <is>
          <t>DUMP</t>
        </is>
      </c>
      <c r="F1695" s="144" t="inlineStr">
        <is>
          <t>GIQ288 GA</t>
        </is>
      </c>
      <c r="G1695" s="144" t="inlineStr">
        <is>
          <t>WHITE FREIGHTLINER</t>
        </is>
      </c>
      <c r="H1695" s="144" t="inlineStr">
        <is>
          <t>K-9</t>
        </is>
      </c>
      <c r="I1695" s="144" t="inlineStr">
        <is>
          <t>COMMERCIAL</t>
        </is>
      </c>
    </row>
    <row r="1696" ht="18" customHeight="1" s="7">
      <c r="A1696" s="144" t="inlineStr">
        <is>
          <t>CHESTER DORSEY</t>
        </is>
      </c>
      <c r="B1696" s="144" t="inlineStr">
        <is>
          <t>D620523682880 FL</t>
        </is>
      </c>
      <c r="C1696" s="144" t="inlineStr">
        <is>
          <t>GOZAL INC</t>
        </is>
      </c>
      <c r="D1696" s="144" t="n">
        <v>9043193045</v>
      </c>
      <c r="E1696" s="144" t="inlineStr">
        <is>
          <t>BOX</t>
        </is>
      </c>
      <c r="F1696" s="144" t="inlineStr">
        <is>
          <t>PXA2318 OH</t>
        </is>
      </c>
      <c r="G1696" s="144" t="inlineStr">
        <is>
          <t>WHITE FREIGHTLINER</t>
        </is>
      </c>
      <c r="H1696" s="144" t="n">
        <v>1340</v>
      </c>
      <c r="I1696" s="144" t="inlineStr">
        <is>
          <t>COMMERCIAL</t>
        </is>
      </c>
    </row>
    <row r="1697" ht="18" customHeight="1" s="7">
      <c r="A1697" s="144" t="inlineStr">
        <is>
          <t>DAVID BUTLER</t>
        </is>
      </c>
      <c r="B1697" s="144" t="inlineStr">
        <is>
          <t>*011764535 GA</t>
        </is>
      </c>
      <c r="C1697" s="144" t="inlineStr">
        <is>
          <t>FEDEX</t>
        </is>
      </c>
      <c r="D1697" s="144" t="n">
        <v>2298865676</v>
      </c>
      <c r="E1697" s="144" t="inlineStr">
        <is>
          <t>BOX</t>
        </is>
      </c>
      <c r="F1697" s="144" t="inlineStr">
        <is>
          <t>3745956 IN</t>
        </is>
      </c>
      <c r="G1697" s="144" t="inlineStr">
        <is>
          <t>WHITE KW</t>
        </is>
      </c>
      <c r="H1697" s="144" t="inlineStr">
        <is>
          <t>BASEWIDE</t>
        </is>
      </c>
      <c r="I1697" s="144" t="inlineStr">
        <is>
          <t>COMMERCIAL</t>
        </is>
      </c>
    </row>
    <row r="1698" ht="18" customHeight="1" s="7">
      <c r="A1698" s="144" t="inlineStr">
        <is>
          <t>MICHAEL SPURLIN</t>
        </is>
      </c>
      <c r="B1698" s="144" t="inlineStr">
        <is>
          <t>*057394329 GA</t>
        </is>
      </c>
      <c r="C1698" s="144" t="inlineStr">
        <is>
          <t>DAVIS AUTO CRUSHING</t>
        </is>
      </c>
      <c r="D1698" s="144" t="n">
        <v>2294458154</v>
      </c>
      <c r="E1698" s="144" t="inlineStr">
        <is>
          <t>FLAT</t>
        </is>
      </c>
      <c r="F1698" s="144" t="inlineStr">
        <is>
          <t>P3163B GA</t>
        </is>
      </c>
      <c r="G1698" s="144" t="inlineStr">
        <is>
          <t>WHITE FREIGHTLINER</t>
        </is>
      </c>
      <c r="H1698" s="144" t="n">
        <v>1221</v>
      </c>
      <c r="I1698" s="144" t="inlineStr">
        <is>
          <t>COMMERCIAL</t>
        </is>
      </c>
    </row>
    <row r="1699" ht="18" customHeight="1" s="7">
      <c r="A1699" s="144" t="inlineStr">
        <is>
          <t>ADEM ONCU</t>
        </is>
      </c>
      <c r="B1699" s="144" t="inlineStr">
        <is>
          <t>T61998474 VA</t>
        </is>
      </c>
      <c r="C1699" s="144" t="inlineStr">
        <is>
          <t>IMPERIAL EXPRESS</t>
        </is>
      </c>
      <c r="D1699" s="144" t="n">
        <v>7579476828</v>
      </c>
      <c r="E1699" s="144" t="inlineStr">
        <is>
          <t>FLAT</t>
        </is>
      </c>
      <c r="F1699" s="144" t="inlineStr">
        <is>
          <t>36565 VA</t>
        </is>
      </c>
      <c r="G1699" s="144" t="inlineStr">
        <is>
          <t>BLUE VOLVO</t>
        </is>
      </c>
      <c r="H1699" s="144" t="n">
        <v>1221</v>
      </c>
      <c r="I1699" s="144" t="inlineStr">
        <is>
          <t>COMMERCIAL</t>
        </is>
      </c>
    </row>
    <row r="1700" ht="18" customHeight="1" s="7">
      <c r="A1700" s="144" t="inlineStr">
        <is>
          <t>HUGO CHINEA</t>
        </is>
      </c>
      <c r="B1700" s="144" t="inlineStr">
        <is>
          <t>C500333640590 FL</t>
        </is>
      </c>
      <c r="C1700" s="144" t="inlineStr">
        <is>
          <t>VERTEX FREIGHT</t>
        </is>
      </c>
      <c r="D1700" s="144" t="n">
        <v>3053935490</v>
      </c>
      <c r="E1700" s="144" t="inlineStr">
        <is>
          <t>BOX</t>
        </is>
      </c>
      <c r="F1700" s="144" t="inlineStr">
        <is>
          <t>3123532 IN</t>
        </is>
      </c>
      <c r="G1700" s="144" t="inlineStr">
        <is>
          <t>WHITE FREIGHTLINER</t>
        </is>
      </c>
      <c r="H1700" s="144" t="n">
        <v>1221</v>
      </c>
      <c r="I1700" s="144" t="inlineStr">
        <is>
          <t>COMMERCIAL</t>
        </is>
      </c>
    </row>
    <row r="1701" ht="18" customHeight="1" s="7">
      <c r="A1701" s="144" t="inlineStr">
        <is>
          <t>MITCHELL PATTON</t>
        </is>
      </c>
      <c r="B1701" s="144" t="inlineStr">
        <is>
          <t>059025809 GA</t>
        </is>
      </c>
      <c r="C1701" s="144" t="inlineStr">
        <is>
          <t>BEVERAGE SOUTH</t>
        </is>
      </c>
      <c r="D1701" s="144" t="n">
        <v>6788491692</v>
      </c>
      <c r="E1701" s="144" t="inlineStr">
        <is>
          <t>VAN</t>
        </is>
      </c>
      <c r="F1701" s="144" t="inlineStr">
        <is>
          <t>CRF2906 GA</t>
        </is>
      </c>
      <c r="G1701" s="144" t="inlineStr">
        <is>
          <t>WHITE NISSAN</t>
        </is>
      </c>
      <c r="H1701" s="144" t="n">
        <v>7501</v>
      </c>
      <c r="I1701" s="144" t="inlineStr">
        <is>
          <t>CONTRACTOR</t>
        </is>
      </c>
    </row>
    <row r="1702" ht="18" customHeight="1" s="7">
      <c r="A1702" s="144" t="inlineStr">
        <is>
          <t>ANDREW COAD</t>
        </is>
      </c>
      <c r="B1702" s="144" t="inlineStr">
        <is>
          <t>K03245419 KA</t>
        </is>
      </c>
      <c r="C1702" s="144" t="inlineStr">
        <is>
          <t>COMPASS MEDICAL</t>
        </is>
      </c>
      <c r="D1702" s="144" t="n">
        <v>7854042595</v>
      </c>
      <c r="E1702" s="144" t="inlineStr">
        <is>
          <t>PU</t>
        </is>
      </c>
      <c r="F1702" s="144" t="inlineStr">
        <is>
          <t>656838 KA</t>
        </is>
      </c>
      <c r="G1702" s="144" t="inlineStr">
        <is>
          <t>WHITE DODGE</t>
        </is>
      </c>
      <c r="H1702" s="144" t="n">
        <v>1362</v>
      </c>
      <c r="I1702" s="144" t="inlineStr">
        <is>
          <t>CONTRACTOR</t>
        </is>
      </c>
    </row>
    <row r="1703" ht="18" customHeight="1" s="7">
      <c r="A1703" s="144" t="inlineStr">
        <is>
          <t>NIKHIL DAVE</t>
        </is>
      </c>
      <c r="B1703" s="144" t="inlineStr">
        <is>
          <t>061517073 GA</t>
        </is>
      </c>
      <c r="C1703" s="144" t="inlineStr">
        <is>
          <t>SAFETY MAX</t>
        </is>
      </c>
      <c r="D1703" s="144" t="n">
        <v>2298780300</v>
      </c>
      <c r="E1703" s="144" t="inlineStr">
        <is>
          <t>VAN</t>
        </is>
      </c>
      <c r="F1703" s="144" t="inlineStr">
        <is>
          <t>RLN7803 GA</t>
        </is>
      </c>
      <c r="G1703" s="144" t="inlineStr">
        <is>
          <t>WHITE FORD</t>
        </is>
      </c>
      <c r="H1703" s="144" t="n">
        <v>5800</v>
      </c>
      <c r="I1703" s="144" t="inlineStr">
        <is>
          <t>CONTRACTOR</t>
        </is>
      </c>
    </row>
    <row r="1704" ht="18" customHeight="1" s="7">
      <c r="A1704" s="144" t="inlineStr">
        <is>
          <t>MOHAMED GARUUN</t>
        </is>
      </c>
      <c r="B1704" s="144" t="inlineStr">
        <is>
          <t>P000027841100 MI</t>
        </is>
      </c>
      <c r="C1704" s="144" t="inlineStr">
        <is>
          <t>TBACARGO</t>
        </is>
      </c>
      <c r="D1704" s="144" t="n">
        <v>6124004410</v>
      </c>
      <c r="E1704" s="144" t="inlineStr">
        <is>
          <t>BOX</t>
        </is>
      </c>
      <c r="F1704" s="144" t="inlineStr">
        <is>
          <t>PZB2438 MI</t>
        </is>
      </c>
      <c r="G1704" s="144" t="inlineStr">
        <is>
          <t>WHITE VOLVO</t>
        </is>
      </c>
      <c r="H1704" s="144" t="n">
        <v>1221</v>
      </c>
      <c r="I1704" s="144" t="inlineStr">
        <is>
          <t>COMMERICAL</t>
        </is>
      </c>
    </row>
    <row r="1705" ht="18" customHeight="1" s="7">
      <c r="A1705" s="144" t="inlineStr">
        <is>
          <t>PERVIS PHILLIPS</t>
        </is>
      </c>
      <c r="B1705" s="144" t="inlineStr">
        <is>
          <t>P4126766122604</t>
        </is>
      </c>
      <c r="C1705" s="144" t="inlineStr">
        <is>
          <t>DMN TRANSPORT</t>
        </is>
      </c>
      <c r="D1705" s="144" t="n">
        <v>6082888974</v>
      </c>
      <c r="E1705" s="144" t="inlineStr">
        <is>
          <t>BOX</t>
        </is>
      </c>
      <c r="F1705" s="144" t="inlineStr">
        <is>
          <t>P1292199 IL</t>
        </is>
      </c>
      <c r="G1705" s="144" t="inlineStr">
        <is>
          <t>WHITE FRIEGHTLINER</t>
        </is>
      </c>
      <c r="H1705" s="144" t="n">
        <v>1221</v>
      </c>
      <c r="I1705" s="144" t="inlineStr">
        <is>
          <t>COMMERICAL</t>
        </is>
      </c>
    </row>
    <row r="1706" ht="18" customHeight="1" s="7">
      <c r="A1706" s="144" t="inlineStr">
        <is>
          <t>ILLIA PRYMAK</t>
        </is>
      </c>
      <c r="B1706" s="144" t="inlineStr">
        <is>
          <t>Y9377756 CA</t>
        </is>
      </c>
      <c r="C1706" s="144" t="inlineStr">
        <is>
          <t>CARGO BOSS</t>
        </is>
      </c>
      <c r="D1706" s="144" t="n">
        <v>2132180625</v>
      </c>
      <c r="E1706" s="144" t="inlineStr">
        <is>
          <t>FLAT</t>
        </is>
      </c>
      <c r="F1706" s="144" t="inlineStr">
        <is>
          <t>909191 IL</t>
        </is>
      </c>
      <c r="G1706" s="144" t="inlineStr">
        <is>
          <t>WHITE PETERBILT</t>
        </is>
      </c>
      <c r="H1706" s="144" t="n">
        <v>1221</v>
      </c>
      <c r="I1706" s="144" t="inlineStr">
        <is>
          <t>COMMERCIAL</t>
        </is>
      </c>
    </row>
    <row r="1707" ht="18" customHeight="1" s="7">
      <c r="A1707" s="144" t="inlineStr">
        <is>
          <t>EVGENII KOLOSOVICH</t>
        </is>
      </c>
      <c r="B1707" s="144" t="inlineStr">
        <is>
          <t>Y9932276 CA</t>
        </is>
      </c>
      <c r="C1707" s="144" t="inlineStr">
        <is>
          <t>CARGO BOSS</t>
        </is>
      </c>
      <c r="D1707" s="144" t="n">
        <v>3106287826</v>
      </c>
      <c r="E1707" s="144" t="inlineStr">
        <is>
          <t>FLAT</t>
        </is>
      </c>
      <c r="F1707" s="144" t="inlineStr">
        <is>
          <t>P1274399 IL</t>
        </is>
      </c>
      <c r="G1707" s="144" t="inlineStr">
        <is>
          <t>GRAY FREIGHT</t>
        </is>
      </c>
      <c r="H1707" s="144" t="n">
        <v>1221</v>
      </c>
      <c r="I1707" s="144" t="inlineStr">
        <is>
          <t>COMMERCIAL</t>
        </is>
      </c>
    </row>
    <row r="1708" ht="18" customHeight="1" s="7">
      <c r="A1708" s="144" t="inlineStr">
        <is>
          <t>SOW ALHAJI</t>
        </is>
      </c>
      <c r="B1708" s="144" t="inlineStr">
        <is>
          <t>*061865932 GA</t>
        </is>
      </c>
      <c r="C1708" s="144" t="inlineStr">
        <is>
          <t>JANNEBAH K</t>
        </is>
      </c>
      <c r="D1708" s="144" t="n">
        <v>4704734229</v>
      </c>
      <c r="E1708" s="144" t="inlineStr">
        <is>
          <t>BOX</t>
        </is>
      </c>
      <c r="F1708" s="144" t="inlineStr">
        <is>
          <t>C990EG GA</t>
        </is>
      </c>
      <c r="G1708" s="144" t="inlineStr">
        <is>
          <t>GREEN FREIGHTLINER</t>
        </is>
      </c>
      <c r="H1708" s="144" t="n">
        <v>1221</v>
      </c>
      <c r="I1708" s="144" t="inlineStr">
        <is>
          <t>COMMERCIAL</t>
        </is>
      </c>
    </row>
    <row r="1709" ht="18" customHeight="1" s="7">
      <c r="A1709" s="144" t="inlineStr">
        <is>
          <t>ANTONIO PEREZ-LOPEZ</t>
        </is>
      </c>
      <c r="B1709" s="144" t="inlineStr">
        <is>
          <t>953110654 CO</t>
        </is>
      </c>
      <c r="C1709" s="144" t="inlineStr">
        <is>
          <t>BEEMAC TRUCKING</t>
        </is>
      </c>
      <c r="D1709" s="144" t="n">
        <v>9514236846</v>
      </c>
      <c r="E1709" s="144" t="inlineStr">
        <is>
          <t>BOX</t>
        </is>
      </c>
      <c r="F1709" s="144" t="inlineStr">
        <is>
          <t>PXA2275 OH</t>
        </is>
      </c>
      <c r="G1709" s="144" t="inlineStr">
        <is>
          <t>WHITE INTERNATIONAL</t>
        </is>
      </c>
      <c r="H1709" s="144" t="n">
        <v>1221</v>
      </c>
      <c r="I1709" s="144" t="inlineStr">
        <is>
          <t>COMMERCIAL</t>
        </is>
      </c>
    </row>
    <row r="1710" ht="18" customHeight="1" s="7">
      <c r="A1710" s="144" t="inlineStr">
        <is>
          <t>SHANE WESTPHAL</t>
        </is>
      </c>
      <c r="B1710" s="144" t="inlineStr">
        <is>
          <t>M61011273655 IL</t>
        </is>
      </c>
      <c r="C1710" s="144" t="inlineStr">
        <is>
          <t xml:space="preserve">RAYNOR </t>
        </is>
      </c>
      <c r="D1710" s="144" t="n">
        <v>8159900132</v>
      </c>
      <c r="E1710" s="144" t="inlineStr">
        <is>
          <t>BOX</t>
        </is>
      </c>
      <c r="F1710" s="144" t="inlineStr">
        <is>
          <t>P1021273 IL</t>
        </is>
      </c>
      <c r="G1710" s="144" t="inlineStr">
        <is>
          <t>BLUE FREIGHTLINER</t>
        </is>
      </c>
      <c r="H1710" s="144" t="n">
        <v>5651</v>
      </c>
      <c r="I1710" s="144" t="inlineStr">
        <is>
          <t>COMMERCIAL</t>
        </is>
      </c>
    </row>
    <row r="1711" ht="18" customHeight="1" s="7">
      <c r="A1711" s="144" t="inlineStr">
        <is>
          <t>AHMED OBDULLAHI</t>
        </is>
      </c>
      <c r="B1711" s="144" t="inlineStr">
        <is>
          <t>M433142921810 MN</t>
        </is>
      </c>
      <c r="C1711" s="144" t="inlineStr">
        <is>
          <t>NATION FREIGHT</t>
        </is>
      </c>
      <c r="D1711" s="144" t="n">
        <v>6129008630</v>
      </c>
      <c r="E1711" s="144" t="inlineStr">
        <is>
          <t>BOX</t>
        </is>
      </c>
      <c r="F1711" s="144" t="inlineStr">
        <is>
          <t>3360069 IN</t>
        </is>
      </c>
      <c r="G1711" s="144" t="inlineStr">
        <is>
          <t>WHITE VOLVO</t>
        </is>
      </c>
      <c r="H1711" s="144" t="n">
        <v>1221</v>
      </c>
      <c r="I1711" s="144" t="inlineStr">
        <is>
          <t>COMMERCIAL</t>
        </is>
      </c>
    </row>
    <row r="1712" ht="18" customHeight="1" s="7">
      <c r="A1712" s="144" t="inlineStr">
        <is>
          <t>JOHNNY BONNER</t>
        </is>
      </c>
      <c r="B1712" s="144" t="inlineStr">
        <is>
          <t>6036732 AL</t>
        </is>
      </c>
      <c r="C1712" s="144" t="inlineStr">
        <is>
          <t>PERRYMAN LCC</t>
        </is>
      </c>
      <c r="D1712" s="144" t="n">
        <v>2054419975</v>
      </c>
      <c r="E1712" s="144" t="inlineStr">
        <is>
          <t>FLAT</t>
        </is>
      </c>
      <c r="F1712" s="144" t="inlineStr">
        <is>
          <t>1172382 AL</t>
        </is>
      </c>
      <c r="G1712" s="144" t="inlineStr">
        <is>
          <t>WHITE FREIGHTLINER</t>
        </is>
      </c>
      <c r="H1712" s="144" t="n">
        <v>1221</v>
      </c>
      <c r="I1712" s="144" t="inlineStr">
        <is>
          <t>COMMERICAL</t>
        </is>
      </c>
    </row>
    <row r="1713" ht="18" customHeight="1" s="7">
      <c r="A1713" s="144" t="inlineStr">
        <is>
          <t>DEZMONIQUE GODETTE</t>
        </is>
      </c>
      <c r="B1713" s="144" t="n">
        <v>39607637</v>
      </c>
      <c r="C1713" s="144" t="inlineStr">
        <is>
          <t>D.GODETTE TRUCKING</t>
        </is>
      </c>
      <c r="D1713" s="144" t="n">
        <v>2527738920</v>
      </c>
      <c r="E1713" s="144" t="inlineStr">
        <is>
          <t>FLAT</t>
        </is>
      </c>
      <c r="F1713" s="144" t="inlineStr">
        <is>
          <t>VW3696 NC</t>
        </is>
      </c>
      <c r="G1713" s="144" t="inlineStr">
        <is>
          <t>ORANGE FREIGHTLINER</t>
        </is>
      </c>
      <c r="H1713" s="144" t="n">
        <v>1221</v>
      </c>
      <c r="I1713" s="144" t="inlineStr">
        <is>
          <t>COMMERICAL</t>
        </is>
      </c>
    </row>
    <row r="1714" ht="18" customHeight="1" s="7">
      <c r="A1714" s="144" t="inlineStr">
        <is>
          <t>EDWIN ZAPATA</t>
        </is>
      </c>
      <c r="B1714" s="144" t="inlineStr">
        <is>
          <t>Z223469852000 FL</t>
        </is>
      </c>
      <c r="C1714" s="144" t="inlineStr">
        <is>
          <t>AIP TRUCK</t>
        </is>
      </c>
      <c r="D1714" s="144" t="n">
        <v>7864830569</v>
      </c>
      <c r="E1714" s="144" t="inlineStr">
        <is>
          <t>FLAT</t>
        </is>
      </c>
      <c r="F1714" s="144" t="inlineStr">
        <is>
          <t>XC467B FL</t>
        </is>
      </c>
      <c r="G1714" s="144" t="inlineStr">
        <is>
          <t>WHITE FREIGHTLINER</t>
        </is>
      </c>
      <c r="H1714" s="144" t="n">
        <v>1221</v>
      </c>
      <c r="I1714" s="144" t="inlineStr">
        <is>
          <t>COMMERICAL</t>
        </is>
      </c>
    </row>
    <row r="1715" ht="18" customHeight="1" s="7">
      <c r="A1715" s="144" t="inlineStr">
        <is>
          <t>ELIEZER SERRANO</t>
        </is>
      </c>
      <c r="B1715" s="144" t="inlineStr">
        <is>
          <t>S656200804500</t>
        </is>
      </c>
      <c r="C1715" s="144" t="inlineStr">
        <is>
          <t>LANDSTAR</t>
        </is>
      </c>
      <c r="D1715" s="144" t="n">
        <v>7862164246</v>
      </c>
      <c r="E1715" s="144" t="inlineStr">
        <is>
          <t>FLAT</t>
        </is>
      </c>
      <c r="F1715" s="144" t="inlineStr">
        <is>
          <t>3210762 IN</t>
        </is>
      </c>
      <c r="G1715" s="144" t="inlineStr">
        <is>
          <t>WHITE INTERNATIONAL</t>
        </is>
      </c>
      <c r="H1715" s="144" t="n">
        <v>1221</v>
      </c>
      <c r="I1715" s="144" t="inlineStr">
        <is>
          <t>COMMERICAL</t>
        </is>
      </c>
    </row>
    <row r="1716" ht="18" customHeight="1" s="7">
      <c r="A1716" s="144" t="inlineStr">
        <is>
          <t>LARRY SINYARD</t>
        </is>
      </c>
      <c r="B1716" s="144" t="inlineStr">
        <is>
          <t>055652669 GA</t>
        </is>
      </c>
      <c r="C1716" s="144" t="inlineStr">
        <is>
          <t>EQUIPMENT SHARE</t>
        </is>
      </c>
      <c r="D1716" s="144" t="n">
        <v>4785384247</v>
      </c>
      <c r="E1716" s="144" t="inlineStr">
        <is>
          <t>FLAT</t>
        </is>
      </c>
      <c r="F1716" s="144" t="inlineStr">
        <is>
          <t>3699455 IN</t>
        </is>
      </c>
      <c r="G1716" s="144" t="inlineStr">
        <is>
          <t>ORANGE FREIGHTLINER</t>
        </is>
      </c>
      <c r="H1716" s="144" t="n">
        <v>2215</v>
      </c>
      <c r="I1716" s="144" t="inlineStr">
        <is>
          <t>COMMERICAL</t>
        </is>
      </c>
    </row>
    <row r="1717" ht="18" customHeight="1" s="7">
      <c r="A1717" s="144" t="inlineStr">
        <is>
          <t>MARK WARNER</t>
        </is>
      </c>
      <c r="B1717" s="144" t="inlineStr">
        <is>
          <t>32157829 PA</t>
        </is>
      </c>
      <c r="C1717" s="144" t="inlineStr">
        <is>
          <t>JMA RESOUCES</t>
        </is>
      </c>
      <c r="D1717" s="144" t="n">
        <v>5857293026</v>
      </c>
      <c r="E1717" s="144" t="inlineStr">
        <is>
          <t>VAN</t>
        </is>
      </c>
      <c r="F1717" s="144" t="inlineStr">
        <is>
          <t>DAF3106 GA</t>
        </is>
      </c>
      <c r="G1717" s="144" t="inlineStr">
        <is>
          <t>RED CRYSTER</t>
        </is>
      </c>
      <c r="H1717" s="144" t="n">
        <v>3700</v>
      </c>
      <c r="I1717" s="144" t="inlineStr">
        <is>
          <t>CONTRACTOR</t>
        </is>
      </c>
    </row>
    <row r="1718" ht="18" customHeight="1" s="7">
      <c r="A1718" s="144" t="inlineStr">
        <is>
          <t>JASMINE HOLLWAY</t>
        </is>
      </c>
      <c r="B1718" s="144" t="inlineStr">
        <is>
          <t>071256783 GA</t>
        </is>
      </c>
      <c r="C1718" s="144" t="inlineStr">
        <is>
          <t>SPARTANNASH</t>
        </is>
      </c>
      <c r="D1718" s="144" t="n">
        <v>7065879927</v>
      </c>
      <c r="E1718" s="144" t="inlineStr">
        <is>
          <t>BOX</t>
        </is>
      </c>
      <c r="F1718" s="144" t="inlineStr">
        <is>
          <t>420446 NE</t>
        </is>
      </c>
      <c r="G1718" s="144" t="inlineStr">
        <is>
          <t>WHITE INTERNATIONAL</t>
        </is>
      </c>
      <c r="H1718" s="144" t="n">
        <v>7501</v>
      </c>
      <c r="I1718" s="144" t="inlineStr">
        <is>
          <t>COMMERICAL</t>
        </is>
      </c>
    </row>
    <row r="1719" ht="18" customHeight="1" s="7">
      <c r="A1719" s="144" t="inlineStr">
        <is>
          <t>ALEX SHAROV</t>
        </is>
      </c>
      <c r="B1719" s="144" t="inlineStr">
        <is>
          <t>057035044 GA</t>
        </is>
      </c>
      <c r="C1719" s="144" t="inlineStr">
        <is>
          <t>ASH TRANSPORT</t>
        </is>
      </c>
      <c r="D1719" s="144" t="n">
        <v>9194643172</v>
      </c>
      <c r="E1719" s="144" t="inlineStr">
        <is>
          <t>BOX</t>
        </is>
      </c>
      <c r="F1719" s="144" t="inlineStr">
        <is>
          <t>C5187HY TN</t>
        </is>
      </c>
      <c r="G1719" s="144" t="inlineStr">
        <is>
          <t>WHITE KENWORTH</t>
        </is>
      </c>
      <c r="H1719" s="144" t="n">
        <v>1221</v>
      </c>
      <c r="I1719" s="144" t="inlineStr">
        <is>
          <t>COMMERICAL</t>
        </is>
      </c>
    </row>
    <row r="1720" ht="18" customHeight="1" s="7">
      <c r="A1720" s="144" t="inlineStr">
        <is>
          <t>RONNIE LANE</t>
        </is>
      </c>
      <c r="B1720" s="144" t="inlineStr">
        <is>
          <t>051615839 GA</t>
        </is>
      </c>
      <c r="C1720" s="144" t="inlineStr">
        <is>
          <t>CINTAS</t>
        </is>
      </c>
      <c r="D1720" s="144" t="n">
        <v>2293492296</v>
      </c>
      <c r="E1720" s="144" t="inlineStr">
        <is>
          <t>BOX</t>
        </is>
      </c>
      <c r="F1720" s="144" t="inlineStr">
        <is>
          <t>YBA269 GA</t>
        </is>
      </c>
      <c r="G1720" s="144" t="inlineStr">
        <is>
          <t>WHITE FORD</t>
        </is>
      </c>
      <c r="H1720" s="144" t="inlineStr">
        <is>
          <t>HOUSING</t>
        </is>
      </c>
      <c r="I1720" s="144" t="inlineStr">
        <is>
          <t>CONTRACTOR</t>
        </is>
      </c>
    </row>
    <row r="1721" ht="18" customHeight="1" s="7">
      <c r="A1721" s="144" t="inlineStr">
        <is>
          <t>RANDY DENKER</t>
        </is>
      </c>
      <c r="B1721" s="144" t="inlineStr">
        <is>
          <t>000031483817 NC</t>
        </is>
      </c>
      <c r="C1721" s="144" t="inlineStr">
        <is>
          <t>DENKER</t>
        </is>
      </c>
      <c r="D1721" s="144" t="n">
        <v>8282480449</v>
      </c>
      <c r="E1721" s="144" t="inlineStr">
        <is>
          <t>FLAT</t>
        </is>
      </c>
      <c r="F1721" s="144" t="inlineStr">
        <is>
          <t>VW1265 NC</t>
        </is>
      </c>
      <c r="G1721" s="144" t="inlineStr">
        <is>
          <t>ORANGE KENWORTH</t>
        </is>
      </c>
      <c r="H1721" s="144" t="n">
        <v>1221</v>
      </c>
      <c r="I1721" s="144" t="inlineStr">
        <is>
          <t>COMMERICAL</t>
        </is>
      </c>
    </row>
    <row r="1722" ht="18" customHeight="1" s="7">
      <c r="A1722" s="144" t="inlineStr">
        <is>
          <t>KOBE SMART</t>
        </is>
      </c>
      <c r="B1722" s="144" t="n">
        <v>60806470</v>
      </c>
      <c r="C1722" s="144" t="inlineStr">
        <is>
          <t>KLB SOUTH</t>
        </is>
      </c>
      <c r="D1722" s="144" t="n">
        <v>2292059547</v>
      </c>
      <c r="E1722" s="144" t="inlineStr">
        <is>
          <t>BOX</t>
        </is>
      </c>
      <c r="F1722" s="144" t="inlineStr">
        <is>
          <t>R717122TX</t>
        </is>
      </c>
      <c r="G1722" s="144" t="inlineStr">
        <is>
          <t>WHITE FREIGHTLINER</t>
        </is>
      </c>
      <c r="H1722" s="144" t="n">
        <v>7501</v>
      </c>
      <c r="I1722" s="144" t="inlineStr">
        <is>
          <t>COMMERICAL</t>
        </is>
      </c>
    </row>
    <row r="1723" ht="18" customHeight="1" s="7">
      <c r="A1723" s="144" t="inlineStr">
        <is>
          <t>ANDREW SCHAD</t>
        </is>
      </c>
      <c r="B1723" s="144" t="inlineStr">
        <is>
          <t>083230291 TN</t>
        </is>
      </c>
      <c r="C1723" s="144" t="inlineStr">
        <is>
          <t>KARDEX</t>
        </is>
      </c>
      <c r="D1723" s="144" t="n">
        <v>8653569686</v>
      </c>
      <c r="E1723" s="144" t="inlineStr">
        <is>
          <t>PU</t>
        </is>
      </c>
      <c r="F1723" s="144" t="inlineStr">
        <is>
          <t>40295 TN</t>
        </is>
      </c>
      <c r="G1723" s="144" t="inlineStr">
        <is>
          <t>WHITE FORD150</t>
        </is>
      </c>
      <c r="H1723" s="144" t="n">
        <v>2200</v>
      </c>
      <c r="I1723" s="144" t="inlineStr">
        <is>
          <t>CONTRACTOR</t>
        </is>
      </c>
    </row>
    <row r="1724" ht="18" customHeight="1" s="7">
      <c r="A1724" s="144" t="inlineStr">
        <is>
          <t>FUREOUSE CALDWELL</t>
        </is>
      </c>
      <c r="B1724" s="144" t="inlineStr">
        <is>
          <t>057539401 GA</t>
        </is>
      </c>
      <c r="C1724" s="144" t="inlineStr">
        <is>
          <t>KARDEX</t>
        </is>
      </c>
      <c r="D1724" s="144" t="n">
        <v>4042913743</v>
      </c>
      <c r="E1724" s="144" t="inlineStr">
        <is>
          <t>PU</t>
        </is>
      </c>
      <c r="F1724" s="144" t="inlineStr">
        <is>
          <t>TCJ1936 GA</t>
        </is>
      </c>
      <c r="G1724" s="144" t="inlineStr">
        <is>
          <t>WHITE FORD</t>
        </is>
      </c>
      <c r="H1724" s="144" t="n">
        <v>2200</v>
      </c>
      <c r="I1724" s="144" t="inlineStr">
        <is>
          <t>CONTRACTOR</t>
        </is>
      </c>
    </row>
    <row r="1725" ht="18" customHeight="1" s="7">
      <c r="A1725" s="144" t="inlineStr">
        <is>
          <t>WILLIE OWENS</t>
        </is>
      </c>
      <c r="B1725" s="144" t="inlineStr">
        <is>
          <t>053897684 GA</t>
        </is>
      </c>
      <c r="C1725" s="144" t="inlineStr">
        <is>
          <t>BLAIR VEAZEY</t>
        </is>
      </c>
      <c r="D1725" s="144" t="n">
        <v>2297899074</v>
      </c>
      <c r="E1725" s="144" t="inlineStr">
        <is>
          <t>BOX</t>
        </is>
      </c>
      <c r="F1725" s="144" t="inlineStr">
        <is>
          <t>C042EW GA</t>
        </is>
      </c>
      <c r="G1725" s="144" t="inlineStr">
        <is>
          <t>BLUE KENWORTH</t>
        </is>
      </c>
      <c r="H1725" s="144" t="n">
        <v>1221</v>
      </c>
      <c r="I1725" s="144" t="inlineStr">
        <is>
          <t>COMMERICAL</t>
        </is>
      </c>
    </row>
    <row r="1726" ht="18" customHeight="1" s="7">
      <c r="A1726" s="144" t="inlineStr">
        <is>
          <t>WILLIE CURRY III</t>
        </is>
      </c>
      <c r="B1726" s="144" t="inlineStr">
        <is>
          <t>*000010046385 NC</t>
        </is>
      </c>
      <c r="C1726" s="144" t="inlineStr">
        <is>
          <t>DIESEL CURRY</t>
        </is>
      </c>
      <c r="D1726" s="144" t="n">
        <v>4704646527</v>
      </c>
      <c r="E1726" s="144" t="inlineStr">
        <is>
          <t>FLAT</t>
        </is>
      </c>
      <c r="F1726" s="144" t="inlineStr">
        <is>
          <t>TD7185 NC</t>
        </is>
      </c>
      <c r="G1726" s="144" t="inlineStr">
        <is>
          <t>RED VOLVO</t>
        </is>
      </c>
      <c r="H1726" s="144" t="n">
        <v>1221</v>
      </c>
      <c r="I1726" s="144" t="inlineStr">
        <is>
          <t>COMMERCIAL</t>
        </is>
      </c>
    </row>
    <row r="1727" ht="18" customHeight="1" s="7">
      <c r="A1727" s="144" t="inlineStr">
        <is>
          <t>BOGDAN ZAYTSEV</t>
        </is>
      </c>
      <c r="B1727" s="144" t="inlineStr">
        <is>
          <t>*051836972 GA</t>
        </is>
      </c>
      <c r="C1727" s="144" t="inlineStr">
        <is>
          <t>I MOVE FREIGHT</t>
        </is>
      </c>
      <c r="D1727" s="144" t="n">
        <v>6786283888</v>
      </c>
      <c r="E1727" s="144" t="inlineStr">
        <is>
          <t>FLAT</t>
        </is>
      </c>
      <c r="F1727" s="144" t="inlineStr">
        <is>
          <t>P1160676 IL</t>
        </is>
      </c>
      <c r="G1727" s="144" t="inlineStr">
        <is>
          <t>GREEN FREIGHTLINER</t>
        </is>
      </c>
      <c r="H1727" s="144" t="n">
        <v>1221</v>
      </c>
      <c r="I1727" s="144" t="inlineStr">
        <is>
          <t>COMMERCIAL</t>
        </is>
      </c>
    </row>
    <row r="1728" ht="18" customHeight="1" s="7">
      <c r="A1728" s="144" t="inlineStr">
        <is>
          <t>MCALPINE BRANDON</t>
        </is>
      </c>
      <c r="B1728" s="144" t="inlineStr">
        <is>
          <t>M02780327 KY</t>
        </is>
      </c>
      <c r="C1728" s="144" t="inlineStr">
        <is>
          <t>MN89 INC</t>
        </is>
      </c>
      <c r="D1728" s="144" t="n">
        <v>5024036038</v>
      </c>
      <c r="E1728" s="144" t="inlineStr">
        <is>
          <t>BOX</t>
        </is>
      </c>
      <c r="F1728" s="144" t="inlineStr">
        <is>
          <t>3371092 IN</t>
        </is>
      </c>
      <c r="G1728" s="144" t="inlineStr">
        <is>
          <t>RED KENWORTH</t>
        </is>
      </c>
      <c r="H1728" s="144" t="n">
        <v>1221</v>
      </c>
      <c r="I1728" s="144" t="inlineStr">
        <is>
          <t>COMMERCIAL</t>
        </is>
      </c>
    </row>
    <row r="1729" ht="18" customHeight="1" s="7">
      <c r="A1729" s="144" t="inlineStr">
        <is>
          <t>TEKLEHAIMANOT BASILOS</t>
        </is>
      </c>
      <c r="B1729" s="144" t="inlineStr">
        <is>
          <t>28870841 TX</t>
        </is>
      </c>
      <c r="C1729" s="144" t="inlineStr">
        <is>
          <t>ZEL TRANS</t>
        </is>
      </c>
      <c r="D1729" s="144" t="n">
        <v>9728914258</v>
      </c>
      <c r="E1729" s="144" t="inlineStr">
        <is>
          <t>BOX</t>
        </is>
      </c>
      <c r="F1729" s="144" t="inlineStr">
        <is>
          <t>R454115 TX</t>
        </is>
      </c>
      <c r="G1729" s="144" t="inlineStr">
        <is>
          <t>WHITE FREIGHTLINER</t>
        </is>
      </c>
      <c r="H1729" s="144" t="n">
        <v>1221</v>
      </c>
      <c r="I1729" s="144" t="inlineStr">
        <is>
          <t>COMMERCIAL</t>
        </is>
      </c>
    </row>
    <row r="1730" ht="18" customHeight="1" s="7">
      <c r="A1730" s="144" t="inlineStr">
        <is>
          <t>FERNANDEZ WILLIE</t>
        </is>
      </c>
      <c r="B1730" s="144" t="inlineStr">
        <is>
          <t>F2405245760000 FL</t>
        </is>
      </c>
      <c r="C1730" s="144" t="inlineStr">
        <is>
          <t>EL CABO</t>
        </is>
      </c>
      <c r="D1730" s="144" t="n">
        <v>7879430933</v>
      </c>
      <c r="E1730" s="144" t="inlineStr">
        <is>
          <t>FLAT</t>
        </is>
      </c>
      <c r="F1730" s="144" t="inlineStr">
        <is>
          <t>XE515W FL</t>
        </is>
      </c>
      <c r="G1730" s="144" t="inlineStr">
        <is>
          <t>WHITE INTER</t>
        </is>
      </c>
      <c r="H1730" s="144" t="n">
        <v>1221</v>
      </c>
      <c r="I1730" s="144" t="inlineStr">
        <is>
          <t>COMMERCIAL</t>
        </is>
      </c>
    </row>
    <row r="1731" ht="18" customHeight="1" s="7">
      <c r="A1731" s="144" t="inlineStr">
        <is>
          <t>ANDREI ZAVODOVSKI</t>
        </is>
      </c>
      <c r="B1731" s="144" t="inlineStr">
        <is>
          <t>Z131000932620</t>
        </is>
      </c>
      <c r="C1731" s="144" t="inlineStr">
        <is>
          <t xml:space="preserve">EXPO </t>
        </is>
      </c>
      <c r="D1731" s="144" t="n">
        <v>9172543310</v>
      </c>
      <c r="E1731" s="144" t="inlineStr">
        <is>
          <t>FLAT</t>
        </is>
      </c>
      <c r="F1731" s="144" t="inlineStr">
        <is>
          <t>YP80401 CA</t>
        </is>
      </c>
      <c r="G1731" s="144" t="inlineStr">
        <is>
          <t>BLUE FREIGHTLINER</t>
        </is>
      </c>
      <c r="H1731" s="144" t="n">
        <v>1221</v>
      </c>
      <c r="I1731" s="144" t="inlineStr">
        <is>
          <t>COMMERICAL</t>
        </is>
      </c>
    </row>
    <row r="1732" ht="18" customHeight="1" s="7">
      <c r="A1732" s="144" t="inlineStr">
        <is>
          <t>LEWIS JAMES JR</t>
        </is>
      </c>
      <c r="B1732" s="144" t="inlineStr">
        <is>
          <t>*000020585051 NC</t>
        </is>
      </c>
      <c r="C1732" s="144" t="inlineStr">
        <is>
          <t>JB EXPRESS</t>
        </is>
      </c>
      <c r="D1732" s="144" t="n">
        <v>9198894249</v>
      </c>
      <c r="E1732" s="144" t="inlineStr">
        <is>
          <t>FLAT</t>
        </is>
      </c>
      <c r="F1732" s="144" t="inlineStr">
        <is>
          <t>VT6358 NC</t>
        </is>
      </c>
      <c r="G1732" s="144" t="inlineStr">
        <is>
          <t>RED KENWORTH</t>
        </is>
      </c>
      <c r="H1732" s="144" t="n">
        <v>1221</v>
      </c>
      <c r="I1732" s="144" t="inlineStr">
        <is>
          <t>COMMERCIAL</t>
        </is>
      </c>
    </row>
    <row r="1733" ht="18" customHeight="1" s="7">
      <c r="A1733" s="144" t="inlineStr">
        <is>
          <t>ZACHARY MORRIS</t>
        </is>
      </c>
      <c r="B1733" s="144" t="inlineStr">
        <is>
          <t>*071889644 GA</t>
        </is>
      </c>
      <c r="C1733" s="144" t="inlineStr">
        <is>
          <t>SA</t>
        </is>
      </c>
      <c r="D1733" s="144" t="n">
        <v>3148074233</v>
      </c>
      <c r="E1733" s="144" t="inlineStr">
        <is>
          <t>DUMP</t>
        </is>
      </c>
      <c r="F1733" s="144" t="inlineStr">
        <is>
          <t>S4701HY TN</t>
        </is>
      </c>
      <c r="G1733" s="144" t="inlineStr">
        <is>
          <t>WHITE KENWORTH</t>
        </is>
      </c>
      <c r="H1733" s="144" t="n">
        <v>2215</v>
      </c>
      <c r="I1733" s="144" t="inlineStr">
        <is>
          <t>COMMERCIAL</t>
        </is>
      </c>
    </row>
    <row r="1734" ht="18" customHeight="1" s="7">
      <c r="A1734" s="144" t="inlineStr">
        <is>
          <t>TERRY JOLLY JR</t>
        </is>
      </c>
      <c r="B1734" s="144" t="inlineStr">
        <is>
          <t>*055531636 GA</t>
        </is>
      </c>
      <c r="C1734" s="144" t="inlineStr">
        <is>
          <t>HIGHWAY ENTERPRISE</t>
        </is>
      </c>
      <c r="D1734" s="144" t="n">
        <v>9127107066</v>
      </c>
      <c r="E1734" s="144" t="inlineStr">
        <is>
          <t>VAN</t>
        </is>
      </c>
      <c r="F1734" s="144" t="inlineStr">
        <is>
          <t>DBX7974 GA</t>
        </is>
      </c>
      <c r="G1734" s="144" t="inlineStr">
        <is>
          <t>WHITE FORD</t>
        </is>
      </c>
      <c r="H1734" s="144" t="n">
        <v>1221</v>
      </c>
      <c r="I1734" s="144" t="inlineStr">
        <is>
          <t>CONTRACTOR</t>
        </is>
      </c>
    </row>
    <row r="1735" ht="18" customHeight="1" s="7">
      <c r="A1735" s="144" t="inlineStr">
        <is>
          <t>SHANE DOWDY</t>
        </is>
      </c>
      <c r="B1735" s="144" t="inlineStr">
        <is>
          <t>D93152148 KY</t>
        </is>
      </c>
      <c r="C1735" s="144" t="inlineStr">
        <is>
          <t>BBCL FREIGHT</t>
        </is>
      </c>
      <c r="D1735" s="144" t="n">
        <v>2706650116</v>
      </c>
      <c r="E1735" s="144" t="inlineStr">
        <is>
          <t>BOX</t>
        </is>
      </c>
      <c r="F1735" s="144" t="inlineStr">
        <is>
          <t>P1227438 IL</t>
        </is>
      </c>
      <c r="G1735" s="144" t="inlineStr">
        <is>
          <t>WHITE FREIGHTLINER</t>
        </is>
      </c>
      <c r="H1735" s="144" t="n">
        <v>1221</v>
      </c>
      <c r="I1735" s="144" t="inlineStr">
        <is>
          <t>COMMERCIAL</t>
        </is>
      </c>
    </row>
    <row r="1736" ht="18" customHeight="1" s="7">
      <c r="A1736" s="144" t="inlineStr">
        <is>
          <t>JOSHUA ZIMMERMAN</t>
        </is>
      </c>
      <c r="B1736" s="144" t="inlineStr">
        <is>
          <t>Z565440603913 MD</t>
        </is>
      </c>
      <c r="C1736" s="144" t="inlineStr">
        <is>
          <t>ZIMMERMAN TRANS</t>
        </is>
      </c>
      <c r="D1736" s="144" t="n">
        <v>4432896105</v>
      </c>
      <c r="E1736" s="144" t="inlineStr">
        <is>
          <t>FLAT</t>
        </is>
      </c>
      <c r="F1736" s="144" t="inlineStr">
        <is>
          <t>0731F0 MD</t>
        </is>
      </c>
      <c r="G1736" s="144" t="inlineStr">
        <is>
          <t>BLUE PETERBILT</t>
        </is>
      </c>
      <c r="H1736" s="144" t="n">
        <v>1221</v>
      </c>
      <c r="I1736" s="144" t="inlineStr">
        <is>
          <t>COMMERCIAL</t>
        </is>
      </c>
    </row>
    <row r="1737" ht="18" customHeight="1" s="7">
      <c r="A1737" s="144" t="inlineStr">
        <is>
          <t>NIKOLAY YEFANOV</t>
        </is>
      </c>
      <c r="B1737" s="144" t="inlineStr">
        <is>
          <t>Y151620872940 FL</t>
        </is>
      </c>
      <c r="C1737" s="144" t="inlineStr">
        <is>
          <t>REZNIK</t>
        </is>
      </c>
      <c r="D1737" s="144" t="n">
        <v>9168771583</v>
      </c>
      <c r="E1737" s="144" t="inlineStr">
        <is>
          <t>BOX</t>
        </is>
      </c>
      <c r="F1737" s="144" t="inlineStr">
        <is>
          <t>XE460C FL</t>
        </is>
      </c>
      <c r="G1737" s="144" t="inlineStr">
        <is>
          <t>WHITE FREIGHTLINER</t>
        </is>
      </c>
      <c r="H1737" s="144" t="n">
        <v>1221</v>
      </c>
      <c r="I1737" s="144" t="inlineStr">
        <is>
          <t>COMMERCIAL</t>
        </is>
      </c>
    </row>
    <row r="1738" ht="18" customHeight="1" s="7">
      <c r="A1738" s="144" t="inlineStr">
        <is>
          <t>GREGORY MARTIN</t>
        </is>
      </c>
      <c r="B1738" s="144" t="inlineStr">
        <is>
          <t>24713384 PA</t>
        </is>
      </c>
      <c r="C1738" s="144" t="inlineStr">
        <is>
          <t>WEAVER TRANS</t>
        </is>
      </c>
      <c r="D1738" s="144" t="n">
        <v>7172780132</v>
      </c>
      <c r="E1738" s="144" t="inlineStr">
        <is>
          <t>FLAT</t>
        </is>
      </c>
      <c r="F1738" s="144" t="inlineStr">
        <is>
          <t>AG93685 PA</t>
        </is>
      </c>
      <c r="G1738" s="144" t="inlineStr">
        <is>
          <t>WHITE PETERBILT</t>
        </is>
      </c>
      <c r="H1738" s="144" t="n">
        <v>1221</v>
      </c>
      <c r="I1738" s="144" t="inlineStr">
        <is>
          <t>COMMERCIAL</t>
        </is>
      </c>
    </row>
    <row r="1739" ht="18" customHeight="1" s="7">
      <c r="A1739" s="144" t="inlineStr">
        <is>
          <t>KHURAZOV AKMAL</t>
        </is>
      </c>
      <c r="B1739" s="144" t="inlineStr">
        <is>
          <t>UX367825 OH</t>
        </is>
      </c>
      <c r="C1739" s="144" t="inlineStr">
        <is>
          <t>CARAVAN  LOGIS</t>
        </is>
      </c>
      <c r="D1739" s="144" t="n">
        <v>4136300944</v>
      </c>
      <c r="E1739" s="144" t="inlineStr">
        <is>
          <t>FLAT</t>
        </is>
      </c>
      <c r="F1739" s="144" t="inlineStr">
        <is>
          <t>PWT65562 OH</t>
        </is>
      </c>
      <c r="G1739" s="144" t="inlineStr">
        <is>
          <t>BLUE VOLVO</t>
        </is>
      </c>
      <c r="H1739" s="144" t="n">
        <v>1221</v>
      </c>
      <c r="I1739" s="144" t="inlineStr">
        <is>
          <t>COMMERCIAL</t>
        </is>
      </c>
    </row>
    <row r="1740" ht="18" customHeight="1" s="7">
      <c r="A1740" s="144" t="inlineStr">
        <is>
          <t>CARLOS FAISON</t>
        </is>
      </c>
      <c r="B1740" s="144" t="inlineStr">
        <is>
          <t>*049200887 GA</t>
        </is>
      </c>
      <c r="C1740" s="144" t="inlineStr">
        <is>
          <t>DALMATIAN EXPRESS</t>
        </is>
      </c>
      <c r="D1740" s="144" t="n">
        <v>4783044650</v>
      </c>
      <c r="E1740" s="144" t="inlineStr">
        <is>
          <t>FLAT</t>
        </is>
      </c>
      <c r="F1740" s="144" t="inlineStr">
        <is>
          <t>A98703 KY</t>
        </is>
      </c>
      <c r="G1740" s="144" t="inlineStr">
        <is>
          <t>WHITE VOLVO</t>
        </is>
      </c>
      <c r="H1740" s="144" t="n">
        <v>1221</v>
      </c>
      <c r="I1740" s="144" t="inlineStr">
        <is>
          <t>COMMERCIAL</t>
        </is>
      </c>
    </row>
    <row r="1741" ht="18" customHeight="1" s="7">
      <c r="A1741" s="144" t="inlineStr">
        <is>
          <t>PORTILLA JULIAN</t>
        </is>
      </c>
      <c r="B1741" s="144" t="inlineStr">
        <is>
          <t>*000041558065 NC</t>
        </is>
      </c>
      <c r="C1741" s="144" t="inlineStr">
        <is>
          <t>EXCEL TRUCKING</t>
        </is>
      </c>
      <c r="D1741" s="144" t="n">
        <v>2148420995</v>
      </c>
      <c r="E1741" s="144" t="inlineStr">
        <is>
          <t>PU</t>
        </is>
      </c>
      <c r="F1741" s="144" t="inlineStr">
        <is>
          <t>TW7470 NC</t>
        </is>
      </c>
      <c r="G1741" s="144" t="inlineStr">
        <is>
          <t>GRAY DODGE</t>
        </is>
      </c>
      <c r="H1741" s="144" t="n">
        <v>1221</v>
      </c>
      <c r="I1741" s="144" t="inlineStr">
        <is>
          <t>CONTRACTOR</t>
        </is>
      </c>
    </row>
    <row r="1742" ht="18" customHeight="1" s="7">
      <c r="A1742" s="144" t="inlineStr">
        <is>
          <t>CORLEY WENDELL</t>
        </is>
      </c>
      <c r="B1742" s="144" t="inlineStr">
        <is>
          <t>S208100064 MO</t>
        </is>
      </c>
      <c r="C1742" s="144" t="inlineStr">
        <is>
          <t>ATS</t>
        </is>
      </c>
      <c r="D1742" s="144" t="n">
        <v>3142819385</v>
      </c>
      <c r="E1742" s="144" t="inlineStr">
        <is>
          <t>FLAT</t>
        </is>
      </c>
      <c r="F1742" s="144" t="inlineStr">
        <is>
          <t>3210260 IN</t>
        </is>
      </c>
      <c r="G1742" s="144" t="inlineStr">
        <is>
          <t>BLACK VOLVO</t>
        </is>
      </c>
      <c r="H1742" s="144" t="n">
        <v>1221</v>
      </c>
      <c r="I1742" s="144" t="inlineStr">
        <is>
          <t>COMMERCIAL</t>
        </is>
      </c>
    </row>
    <row r="1743" ht="18" customHeight="1" s="7">
      <c r="A1743" s="144" t="inlineStr">
        <is>
          <t>GAINES DEREK</t>
        </is>
      </c>
      <c r="B1743" s="144" t="inlineStr">
        <is>
          <t>*000043045243 NC</t>
        </is>
      </c>
      <c r="C1743" s="144" t="inlineStr">
        <is>
          <t>LANDSTAR</t>
        </is>
      </c>
      <c r="D1743" s="144" t="n">
        <v>5404182689</v>
      </c>
      <c r="E1743" s="144" t="inlineStr">
        <is>
          <t>BOX</t>
        </is>
      </c>
      <c r="F1743" s="144" t="inlineStr">
        <is>
          <t>3228517 IN</t>
        </is>
      </c>
      <c r="G1743" s="144" t="inlineStr">
        <is>
          <t>WHITE PETERBILT</t>
        </is>
      </c>
      <c r="H1743" s="144" t="n">
        <v>1221</v>
      </c>
      <c r="I1743" s="144" t="inlineStr">
        <is>
          <t>COMMERCIAL</t>
        </is>
      </c>
    </row>
    <row r="1744" ht="18" customHeight="1" s="7">
      <c r="A1744" s="144" t="inlineStr">
        <is>
          <t>VALENTINE CORONA</t>
        </is>
      </c>
      <c r="B1744" s="144" t="inlineStr">
        <is>
          <t>C650879810410 FL</t>
        </is>
      </c>
      <c r="C1744" s="144" t="inlineStr">
        <is>
          <t>LUSSO FREIGHT</t>
        </is>
      </c>
      <c r="D1744" s="144" t="n">
        <v>2392723885</v>
      </c>
      <c r="E1744" s="144" t="inlineStr">
        <is>
          <t>BOX</t>
        </is>
      </c>
      <c r="F1744" s="144" t="inlineStr">
        <is>
          <t>P1105835 IL</t>
        </is>
      </c>
      <c r="G1744" s="144" t="inlineStr">
        <is>
          <t>WHITE VOLVO</t>
        </is>
      </c>
      <c r="H1744" s="144" t="n">
        <v>1221</v>
      </c>
      <c r="I1744" s="144" t="inlineStr">
        <is>
          <t>COMMERCIAL</t>
        </is>
      </c>
    </row>
    <row r="1745" ht="18" customHeight="1" s="7">
      <c r="A1745" s="144" t="inlineStr">
        <is>
          <t>CALEB JONES</t>
        </is>
      </c>
      <c r="B1745" s="144" t="inlineStr">
        <is>
          <t>9566902 AL</t>
        </is>
      </c>
      <c r="C1745" s="144" t="inlineStr">
        <is>
          <t>MCLANE INC</t>
        </is>
      </c>
      <c r="D1745" s="144" t="n">
        <v>3347980052</v>
      </c>
      <c r="E1745" s="144" t="inlineStr">
        <is>
          <t>BOX</t>
        </is>
      </c>
      <c r="F1745" s="144" t="inlineStr">
        <is>
          <t>P935942 IL</t>
        </is>
      </c>
      <c r="G1745" s="144" t="inlineStr">
        <is>
          <t>WHITE FREIGHTLINER</t>
        </is>
      </c>
      <c r="H1745" s="144" t="n">
        <v>7501</v>
      </c>
      <c r="I1745" s="144" t="inlineStr">
        <is>
          <t>COMMERCIAL</t>
        </is>
      </c>
    </row>
    <row r="1746" ht="18" customHeight="1" s="7">
      <c r="A1746" s="144" t="inlineStr">
        <is>
          <t>VINCENT RONNIE</t>
        </is>
      </c>
      <c r="B1746" s="144" t="inlineStr">
        <is>
          <t>V09871338 KY</t>
        </is>
      </c>
      <c r="C1746" s="144" t="inlineStr">
        <is>
          <t>KTL TRUCKING</t>
        </is>
      </c>
      <c r="D1746" s="144" t="n">
        <v>2704389433</v>
      </c>
      <c r="E1746" s="144" t="inlineStr">
        <is>
          <t>BOX</t>
        </is>
      </c>
      <c r="F1746" s="144" t="inlineStr">
        <is>
          <t>005953A KY</t>
        </is>
      </c>
      <c r="G1746" s="144" t="inlineStr">
        <is>
          <t>WHITE VOLVO</t>
        </is>
      </c>
      <c r="H1746" s="144" t="n">
        <v>1221</v>
      </c>
      <c r="I1746" s="144" t="inlineStr">
        <is>
          <t>COMMERCIAL</t>
        </is>
      </c>
    </row>
    <row r="1747" ht="18" customHeight="1" s="7">
      <c r="A1747" s="144" t="inlineStr">
        <is>
          <t>DALLAS BYNUM</t>
        </is>
      </c>
      <c r="B1747" s="144" t="inlineStr">
        <is>
          <t>*059758817 GA</t>
        </is>
      </c>
      <c r="C1747" s="144" t="inlineStr">
        <is>
          <t>UNITED MACHINE</t>
        </is>
      </c>
      <c r="D1747" s="144" t="n">
        <v>2299778643</v>
      </c>
      <c r="E1747" s="144" t="inlineStr">
        <is>
          <t>PU</t>
        </is>
      </c>
      <c r="F1747" s="144" t="inlineStr">
        <is>
          <t>SDV5476 GA</t>
        </is>
      </c>
      <c r="G1747" s="144" t="inlineStr">
        <is>
          <t>WHITE CHEVY</t>
        </is>
      </c>
      <c r="H1747" s="144" t="n">
        <v>7450</v>
      </c>
      <c r="I1747" s="144" t="inlineStr">
        <is>
          <t>CONTRACTOR</t>
        </is>
      </c>
    </row>
    <row r="1748" ht="18" customHeight="1" s="7">
      <c r="A1748" s="144" t="inlineStr">
        <is>
          <t>COOPER ADAM</t>
        </is>
      </c>
      <c r="B1748" s="144" t="inlineStr">
        <is>
          <t>*011485708 SC</t>
        </is>
      </c>
      <c r="C1748" s="144" t="inlineStr">
        <is>
          <t>GRASSY POND</t>
        </is>
      </c>
      <c r="D1748" s="144" t="n">
        <v>8844906682</v>
      </c>
      <c r="E1748" s="144" t="inlineStr">
        <is>
          <t>PU</t>
        </is>
      </c>
      <c r="F1748" s="144" t="inlineStr">
        <is>
          <t>RG27300 SC</t>
        </is>
      </c>
      <c r="G1748" s="144" t="inlineStr">
        <is>
          <t>WHITE FORD</t>
        </is>
      </c>
      <c r="H1748" s="144" t="n">
        <v>1361</v>
      </c>
      <c r="I1748" s="144" t="inlineStr">
        <is>
          <t>CONTRACTOR</t>
        </is>
      </c>
    </row>
    <row r="1749" ht="18" customHeight="1" s="7">
      <c r="A1749" s="144" t="inlineStr">
        <is>
          <t>JESUS HERNANDEZ</t>
        </is>
      </c>
      <c r="B1749" s="144" t="inlineStr">
        <is>
          <t>*061915654 GA</t>
        </is>
      </c>
      <c r="C1749" s="144" t="inlineStr">
        <is>
          <t>OVERHEAD DOOR</t>
        </is>
      </c>
      <c r="D1749" s="144" t="n">
        <v>2294961414</v>
      </c>
      <c r="E1749" s="144" t="inlineStr">
        <is>
          <t>PU</t>
        </is>
      </c>
      <c r="F1749" s="144" t="inlineStr">
        <is>
          <t>DBW3737 GA</t>
        </is>
      </c>
      <c r="G1749" s="144" t="inlineStr">
        <is>
          <t>WHITE DODGE</t>
        </is>
      </c>
      <c r="H1749" s="144" t="n">
        <v>7000</v>
      </c>
      <c r="I1749" s="144" t="inlineStr">
        <is>
          <t>CONTRACTOR</t>
        </is>
      </c>
    </row>
    <row r="1750" ht="18" customHeight="1" s="7">
      <c r="A1750" s="144" t="inlineStr">
        <is>
          <t>WARE HEATH</t>
        </is>
      </c>
      <c r="B1750" s="144" t="inlineStr">
        <is>
          <t>2049794 DE</t>
        </is>
      </c>
      <c r="C1750" s="144" t="inlineStr">
        <is>
          <t>ABED TRANS</t>
        </is>
      </c>
      <c r="D1750" s="144" t="n">
        <v>3026071605</v>
      </c>
      <c r="E1750" s="144" t="inlineStr">
        <is>
          <t>BOX</t>
        </is>
      </c>
      <c r="F1750" s="144" t="inlineStr">
        <is>
          <t>CL124443 DE</t>
        </is>
      </c>
      <c r="G1750" s="144" t="inlineStr">
        <is>
          <t>WHITE INTER</t>
        </is>
      </c>
      <c r="H1750" s="144" t="n">
        <v>1221</v>
      </c>
      <c r="I1750" s="144" t="inlineStr">
        <is>
          <t>COMMERCIAL</t>
        </is>
      </c>
    </row>
    <row r="1751" ht="18" customHeight="1" s="7">
      <c r="A1751" s="144" t="inlineStr">
        <is>
          <t>GREEN TRAVIS</t>
        </is>
      </c>
      <c r="B1751" s="144" t="inlineStr">
        <is>
          <t>*000002097077 NC</t>
        </is>
      </c>
      <c r="C1751" s="144" t="inlineStr">
        <is>
          <t>T GREEN TRUCKING</t>
        </is>
      </c>
      <c r="D1751" s="144" t="n">
        <v>9104429635</v>
      </c>
      <c r="E1751" s="144" t="inlineStr">
        <is>
          <t>FLAT</t>
        </is>
      </c>
      <c r="F1751" s="144" t="inlineStr">
        <is>
          <t>TD4510 NC</t>
        </is>
      </c>
      <c r="G1751" s="144" t="inlineStr">
        <is>
          <t>GREEN PETERBILT</t>
        </is>
      </c>
      <c r="H1751" s="144" t="n">
        <v>1221</v>
      </c>
      <c r="I1751" s="144" t="inlineStr">
        <is>
          <t>COMMERCIAL</t>
        </is>
      </c>
    </row>
    <row r="1752" ht="18" customHeight="1" s="7">
      <c r="A1752" s="144" t="inlineStr">
        <is>
          <t>RHONDA L ATKIN</t>
        </is>
      </c>
      <c r="B1752" s="144" t="inlineStr">
        <is>
          <t>*A325737497442 MI</t>
        </is>
      </c>
      <c r="C1752" s="144" t="inlineStr">
        <is>
          <t>HMD TRUCKING</t>
        </is>
      </c>
      <c r="D1752" s="144" t="n">
        <v>6162791512</v>
      </c>
      <c r="E1752" s="144" t="inlineStr">
        <is>
          <t>BOX</t>
        </is>
      </c>
      <c r="F1752" s="144" t="inlineStr">
        <is>
          <t>3010647 IN</t>
        </is>
      </c>
      <c r="G1752" s="144" t="inlineStr">
        <is>
          <t>WHITE PETERBILT</t>
        </is>
      </c>
      <c r="H1752" s="144" t="n">
        <v>1221</v>
      </c>
      <c r="I1752" s="144" t="inlineStr">
        <is>
          <t>COMMERCIAL</t>
        </is>
      </c>
    </row>
    <row r="1753" ht="18" customHeight="1" s="7">
      <c r="A1753" s="144" t="inlineStr">
        <is>
          <t>CZEREMCHA TOMASZ</t>
        </is>
      </c>
      <c r="B1753" s="144" t="inlineStr">
        <is>
          <t>*27955314 PA</t>
        </is>
      </c>
      <c r="C1753" s="144" t="inlineStr">
        <is>
          <t>WRIGHT EXPRESS</t>
        </is>
      </c>
      <c r="D1753" s="144" t="n">
        <v>7176092455</v>
      </c>
      <c r="E1753" s="144" t="inlineStr">
        <is>
          <t>BOX</t>
        </is>
      </c>
      <c r="F1753" s="144" t="inlineStr">
        <is>
          <t>AH54099 PA</t>
        </is>
      </c>
      <c r="G1753" s="144" t="inlineStr">
        <is>
          <t>GRAY VOLVO</t>
        </is>
      </c>
      <c r="H1753" s="144" t="n">
        <v>1221</v>
      </c>
      <c r="I1753" s="144" t="inlineStr">
        <is>
          <t>COMMERCIAL</t>
        </is>
      </c>
    </row>
    <row r="1754" ht="18" customHeight="1" s="7">
      <c r="A1754" s="144" t="inlineStr">
        <is>
          <t>RIVERA HECTOR</t>
        </is>
      </c>
      <c r="B1754" s="144" t="inlineStr">
        <is>
          <t>694AX9665 IA</t>
        </is>
      </c>
      <c r="C1754" s="144" t="inlineStr">
        <is>
          <t>ROBERTSON TRUCKS</t>
        </is>
      </c>
      <c r="D1754" s="144" t="n">
        <v>8636709220</v>
      </c>
      <c r="E1754" s="144" t="inlineStr">
        <is>
          <t>BOX</t>
        </is>
      </c>
      <c r="F1754" s="144" t="inlineStr">
        <is>
          <t>P1262887 IL</t>
        </is>
      </c>
      <c r="G1754" s="144" t="inlineStr">
        <is>
          <t>RED FREIGHTLINER</t>
        </is>
      </c>
      <c r="H1754" s="144" t="n">
        <v>1221</v>
      </c>
      <c r="I1754" s="144" t="inlineStr">
        <is>
          <t>COMMERCIAL</t>
        </is>
      </c>
    </row>
    <row r="1755" ht="18" customHeight="1" s="7">
      <c r="A1755" s="144" t="inlineStr">
        <is>
          <t>XAVIOUS DEVONE</t>
        </is>
      </c>
      <c r="B1755" s="144" t="inlineStr">
        <is>
          <t>*053173939 GA</t>
        </is>
      </c>
      <c r="C1755" s="144" t="inlineStr">
        <is>
          <t>FOOD VALLEY</t>
        </is>
      </c>
      <c r="D1755" s="144" t="n">
        <v>7065614755</v>
      </c>
      <c r="E1755" s="144" t="inlineStr">
        <is>
          <t>BOX</t>
        </is>
      </c>
      <c r="F1755" s="144" t="inlineStr">
        <is>
          <t>DQQ316 GA</t>
        </is>
      </c>
      <c r="G1755" s="144" t="inlineStr">
        <is>
          <t>WHITE HINO</t>
        </is>
      </c>
      <c r="H1755" s="144" t="n">
        <v>7501</v>
      </c>
      <c r="I1755" s="144" t="inlineStr">
        <is>
          <t>COMMERCIAL</t>
        </is>
      </c>
    </row>
    <row r="1756" ht="18" customHeight="1" s="7">
      <c r="A1756" s="144" t="inlineStr">
        <is>
          <t>ALFREDO QUINTANILLA</t>
        </is>
      </c>
      <c r="B1756" s="144" t="inlineStr">
        <is>
          <t>*070846444 GA</t>
        </is>
      </c>
      <c r="C1756" s="144" t="inlineStr">
        <is>
          <t>BIG DAWG TRANSPORT</t>
        </is>
      </c>
      <c r="D1756" s="144" t="n">
        <v>4706184290</v>
      </c>
      <c r="E1756" s="144" t="inlineStr">
        <is>
          <t>BOX</t>
        </is>
      </c>
      <c r="F1756" s="144" t="inlineStr">
        <is>
          <t>168468 GA</t>
        </is>
      </c>
      <c r="G1756" s="144" t="inlineStr">
        <is>
          <t>BLUE FREIGHTLINER</t>
        </is>
      </c>
      <c r="H1756" s="144" t="n">
        <v>1221</v>
      </c>
      <c r="I1756" s="144" t="inlineStr">
        <is>
          <t>COMMERCIAL</t>
        </is>
      </c>
    </row>
    <row r="1757" ht="18" customHeight="1" s="7">
      <c r="A1757" s="144" t="inlineStr">
        <is>
          <t>AGUADO NORGE</t>
        </is>
      </c>
      <c r="B1757" s="144" t="inlineStr">
        <is>
          <t>A231620673030 FL</t>
        </is>
      </c>
      <c r="C1757" s="144" t="inlineStr">
        <is>
          <t>N&amp;M</t>
        </is>
      </c>
      <c r="D1757" s="144" t="n">
        <v>7863265459</v>
      </c>
      <c r="E1757" s="144" t="inlineStr">
        <is>
          <t>FLAT</t>
        </is>
      </c>
      <c r="F1757" s="144" t="inlineStr">
        <is>
          <t>XE703D FL</t>
        </is>
      </c>
      <c r="G1757" s="144" t="inlineStr">
        <is>
          <t>TAN FREIGHTLINER</t>
        </is>
      </c>
      <c r="H1757" s="144" t="n">
        <v>1221</v>
      </c>
      <c r="I1757" s="144" t="inlineStr">
        <is>
          <t>COMMERCIAL</t>
        </is>
      </c>
    </row>
    <row r="1758" ht="18" customHeight="1" s="7">
      <c r="A1758" s="144" t="inlineStr">
        <is>
          <t>REGINALD BUTLER JR</t>
        </is>
      </c>
      <c r="B1758" s="144" t="inlineStr">
        <is>
          <t>*052847310 GA</t>
        </is>
      </c>
      <c r="C1758" s="144" t="inlineStr">
        <is>
          <t>ESTES</t>
        </is>
      </c>
      <c r="D1758" s="144" t="n">
        <v>2292885449</v>
      </c>
      <c r="E1758" s="144" t="inlineStr">
        <is>
          <t>BOX</t>
        </is>
      </c>
      <c r="F1758" s="144" t="inlineStr">
        <is>
          <t>3586602 IN</t>
        </is>
      </c>
      <c r="G1758" s="144" t="inlineStr">
        <is>
          <t>YELLOW KENWORTH</t>
        </is>
      </c>
      <c r="H1758" s="144" t="n">
        <v>1221</v>
      </c>
      <c r="I1758" s="144" t="inlineStr">
        <is>
          <t>COMMERCIAL</t>
        </is>
      </c>
    </row>
    <row r="1759" ht="18" customHeight="1" s="7">
      <c r="A1759" s="144" t="inlineStr">
        <is>
          <t xml:space="preserve">BYRON BELL </t>
        </is>
      </c>
      <c r="B1759" s="144" t="inlineStr">
        <is>
          <t>*050517992 GA</t>
        </is>
      </c>
      <c r="C1759" s="144" t="inlineStr">
        <is>
          <t>TRUCK STAR</t>
        </is>
      </c>
      <c r="D1759" s="144" t="n">
        <v>7708468993</v>
      </c>
      <c r="E1759" s="144" t="inlineStr">
        <is>
          <t>BOX</t>
        </is>
      </c>
      <c r="F1759" s="144" t="inlineStr">
        <is>
          <t>P1276703 IL</t>
        </is>
      </c>
      <c r="G1759" s="144" t="inlineStr">
        <is>
          <t>WHITE VOLVO</t>
        </is>
      </c>
      <c r="H1759" s="144" t="n">
        <v>1221</v>
      </c>
      <c r="I1759" s="144" t="inlineStr">
        <is>
          <t>COMMERCIAL</t>
        </is>
      </c>
    </row>
    <row r="1760" ht="18" customHeight="1" s="7">
      <c r="A1760" s="144" t="inlineStr">
        <is>
          <t>DANERIUS SWAN</t>
        </is>
      </c>
      <c r="B1760" s="144" t="inlineStr">
        <is>
          <t>*061718867 GA</t>
        </is>
      </c>
      <c r="C1760" s="144" t="inlineStr">
        <is>
          <t>CITY OF ALBANY</t>
        </is>
      </c>
      <c r="D1760" s="144" t="n">
        <v>2292887255</v>
      </c>
      <c r="E1760" s="144" t="inlineStr">
        <is>
          <t>FLAT</t>
        </is>
      </c>
      <c r="F1760" s="144" t="inlineStr">
        <is>
          <t>GV8612R GA</t>
        </is>
      </c>
      <c r="G1760" s="144" t="inlineStr">
        <is>
          <t>WHITE FREIGHTLINER</t>
        </is>
      </c>
      <c r="H1760" s="144" t="inlineStr">
        <is>
          <t>K-9</t>
        </is>
      </c>
      <c r="I1760" s="144" t="inlineStr">
        <is>
          <t>COMMERCIAL</t>
        </is>
      </c>
    </row>
    <row r="1761" ht="18" customHeight="1" s="7">
      <c r="A1761" s="144" t="inlineStr">
        <is>
          <t>DARUIS LEGGETT</t>
        </is>
      </c>
      <c r="B1761" s="144" t="inlineStr">
        <is>
          <t>*061983480 GA</t>
        </is>
      </c>
      <c r="C1761" s="144" t="inlineStr">
        <is>
          <t>CITY OF ALBANY</t>
        </is>
      </c>
      <c r="D1761" s="144" t="n">
        <v>2296694364</v>
      </c>
      <c r="E1761" s="144" t="inlineStr">
        <is>
          <t>FLAT</t>
        </is>
      </c>
      <c r="F1761" s="144" t="inlineStr">
        <is>
          <t>GV6898 GA</t>
        </is>
      </c>
      <c r="G1761" s="144" t="inlineStr">
        <is>
          <t>WHITE FREIGHTLINER</t>
        </is>
      </c>
      <c r="H1761" s="144" t="n">
        <v>5500</v>
      </c>
      <c r="I1761" s="144" t="inlineStr">
        <is>
          <t>COMMERICAL</t>
        </is>
      </c>
    </row>
    <row r="1762" ht="18" customHeight="1" s="7">
      <c r="A1762" s="144" t="inlineStr">
        <is>
          <t>KASIM SALIMINI</t>
        </is>
      </c>
      <c r="B1762" s="144" t="inlineStr">
        <is>
          <t>Y8682497 CA</t>
        </is>
      </c>
      <c r="C1762" s="144" t="inlineStr">
        <is>
          <t>S2D EXPRESS</t>
        </is>
      </c>
      <c r="D1762" s="144" t="n">
        <v>6193944124</v>
      </c>
      <c r="E1762" s="144" t="inlineStr">
        <is>
          <t>BOX</t>
        </is>
      </c>
      <c r="F1762" s="144" t="inlineStr">
        <is>
          <t>P994210 IL</t>
        </is>
      </c>
      <c r="G1762" s="144" t="inlineStr">
        <is>
          <t>WHITE VOLVO</t>
        </is>
      </c>
      <c r="H1762" s="144" t="n">
        <v>1221</v>
      </c>
      <c r="I1762" s="144" t="inlineStr">
        <is>
          <t>COMMERICAL</t>
        </is>
      </c>
    </row>
    <row r="1763" ht="18" customHeight="1" s="7">
      <c r="A1763" s="144" t="inlineStr">
        <is>
          <t>HERNANDEZ YOANDY</t>
        </is>
      </c>
      <c r="B1763" s="144" t="inlineStr">
        <is>
          <t>H655960851900 FL</t>
        </is>
      </c>
      <c r="C1763" s="144" t="inlineStr">
        <is>
          <t>EASY 2 LOAD</t>
        </is>
      </c>
      <c r="D1763" s="144" t="n">
        <v>7867636347</v>
      </c>
      <c r="E1763" s="144" t="inlineStr">
        <is>
          <t>FLAT</t>
        </is>
      </c>
      <c r="F1763" s="144" t="inlineStr">
        <is>
          <t>XE119S FL</t>
        </is>
      </c>
      <c r="G1763" s="144" t="inlineStr">
        <is>
          <t>BLUE FREIGHTLINER</t>
        </is>
      </c>
      <c r="H1763" s="144" t="n">
        <v>1221</v>
      </c>
      <c r="I1763" s="144" t="inlineStr">
        <is>
          <t>COMMERICAL</t>
        </is>
      </c>
    </row>
    <row r="1764" ht="18" customHeight="1" s="7">
      <c r="A1764" s="144" t="inlineStr">
        <is>
          <t>WITCHARD ALPHONSO</t>
        </is>
      </c>
      <c r="B1764" s="144" t="inlineStr">
        <is>
          <t>W326000892420 FL</t>
        </is>
      </c>
      <c r="C1764" s="144" t="inlineStr">
        <is>
          <t>BOB TRUCKING</t>
        </is>
      </c>
      <c r="D1764" s="144" t="n">
        <v>7542652040</v>
      </c>
      <c r="E1764" s="144" t="inlineStr">
        <is>
          <t>BOX</t>
        </is>
      </c>
      <c r="F1764" s="144" t="inlineStr">
        <is>
          <t>3746444 IN</t>
        </is>
      </c>
      <c r="G1764" s="144" t="inlineStr">
        <is>
          <t>WHITE VOLVO</t>
        </is>
      </c>
      <c r="H1764" s="144" t="n">
        <v>1221</v>
      </c>
      <c r="I1764" s="144" t="inlineStr">
        <is>
          <t>COMMERCIAL</t>
        </is>
      </c>
    </row>
    <row r="1765" ht="18" customHeight="1" s="7">
      <c r="A1765" s="144" t="inlineStr">
        <is>
          <t>LOGAN AINSLEY</t>
        </is>
      </c>
      <c r="B1765" s="144" t="inlineStr">
        <is>
          <t>L250007713700 FL</t>
        </is>
      </c>
      <c r="C1765" s="144" t="inlineStr">
        <is>
          <t>GT EXPRESS</t>
        </is>
      </c>
      <c r="D1765" s="144" t="n">
        <v>9543800551</v>
      </c>
      <c r="E1765" s="144" t="inlineStr">
        <is>
          <t>FLAT</t>
        </is>
      </c>
      <c r="F1765" s="144" t="inlineStr">
        <is>
          <t>P1224251 IL</t>
        </is>
      </c>
      <c r="G1765" s="144" t="inlineStr">
        <is>
          <t>BLACK PETERBILT</t>
        </is>
      </c>
      <c r="H1765" s="144" t="n">
        <v>1221</v>
      </c>
      <c r="I1765" s="144" t="inlineStr">
        <is>
          <t>COMMERCIAL</t>
        </is>
      </c>
    </row>
    <row r="1766" ht="18" customHeight="1" s="7">
      <c r="A1766" s="144" t="inlineStr">
        <is>
          <t>DAVID ALLEN</t>
        </is>
      </c>
      <c r="B1766" s="144" t="inlineStr">
        <is>
          <t>*070062009 GA</t>
        </is>
      </c>
      <c r="C1766" s="144" t="inlineStr">
        <is>
          <t>DLA LLC</t>
        </is>
      </c>
      <c r="D1766" s="144" t="n">
        <v>4078108421</v>
      </c>
      <c r="E1766" s="144" t="inlineStr">
        <is>
          <t>FLAT</t>
        </is>
      </c>
      <c r="F1766" s="144" t="inlineStr">
        <is>
          <t>C109DQ GA</t>
        </is>
      </c>
      <c r="G1766" s="144" t="inlineStr">
        <is>
          <t>RED INTER</t>
        </is>
      </c>
      <c r="H1766" s="144" t="n">
        <v>1221</v>
      </c>
      <c r="I1766" s="144" t="inlineStr">
        <is>
          <t>COMMERCIAL</t>
        </is>
      </c>
    </row>
    <row r="1767" ht="18" customHeight="1" s="7">
      <c r="A1767" s="144" t="inlineStr">
        <is>
          <t>TROY SMITH</t>
        </is>
      </c>
      <c r="B1767" s="144" t="inlineStr">
        <is>
          <t>*057089743 GA</t>
        </is>
      </c>
      <c r="C1767" s="144" t="inlineStr">
        <is>
          <t>US FOODS</t>
        </is>
      </c>
      <c r="D1767" s="144" t="n">
        <v>4709905833</v>
      </c>
      <c r="E1767" s="144" t="inlineStr">
        <is>
          <t>BOX</t>
        </is>
      </c>
      <c r="F1767" s="144" t="inlineStr">
        <is>
          <t>3047668 IN</t>
        </is>
      </c>
      <c r="G1767" s="144" t="inlineStr">
        <is>
          <t>WHITE FREIGHTLINER</t>
        </is>
      </c>
      <c r="H1767" s="144" t="n">
        <v>7501</v>
      </c>
      <c r="I1767" s="144" t="inlineStr">
        <is>
          <t>COMMERCIAL</t>
        </is>
      </c>
    </row>
    <row r="1768" ht="18" customHeight="1" s="7">
      <c r="A1768" s="144" t="inlineStr">
        <is>
          <t>RAFAEL DIAZ</t>
        </is>
      </c>
      <c r="B1768" s="144" t="inlineStr">
        <is>
          <t>D200436703410 FL</t>
        </is>
      </c>
      <c r="C1768" s="144" t="inlineStr">
        <is>
          <t>LANDSTAR</t>
        </is>
      </c>
      <c r="D1768" s="144" t="n">
        <v>4075753878</v>
      </c>
      <c r="E1768" s="144" t="inlineStr">
        <is>
          <t>FLAT</t>
        </is>
      </c>
      <c r="F1768" s="144" t="inlineStr">
        <is>
          <t>2782705 IN</t>
        </is>
      </c>
      <c r="G1768" s="144" t="inlineStr">
        <is>
          <t>RED INTERNATIONAL</t>
        </is>
      </c>
      <c r="H1768" s="144" t="n">
        <v>1221</v>
      </c>
      <c r="I1768" s="144" t="inlineStr">
        <is>
          <t>COMMERCIAL</t>
        </is>
      </c>
    </row>
    <row r="1769" ht="18" customHeight="1" s="7">
      <c r="A1769" s="144" t="inlineStr">
        <is>
          <t>LUIS RIVERA</t>
        </is>
      </c>
      <c r="B1769" s="144" t="inlineStr">
        <is>
          <t>T661530771810 FL</t>
        </is>
      </c>
      <c r="C1769" s="144" t="inlineStr">
        <is>
          <t>AIP TRUCK</t>
        </is>
      </c>
      <c r="D1769" s="144" t="n">
        <v>3212235781</v>
      </c>
      <c r="E1769" s="144" t="inlineStr">
        <is>
          <t>FLAT</t>
        </is>
      </c>
      <c r="F1769" s="144" t="inlineStr">
        <is>
          <t>DG60BF FL</t>
        </is>
      </c>
      <c r="G1769" s="144" t="inlineStr">
        <is>
          <t>WHITE FREIGHTLINER</t>
        </is>
      </c>
      <c r="H1769" s="144" t="n">
        <v>1221</v>
      </c>
      <c r="I1769" s="144" t="inlineStr">
        <is>
          <t>COMMERCIAL</t>
        </is>
      </c>
    </row>
    <row r="1770" ht="18" customHeight="1" s="7">
      <c r="A1770" s="144" t="inlineStr">
        <is>
          <t>JOHN MOORE</t>
        </is>
      </c>
      <c r="B1770" s="144" t="inlineStr">
        <is>
          <t>*061953339 GA</t>
        </is>
      </c>
      <c r="C1770" s="144" t="inlineStr">
        <is>
          <t>CITY OF ALBANY</t>
        </is>
      </c>
      <c r="D1770" s="144" t="n">
        <v>2298673164</v>
      </c>
      <c r="E1770" s="144" t="inlineStr">
        <is>
          <t>BOX</t>
        </is>
      </c>
      <c r="F1770" s="144" t="inlineStr">
        <is>
          <t>GV6898R GA</t>
        </is>
      </c>
      <c r="G1770" s="144" t="inlineStr">
        <is>
          <t>WHITE FREIGHTLINER</t>
        </is>
      </c>
      <c r="H1770" s="144" t="inlineStr">
        <is>
          <t>K-9</t>
        </is>
      </c>
      <c r="I1770" s="144" t="inlineStr">
        <is>
          <t>COMMERCIAL</t>
        </is>
      </c>
    </row>
    <row r="1771" ht="18" customHeight="1" s="7">
      <c r="A1771" s="144" t="inlineStr">
        <is>
          <t>KAILASH CHANDER</t>
        </is>
      </c>
      <c r="B1771" s="144" t="inlineStr">
        <is>
          <t>966836247 NY</t>
        </is>
      </c>
      <c r="C1771" s="144" t="inlineStr">
        <is>
          <t>GRDJ TRUCKING</t>
        </is>
      </c>
      <c r="D1771" s="144" t="n">
        <v>5163042000</v>
      </c>
      <c r="E1771" s="144" t="inlineStr">
        <is>
          <t>BOX</t>
        </is>
      </c>
      <c r="F1771" s="144" t="inlineStr">
        <is>
          <t>3762255 IN</t>
        </is>
      </c>
      <c r="G1771" s="144" t="inlineStr">
        <is>
          <t>WHITE VOLVO</t>
        </is>
      </c>
      <c r="H1771" s="144" t="n">
        <v>1221</v>
      </c>
      <c r="I1771" s="144" t="inlineStr">
        <is>
          <t>COMMERCIAL</t>
        </is>
      </c>
    </row>
    <row r="1772" ht="18" customHeight="1" s="7">
      <c r="A1772" s="144" t="inlineStr">
        <is>
          <t>TREVOR WILLIAMS</t>
        </is>
      </c>
      <c r="B1772" s="144" t="inlineStr">
        <is>
          <t>*054266081 GA</t>
        </is>
      </c>
      <c r="C1772" s="144" t="inlineStr">
        <is>
          <t>CITY OF ALBANY</t>
        </is>
      </c>
      <c r="D1772" s="144" t="n">
        <v>4705460547</v>
      </c>
      <c r="E1772" s="144" t="inlineStr">
        <is>
          <t>FLAT</t>
        </is>
      </c>
      <c r="F1772" s="144" t="inlineStr">
        <is>
          <t>GV8613R GA</t>
        </is>
      </c>
      <c r="G1772" s="144" t="inlineStr">
        <is>
          <t>WHITE FREIGHTLINER</t>
        </is>
      </c>
      <c r="H1772" s="144" t="inlineStr">
        <is>
          <t>K-9</t>
        </is>
      </c>
      <c r="I1772" s="144" t="inlineStr">
        <is>
          <t>COMMERCIAL</t>
        </is>
      </c>
    </row>
    <row r="1773" ht="18" customHeight="1" s="7">
      <c r="A1773" s="144" t="inlineStr">
        <is>
          <t>MARCU NICOLAE</t>
        </is>
      </c>
      <c r="B1773" s="144" t="inlineStr">
        <is>
          <t>M620630340704</t>
        </is>
      </c>
      <c r="C1773" s="144" t="inlineStr">
        <is>
          <t>LANDSTAR</t>
        </is>
      </c>
      <c r="D1773" s="144" t="n">
        <v>3136234250</v>
      </c>
      <c r="E1773" s="144" t="inlineStr">
        <is>
          <t>BOX</t>
        </is>
      </c>
      <c r="F1773" s="144" t="inlineStr">
        <is>
          <t>2629699 IN</t>
        </is>
      </c>
      <c r="G1773" s="144" t="inlineStr">
        <is>
          <t>WHITE FREIGHTLINER</t>
        </is>
      </c>
      <c r="H1773" s="144" t="n">
        <v>1221</v>
      </c>
      <c r="I1773" s="144" t="inlineStr">
        <is>
          <t>COMMERICAL</t>
        </is>
      </c>
    </row>
    <row r="1774" ht="18" customHeight="1" s="7">
      <c r="A1774" s="144" t="inlineStr">
        <is>
          <t>ANTHONY SLOVER</t>
        </is>
      </c>
      <c r="B1774" s="144" t="inlineStr">
        <is>
          <t>T60221862 VA</t>
        </is>
      </c>
      <c r="C1774" s="144" t="inlineStr">
        <is>
          <t>EXTRA MILE</t>
        </is>
      </c>
      <c r="D1774" s="144" t="n">
        <v>3363945960</v>
      </c>
      <c r="E1774" s="144" t="inlineStr">
        <is>
          <t>BOX</t>
        </is>
      </c>
      <c r="F1774" s="144" t="inlineStr">
        <is>
          <t>P1247306 IL</t>
        </is>
      </c>
      <c r="G1774" s="144" t="inlineStr">
        <is>
          <t>WHITE VOLVO</t>
        </is>
      </c>
      <c r="H1774" s="144" t="n">
        <v>1221</v>
      </c>
      <c r="I1774" s="144" t="inlineStr">
        <is>
          <t>COMMERICAL</t>
        </is>
      </c>
    </row>
    <row r="1775" ht="18" customHeight="1" s="7">
      <c r="A1775" s="144" t="inlineStr">
        <is>
          <t>ERICK RIETSCHIER</t>
        </is>
      </c>
      <c r="B1775" s="144" t="inlineStr">
        <is>
          <t>000041959261 NC</t>
        </is>
      </c>
      <c r="C1775" s="144" t="inlineStr">
        <is>
          <t>QUAIL FOREVER</t>
        </is>
      </c>
      <c r="D1775" s="144" t="n">
        <v>2258922808</v>
      </c>
      <c r="E1775" s="144" t="inlineStr">
        <is>
          <t>PU</t>
        </is>
      </c>
      <c r="F1775" s="144" t="inlineStr">
        <is>
          <t>SAE3728 GA</t>
        </is>
      </c>
      <c r="G1775" s="144" t="inlineStr">
        <is>
          <t>RED FORD</t>
        </is>
      </c>
      <c r="H1775" s="144" t="inlineStr">
        <is>
          <t>BASEWIDE</t>
        </is>
      </c>
      <c r="I1775" s="144" t="inlineStr">
        <is>
          <t>CONTRACTOR</t>
        </is>
      </c>
    </row>
    <row r="1776" ht="18" customHeight="1" s="7">
      <c r="A1776" s="144" t="inlineStr">
        <is>
          <t>MICHEAL JOHNSON</t>
        </is>
      </c>
      <c r="B1776" s="144" t="inlineStr">
        <is>
          <t>053100243 GA</t>
        </is>
      </c>
      <c r="C1776" s="144" t="inlineStr">
        <is>
          <t>CONERSTONE</t>
        </is>
      </c>
      <c r="D1776" s="144" t="n">
        <v>2292928908</v>
      </c>
      <c r="E1776" s="144" t="inlineStr">
        <is>
          <t>FLAT</t>
        </is>
      </c>
      <c r="F1776" s="144" t="inlineStr">
        <is>
          <t>3333812 IN</t>
        </is>
      </c>
      <c r="G1776" s="144" t="inlineStr">
        <is>
          <t>WHITE FREIGHTLINER</t>
        </is>
      </c>
      <c r="H1776" s="144" t="n">
        <v>1221</v>
      </c>
      <c r="I1776" s="144" t="inlineStr">
        <is>
          <t>COMMERICAL</t>
        </is>
      </c>
    </row>
    <row r="1777" ht="18" customHeight="1" s="7">
      <c r="A1777" s="144" t="inlineStr">
        <is>
          <t>WALLACE KEITH</t>
        </is>
      </c>
      <c r="B1777" s="144" t="inlineStr">
        <is>
          <t>000029941220 NC</t>
        </is>
      </c>
      <c r="C1777" s="144" t="inlineStr">
        <is>
          <t>MIGWAY</t>
        </is>
      </c>
      <c r="D1777" s="144" t="n">
        <v>9299448936</v>
      </c>
      <c r="E1777" s="144" t="inlineStr">
        <is>
          <t>BOX</t>
        </is>
      </c>
      <c r="F1777" s="144" t="inlineStr">
        <is>
          <t>VW1675 NC</t>
        </is>
      </c>
      <c r="G1777" s="144" t="inlineStr">
        <is>
          <t>WHITE  VOLVO</t>
        </is>
      </c>
      <c r="H1777" s="144" t="n">
        <v>1221</v>
      </c>
      <c r="I1777" s="144" t="inlineStr">
        <is>
          <t>COMMERICAL</t>
        </is>
      </c>
    </row>
    <row r="1778" ht="18" customHeight="1" s="7">
      <c r="A1778" s="144" t="inlineStr">
        <is>
          <t>GARRY MCCAIN</t>
        </is>
      </c>
      <c r="B1778" s="144" t="inlineStr">
        <is>
          <t>M250280682470 FL</t>
        </is>
      </c>
      <c r="C1778" s="144" t="inlineStr">
        <is>
          <t>BOB TRANSPORT</t>
        </is>
      </c>
      <c r="D1778" s="144" t="n">
        <v>6467525266</v>
      </c>
      <c r="E1778" s="144" t="inlineStr">
        <is>
          <t>BOX</t>
        </is>
      </c>
      <c r="F1778" s="144" t="inlineStr">
        <is>
          <t>3612292 IN</t>
        </is>
      </c>
      <c r="G1778" s="144" t="inlineStr">
        <is>
          <t>BLUE FREIGHTLINER</t>
        </is>
      </c>
      <c r="H1778" s="144" t="n">
        <v>1221</v>
      </c>
      <c r="I1778" s="144" t="inlineStr">
        <is>
          <t>COMMERICAL</t>
        </is>
      </c>
    </row>
    <row r="1779" ht="18" customHeight="1" s="7">
      <c r="A1779" s="144" t="inlineStr">
        <is>
          <t>RICHARD TRINIDAD</t>
        </is>
      </c>
      <c r="B1779" s="144" t="inlineStr">
        <is>
          <t xml:space="preserve">T203530348000 </t>
        </is>
      </c>
      <c r="C1779" s="144" t="inlineStr">
        <is>
          <t>CTC GROUND LLC</t>
        </is>
      </c>
      <c r="D1779" s="144" t="n">
        <v>689779174</v>
      </c>
      <c r="E1779" s="144" t="inlineStr">
        <is>
          <t>BOX</t>
        </is>
      </c>
      <c r="F1779" s="144" t="inlineStr">
        <is>
          <t>85074Z WI</t>
        </is>
      </c>
      <c r="G1779" s="144" t="inlineStr">
        <is>
          <t>BLUE KENWORTH</t>
        </is>
      </c>
      <c r="H1779" s="144" t="n">
        <v>1221</v>
      </c>
      <c r="I1779" s="144" t="inlineStr">
        <is>
          <t>COMMERICAL</t>
        </is>
      </c>
    </row>
    <row r="1780" ht="18" customHeight="1" s="7">
      <c r="A1780" s="144" t="inlineStr">
        <is>
          <t>EPTING PHILLP</t>
        </is>
      </c>
      <c r="B1780" s="144" t="inlineStr">
        <is>
          <t>*057213384 GA</t>
        </is>
      </c>
      <c r="C1780" s="144" t="inlineStr">
        <is>
          <t>METEOR EXPRESS</t>
        </is>
      </c>
      <c r="D1780" s="144" t="n">
        <v>2056098371</v>
      </c>
      <c r="E1780" s="144" t="inlineStr">
        <is>
          <t>FLAT</t>
        </is>
      </c>
      <c r="F1780" s="144" t="inlineStr">
        <is>
          <t>1200576 AL</t>
        </is>
      </c>
      <c r="G1780" s="144" t="inlineStr">
        <is>
          <t>YELLOW FREIGHTLINER</t>
        </is>
      </c>
      <c r="H1780" s="144" t="n">
        <v>1221</v>
      </c>
      <c r="I1780" s="144" t="inlineStr">
        <is>
          <t>COMMERICAL</t>
        </is>
      </c>
    </row>
    <row r="1781" ht="18" customHeight="1" s="7">
      <c r="A1781" s="144" t="inlineStr">
        <is>
          <t>JACOB GOODSON</t>
        </is>
      </c>
      <c r="B1781" s="144" t="inlineStr">
        <is>
          <t>7746590 AL</t>
        </is>
      </c>
      <c r="C1781" s="144" t="inlineStr">
        <is>
          <t>CFS</t>
        </is>
      </c>
      <c r="D1781" s="144" t="n">
        <v>3343032336</v>
      </c>
      <c r="E1781" s="144" t="inlineStr">
        <is>
          <t>FLAT</t>
        </is>
      </c>
      <c r="F1781" s="144" t="inlineStr">
        <is>
          <t>1208666 AL</t>
        </is>
      </c>
      <c r="G1781" s="144" t="inlineStr">
        <is>
          <t>BLACK PETERBILT</t>
        </is>
      </c>
      <c r="H1781" s="144" t="n">
        <v>1221</v>
      </c>
      <c r="I1781" s="144" t="inlineStr">
        <is>
          <t>COMMERCIAL</t>
        </is>
      </c>
    </row>
    <row r="1782" ht="18" customHeight="1" s="7">
      <c r="A1782" s="144" t="inlineStr">
        <is>
          <t>ALEX COLUMBUS</t>
        </is>
      </c>
      <c r="B1782" s="144" t="inlineStr">
        <is>
          <t>*057243065 GA</t>
        </is>
      </c>
      <c r="C1782" s="144" t="inlineStr">
        <is>
          <t>YES ENGERY</t>
        </is>
      </c>
      <c r="D1782" s="144" t="n">
        <v>6784883855</v>
      </c>
      <c r="E1782" s="144" t="inlineStr">
        <is>
          <t>CAR</t>
        </is>
      </c>
      <c r="F1782" s="144" t="inlineStr">
        <is>
          <t>AIJF83 CO</t>
        </is>
      </c>
      <c r="G1782" s="144" t="inlineStr">
        <is>
          <t>WHITE FORD</t>
        </is>
      </c>
      <c r="H1782" s="144" t="inlineStr">
        <is>
          <t>HOUSING</t>
        </is>
      </c>
      <c r="I1782" s="144" t="inlineStr">
        <is>
          <t>CONTRACTOR</t>
        </is>
      </c>
    </row>
    <row r="1783" ht="18" customHeight="1" s="7">
      <c r="A1783" s="144" t="inlineStr">
        <is>
          <t>RALFAUEL CRENSHAW</t>
        </is>
      </c>
      <c r="B1783" s="144" t="inlineStr">
        <is>
          <t>*049903055 GA</t>
        </is>
      </c>
      <c r="C1783" s="144" t="inlineStr">
        <is>
          <t>BUFFALO ROCK</t>
        </is>
      </c>
      <c r="D1783" s="144" t="n">
        <v>7066156910</v>
      </c>
      <c r="E1783" s="144" t="inlineStr">
        <is>
          <t>BOX</t>
        </is>
      </c>
      <c r="F1783" s="144" t="inlineStr">
        <is>
          <t>WRR426 GA</t>
        </is>
      </c>
      <c r="G1783" s="144" t="inlineStr">
        <is>
          <t>WHITE FREIGHTLINER</t>
        </is>
      </c>
      <c r="H1783" s="144" t="n">
        <v>7501</v>
      </c>
      <c r="I1783" s="144" t="inlineStr">
        <is>
          <t>COMMERCIAL</t>
        </is>
      </c>
    </row>
    <row r="1784" ht="18" customHeight="1" s="7">
      <c r="A1784" s="144" t="inlineStr">
        <is>
          <t>TYMOTHI SPRAGGINS</t>
        </is>
      </c>
      <c r="B1784" s="144" t="inlineStr">
        <is>
          <t>7125275 AL</t>
        </is>
      </c>
      <c r="C1784" s="144" t="inlineStr">
        <is>
          <t>BUFFALO ROCK</t>
        </is>
      </c>
      <c r="D1784" s="144" t="n">
        <v>3344088437</v>
      </c>
      <c r="E1784" s="144" t="inlineStr">
        <is>
          <t>VAN</t>
        </is>
      </c>
      <c r="F1784" s="144" t="inlineStr">
        <is>
          <t>BQP7363 GA</t>
        </is>
      </c>
      <c r="G1784" s="144" t="inlineStr">
        <is>
          <t>WHITE CHEVY</t>
        </is>
      </c>
      <c r="H1784" s="144" t="n">
        <v>7501</v>
      </c>
      <c r="I1784" s="144" t="inlineStr">
        <is>
          <t>CONTRACTOR</t>
        </is>
      </c>
    </row>
    <row r="1785" ht="18" customHeight="1" s="7">
      <c r="A1785" s="144" t="inlineStr">
        <is>
          <t>IVANYUTIN IGOR</t>
        </is>
      </c>
      <c r="B1785" s="144" t="inlineStr">
        <is>
          <t>26707057 PA</t>
        </is>
      </c>
      <c r="C1785" s="144" t="inlineStr">
        <is>
          <t>LUXTON LOGISTICS</t>
        </is>
      </c>
      <c r="D1785" s="144" t="n">
        <v>7174481681</v>
      </c>
      <c r="E1785" s="144" t="inlineStr">
        <is>
          <t>BOX</t>
        </is>
      </c>
      <c r="F1785" s="144" t="inlineStr">
        <is>
          <t>AH45233 PA</t>
        </is>
      </c>
      <c r="G1785" s="144" t="inlineStr">
        <is>
          <t>TAN FREIGHTLINER</t>
        </is>
      </c>
      <c r="H1785" s="144" t="n">
        <v>1221</v>
      </c>
      <c r="I1785" s="144" t="inlineStr">
        <is>
          <t>COMMERCIAL</t>
        </is>
      </c>
    </row>
    <row r="1786" ht="18" customHeight="1" s="7">
      <c r="A1786" s="144" t="inlineStr">
        <is>
          <t>JOHN BALES</t>
        </is>
      </c>
      <c r="B1786" s="144" t="inlineStr">
        <is>
          <t>*054295993 GA</t>
        </is>
      </c>
      <c r="C1786" s="144" t="inlineStr">
        <is>
          <t>PREMIER LOGISTICS</t>
        </is>
      </c>
      <c r="D1786" s="144" t="n">
        <v>2294028941</v>
      </c>
      <c r="E1786" s="144" t="inlineStr">
        <is>
          <t>VAN</t>
        </is>
      </c>
      <c r="F1786" s="144" t="inlineStr">
        <is>
          <t>SDE1431 GA</t>
        </is>
      </c>
      <c r="G1786" s="144" t="inlineStr">
        <is>
          <t>BLUE MERCEDES</t>
        </is>
      </c>
      <c r="H1786" s="144" t="inlineStr">
        <is>
          <t>POWERWORKS</t>
        </is>
      </c>
      <c r="I1786" s="144" t="inlineStr">
        <is>
          <t>CONTRACTOR</t>
        </is>
      </c>
    </row>
    <row r="1787" ht="18" customHeight="1" s="7">
      <c r="A1787" s="144" t="inlineStr">
        <is>
          <t>ALLEN CHAMBERS</t>
        </is>
      </c>
      <c r="B1787" s="144" t="inlineStr">
        <is>
          <t>*057193075 GA</t>
        </is>
      </c>
      <c r="C1787" s="144" t="inlineStr">
        <is>
          <t>AAA</t>
        </is>
      </c>
      <c r="D1787" s="144" t="n">
        <v>2293493763</v>
      </c>
      <c r="E1787" s="144" t="inlineStr">
        <is>
          <t>MIXER</t>
        </is>
      </c>
      <c r="F1787" s="144" t="inlineStr">
        <is>
          <t>GMH518 GA</t>
        </is>
      </c>
      <c r="G1787" s="144" t="inlineStr">
        <is>
          <t>WHITE FREIGHTLINER</t>
        </is>
      </c>
      <c r="H1787" s="144" t="inlineStr">
        <is>
          <t>K-9</t>
        </is>
      </c>
      <c r="I1787" s="144" t="inlineStr">
        <is>
          <t>COMMERCIAL</t>
        </is>
      </c>
    </row>
    <row r="1788" ht="18" customHeight="1" s="7">
      <c r="A1788" s="144" t="inlineStr">
        <is>
          <t>PATRICK FRAZIER</t>
        </is>
      </c>
      <c r="B1788" s="144" t="inlineStr">
        <is>
          <t>62666497315F IL</t>
        </is>
      </c>
      <c r="C1788" s="144" t="inlineStr">
        <is>
          <t>CPR TRANSPORT</t>
        </is>
      </c>
      <c r="D1788" s="144" t="n">
        <v>7738143810</v>
      </c>
      <c r="E1788" s="144" t="inlineStr">
        <is>
          <t>PU</t>
        </is>
      </c>
      <c r="F1788" s="144" t="inlineStr">
        <is>
          <t>223546C IL</t>
        </is>
      </c>
      <c r="G1788" s="144" t="inlineStr">
        <is>
          <t>BLACK FORD</t>
        </is>
      </c>
      <c r="H1788" s="144" t="n">
        <v>1221</v>
      </c>
      <c r="I1788" s="144" t="inlineStr">
        <is>
          <t>CONTRACTOR</t>
        </is>
      </c>
    </row>
    <row r="1789" ht="18" customHeight="1" s="7">
      <c r="A1789" s="144" t="inlineStr">
        <is>
          <t>RONNIE PRUITT</t>
        </is>
      </c>
      <c r="B1789" s="144" t="inlineStr">
        <is>
          <t>*049736142 GA</t>
        </is>
      </c>
      <c r="C1789" s="144" t="inlineStr">
        <is>
          <t>CITY OF ALBANY</t>
        </is>
      </c>
      <c r="D1789" s="144" t="n">
        <v>2294497365</v>
      </c>
      <c r="E1789" s="144" t="inlineStr">
        <is>
          <t>DUMP</t>
        </is>
      </c>
      <c r="F1789" s="144" t="inlineStr">
        <is>
          <t>GV9176R GA</t>
        </is>
      </c>
      <c r="G1789" s="144" t="inlineStr">
        <is>
          <t>WHITE KENWORTH</t>
        </is>
      </c>
      <c r="H1789" s="144" t="n">
        <v>3600</v>
      </c>
      <c r="I1789" s="144" t="inlineStr">
        <is>
          <t>COMMERCIAL</t>
        </is>
      </c>
    </row>
    <row r="1790" ht="18" customHeight="1" s="7">
      <c r="A1790" s="144" t="inlineStr">
        <is>
          <t>ANTHONY CLOUD</t>
        </is>
      </c>
      <c r="B1790" s="144" t="inlineStr">
        <is>
          <t>051710275 GA</t>
        </is>
      </c>
      <c r="C1790" s="144" t="inlineStr">
        <is>
          <t>LEXANT LOGISTIC</t>
        </is>
      </c>
      <c r="D1790" s="144" t="n">
        <v>4706291609</v>
      </c>
      <c r="E1790" s="144" t="inlineStr">
        <is>
          <t>BOX</t>
        </is>
      </c>
      <c r="F1790" s="144" t="inlineStr">
        <is>
          <t>C200ER GA</t>
        </is>
      </c>
      <c r="G1790" s="144" t="inlineStr">
        <is>
          <t>RED FREIGHTLINER</t>
        </is>
      </c>
      <c r="H1790" s="144" t="n">
        <v>1221</v>
      </c>
      <c r="I1790" s="144" t="inlineStr">
        <is>
          <t>COMMERICAL</t>
        </is>
      </c>
    </row>
    <row r="1791" ht="18" customHeight="1" s="7">
      <c r="A1791" s="144" t="inlineStr">
        <is>
          <t>ELIJAH TYLER</t>
        </is>
      </c>
      <c r="B1791" s="144" t="inlineStr">
        <is>
          <t>*058045851 GA</t>
        </is>
      </c>
      <c r="C1791" s="144" t="inlineStr">
        <is>
          <t>ERG POWER</t>
        </is>
      </c>
      <c r="D1791" s="144" t="n">
        <v>2292050643</v>
      </c>
      <c r="E1791" s="144" t="inlineStr">
        <is>
          <t>PU</t>
        </is>
      </c>
      <c r="F1791" s="144" t="inlineStr">
        <is>
          <t>SAY9233 GA</t>
        </is>
      </c>
      <c r="G1791" s="144" t="inlineStr">
        <is>
          <t>WHITE CHEVY</t>
        </is>
      </c>
      <c r="H1791" s="144" t="n">
        <v>5500</v>
      </c>
      <c r="I1791" s="144" t="inlineStr">
        <is>
          <t>CONTRACTOR</t>
        </is>
      </c>
    </row>
    <row r="1792" ht="18" customHeight="1" s="7">
      <c r="A1792" s="144" t="inlineStr">
        <is>
          <t>CARL COLANTONIO</t>
        </is>
      </c>
      <c r="B1792" s="144" t="inlineStr">
        <is>
          <t>6741297 AL</t>
        </is>
      </c>
      <c r="C1792" s="144" t="inlineStr">
        <is>
          <t>ALLIED</t>
        </is>
      </c>
      <c r="D1792" s="144" t="n">
        <v>3346145934</v>
      </c>
      <c r="E1792" s="144" t="inlineStr">
        <is>
          <t>BOX</t>
        </is>
      </c>
      <c r="F1792" s="144" t="inlineStr">
        <is>
          <t>1175750 AL</t>
        </is>
      </c>
      <c r="G1792" s="144" t="inlineStr">
        <is>
          <t>ORANGE INTER</t>
        </is>
      </c>
      <c r="H1792" s="144" t="inlineStr">
        <is>
          <t>HOUSING</t>
        </is>
      </c>
      <c r="I1792" s="144" t="inlineStr">
        <is>
          <t>CONTRACTOR</t>
        </is>
      </c>
    </row>
    <row r="1793" ht="18" customHeight="1" s="7">
      <c r="A1793" s="144" t="inlineStr">
        <is>
          <t>PATRICK BISHOP</t>
        </is>
      </c>
      <c r="B1793" s="144" t="inlineStr">
        <is>
          <t>*057149418 TN</t>
        </is>
      </c>
      <c r="C1793" s="144" t="inlineStr">
        <is>
          <t>ALLOY</t>
        </is>
      </c>
      <c r="D1793" s="144" t="n">
        <v>9802141403</v>
      </c>
      <c r="E1793" s="144" t="inlineStr">
        <is>
          <t>PU</t>
        </is>
      </c>
      <c r="F1793" s="144" t="inlineStr">
        <is>
          <t>YSR678 GA</t>
        </is>
      </c>
      <c r="G1793" s="144" t="inlineStr">
        <is>
          <t>WHITE FORD</t>
        </is>
      </c>
      <c r="H1793" s="144" t="n">
        <v>2215</v>
      </c>
      <c r="I1793" s="144" t="inlineStr">
        <is>
          <t>CONTRACTOR</t>
        </is>
      </c>
    </row>
    <row r="1794" ht="18" customHeight="1" s="7">
      <c r="A1794" s="144" t="inlineStr">
        <is>
          <t>JOBANPREET SINGH</t>
        </is>
      </c>
      <c r="B1794" s="144" t="inlineStr">
        <is>
          <t>W8694002 CA</t>
        </is>
      </c>
      <c r="C1794" s="144" t="inlineStr">
        <is>
          <t>K &amp; B TRANS</t>
        </is>
      </c>
      <c r="D1794" s="144" t="n">
        <v>6615208130</v>
      </c>
      <c r="E1794" s="144" t="inlineStr">
        <is>
          <t>BOX</t>
        </is>
      </c>
      <c r="F1794" s="144" t="inlineStr">
        <is>
          <t>ZP00777 CA</t>
        </is>
      </c>
      <c r="G1794" s="144" t="inlineStr">
        <is>
          <t>WHITE FREIGHTLINER</t>
        </is>
      </c>
      <c r="H1794" s="144" t="n">
        <v>1221</v>
      </c>
      <c r="I1794" s="144" t="inlineStr">
        <is>
          <t>COMMERCIAL</t>
        </is>
      </c>
    </row>
    <row r="1795" ht="18" customHeight="1" s="7">
      <c r="A1795" s="144" t="inlineStr">
        <is>
          <t>GEOFFREY MISHKIN</t>
        </is>
      </c>
      <c r="B1795" s="144" t="inlineStr">
        <is>
          <t>NHL19689519 NH</t>
        </is>
      </c>
      <c r="C1795" s="144" t="inlineStr">
        <is>
          <t>REDLINE</t>
        </is>
      </c>
      <c r="D1795" s="144" t="n">
        <v>9784603596</v>
      </c>
      <c r="E1795" s="144" t="inlineStr">
        <is>
          <t>BOX</t>
        </is>
      </c>
      <c r="F1795" s="144" t="inlineStr">
        <is>
          <t>YK1RZ FL</t>
        </is>
      </c>
      <c r="G1795" s="144" t="inlineStr">
        <is>
          <t>BLACK INTERNAT</t>
        </is>
      </c>
      <c r="H1795" s="144" t="inlineStr">
        <is>
          <t>FIRESTATION 1</t>
        </is>
      </c>
      <c r="I1795" s="144" t="inlineStr">
        <is>
          <t>COMMERCIAL</t>
        </is>
      </c>
    </row>
    <row r="1796" ht="18" customHeight="1" s="7">
      <c r="A1796" s="144" t="inlineStr">
        <is>
          <t>JOHN JOHNSON</t>
        </is>
      </c>
      <c r="B1796" s="144" t="inlineStr">
        <is>
          <t>*000007387072 NC</t>
        </is>
      </c>
      <c r="C1796" s="144" t="inlineStr">
        <is>
          <t>APPLE MOVING</t>
        </is>
      </c>
      <c r="D1796" s="144" t="n">
        <v>9108477570</v>
      </c>
      <c r="E1796" s="144" t="inlineStr">
        <is>
          <t>BOX</t>
        </is>
      </c>
      <c r="F1796" s="144" t="inlineStr">
        <is>
          <t>46613 VA</t>
        </is>
      </c>
      <c r="G1796" s="144" t="inlineStr">
        <is>
          <t>WHITE INTERNATIONAL</t>
        </is>
      </c>
      <c r="H1796" s="144" t="inlineStr">
        <is>
          <t>HOUSING</t>
        </is>
      </c>
      <c r="I1796" s="144" t="inlineStr">
        <is>
          <t>COMMERCIAL</t>
        </is>
      </c>
    </row>
    <row r="1797" ht="18" customHeight="1" s="7">
      <c r="A1797" s="144" t="inlineStr">
        <is>
          <t>HOVIK HERABEDIAN</t>
        </is>
      </c>
      <c r="B1797" s="144" t="inlineStr">
        <is>
          <t>F3275581 CA</t>
        </is>
      </c>
      <c r="C1797" s="144" t="inlineStr">
        <is>
          <t>RELIABLE FREIGHT</t>
        </is>
      </c>
      <c r="D1797" s="144" t="n">
        <v>8186816013</v>
      </c>
      <c r="E1797" s="144" t="inlineStr">
        <is>
          <t>BOX</t>
        </is>
      </c>
      <c r="F1797" s="144" t="inlineStr">
        <is>
          <t>YP84134 CA</t>
        </is>
      </c>
      <c r="G1797" s="144" t="inlineStr">
        <is>
          <t>WHITE FREIGHTLINER</t>
        </is>
      </c>
      <c r="H1797" s="144" t="n">
        <v>1221</v>
      </c>
      <c r="I1797" s="144" t="inlineStr">
        <is>
          <t>COMMERCIAL</t>
        </is>
      </c>
    </row>
    <row r="1798" ht="18" customHeight="1" s="7">
      <c r="A1798" s="144" t="inlineStr">
        <is>
          <t>DANIELLE LANDRY</t>
        </is>
      </c>
      <c r="B1798" s="144" t="inlineStr">
        <is>
          <t>44491126 TX</t>
        </is>
      </c>
      <c r="C1798" s="144" t="inlineStr">
        <is>
          <t>J &amp; D TRANSIT</t>
        </is>
      </c>
      <c r="D1798" s="144" t="n">
        <v>8327561938</v>
      </c>
      <c r="E1798" s="144" t="inlineStr">
        <is>
          <t>PU</t>
        </is>
      </c>
      <c r="F1798" s="144" t="inlineStr">
        <is>
          <t>YQA320 GA</t>
        </is>
      </c>
      <c r="G1798" s="144" t="inlineStr">
        <is>
          <t>WHITE DODGE</t>
        </is>
      </c>
      <c r="H1798" s="144" t="n">
        <v>3700</v>
      </c>
      <c r="I1798" s="144" t="inlineStr">
        <is>
          <t>CONTRACTOR</t>
        </is>
      </c>
    </row>
    <row r="1799" ht="18" customHeight="1" s="7">
      <c r="A1799" s="144" t="inlineStr">
        <is>
          <t>MARK SERGEY</t>
        </is>
      </c>
      <c r="B1799" s="144" t="inlineStr">
        <is>
          <t>*059804444 GA</t>
        </is>
      </c>
      <c r="C1799" s="144" t="inlineStr">
        <is>
          <t>SUNRISE LOGISTICS</t>
        </is>
      </c>
      <c r="D1799" s="144" t="n">
        <v>6789952743</v>
      </c>
      <c r="E1799" s="144" t="inlineStr">
        <is>
          <t>BOX</t>
        </is>
      </c>
      <c r="F1799" s="144" t="inlineStr">
        <is>
          <t>XP86309 CA</t>
        </is>
      </c>
      <c r="G1799" s="144" t="inlineStr">
        <is>
          <t>BLACK FREIGHTLINER</t>
        </is>
      </c>
      <c r="H1799" s="144" t="n">
        <v>1221</v>
      </c>
      <c r="I1799" s="144" t="inlineStr">
        <is>
          <t>COMMERCIAL</t>
        </is>
      </c>
    </row>
    <row r="1800" ht="18" customHeight="1" s="7">
      <c r="A1800" s="144" t="inlineStr">
        <is>
          <t>THOMAS DEAN</t>
        </is>
      </c>
      <c r="B1800" s="144" t="inlineStr">
        <is>
          <t>948557415 AR</t>
        </is>
      </c>
      <c r="C1800" s="144" t="inlineStr">
        <is>
          <t>EXTRA TRANSPORT</t>
        </is>
      </c>
      <c r="D1800" s="144" t="n">
        <v>5018048366</v>
      </c>
      <c r="E1800" s="144" t="inlineStr">
        <is>
          <t>BOX</t>
        </is>
      </c>
      <c r="F1800" s="144" t="inlineStr">
        <is>
          <t>P1217353 IL</t>
        </is>
      </c>
      <c r="G1800" s="144" t="inlineStr">
        <is>
          <t>WHITE VOLVO</t>
        </is>
      </c>
      <c r="H1800" s="144" t="n">
        <v>1221</v>
      </c>
      <c r="I1800" s="144" t="inlineStr">
        <is>
          <t>COMMERCIAL</t>
        </is>
      </c>
    </row>
    <row r="1801" ht="18" customHeight="1" s="7">
      <c r="A1801" s="144" t="inlineStr">
        <is>
          <t>TIMOTHY DAVIS</t>
        </is>
      </c>
      <c r="B1801" s="144" t="inlineStr">
        <is>
          <t>T60642070 VA</t>
        </is>
      </c>
      <c r="C1801" s="144" t="inlineStr">
        <is>
          <t>VANWIN</t>
        </is>
      </c>
      <c r="D1801" s="144" t="n">
        <v>7574875080</v>
      </c>
      <c r="E1801" s="144" t="inlineStr">
        <is>
          <t>PU</t>
        </is>
      </c>
      <c r="F1801" s="144" t="inlineStr">
        <is>
          <t>UA71665 VA</t>
        </is>
      </c>
      <c r="G1801" s="144" t="inlineStr">
        <is>
          <t>WHITE FORD</t>
        </is>
      </c>
      <c r="H1801" s="144" t="n">
        <v>5400</v>
      </c>
      <c r="I1801" s="144" t="inlineStr">
        <is>
          <t>CONTRACTOR</t>
        </is>
      </c>
    </row>
    <row r="1802" ht="18" customHeight="1" s="7">
      <c r="A1802" s="144" t="inlineStr">
        <is>
          <t>LEWIS ONEILL</t>
        </is>
      </c>
      <c r="B1802" s="144" t="inlineStr">
        <is>
          <t>T62662331 VA</t>
        </is>
      </c>
      <c r="C1802" s="144" t="inlineStr">
        <is>
          <t>VANWIN</t>
        </is>
      </c>
      <c r="D1802" s="144" t="n">
        <v>7576464535</v>
      </c>
      <c r="E1802" s="144" t="inlineStr">
        <is>
          <t>PU</t>
        </is>
      </c>
      <c r="F1802" s="144" t="inlineStr">
        <is>
          <t>TVG5603 VA</t>
        </is>
      </c>
      <c r="G1802" s="144" t="inlineStr">
        <is>
          <t>GRAY CADILLAC</t>
        </is>
      </c>
      <c r="H1802" s="144" t="n">
        <v>5400</v>
      </c>
      <c r="I1802" s="144" t="inlineStr">
        <is>
          <t>CONTRACTOR</t>
        </is>
      </c>
    </row>
    <row r="1803" ht="18" customHeight="1" s="7">
      <c r="A1803" s="144" t="inlineStr">
        <is>
          <t>STEPHEN GAMBLE</t>
        </is>
      </c>
      <c r="B1803" s="144" t="inlineStr">
        <is>
          <t>9370729200 IN</t>
        </is>
      </c>
      <c r="C1803" s="144" t="inlineStr">
        <is>
          <t>XLG</t>
        </is>
      </c>
      <c r="D1803" s="144" t="n">
        <v>4257734130</v>
      </c>
      <c r="E1803" s="144" t="inlineStr">
        <is>
          <t>FLAT</t>
        </is>
      </c>
      <c r="F1803" s="144" t="inlineStr">
        <is>
          <t>2878846 IN</t>
        </is>
      </c>
      <c r="G1803" s="144" t="inlineStr">
        <is>
          <t>RED PETERBILT</t>
        </is>
      </c>
      <c r="H1803" s="144" t="n">
        <v>1221</v>
      </c>
      <c r="I1803" s="144" t="inlineStr">
        <is>
          <t>COMMERCIAL</t>
        </is>
      </c>
    </row>
    <row r="1804" ht="18" customHeight="1" s="7">
      <c r="A1804" s="144" t="inlineStr">
        <is>
          <t>RAJAHN JOHNSON</t>
        </is>
      </c>
      <c r="B1804" s="144" t="inlineStr">
        <is>
          <t>J525818890060 FL</t>
        </is>
      </c>
      <c r="C1804" s="144" t="inlineStr">
        <is>
          <t>S &amp; S</t>
        </is>
      </c>
      <c r="D1804" s="144" t="n">
        <v>2294388566</v>
      </c>
      <c r="E1804" s="144" t="inlineStr">
        <is>
          <t>DUMP</t>
        </is>
      </c>
      <c r="F1804" s="144" t="inlineStr">
        <is>
          <t>EPM527 GA</t>
        </is>
      </c>
      <c r="G1804" s="144" t="inlineStr">
        <is>
          <t>WHITE FORD</t>
        </is>
      </c>
      <c r="H1804" s="144" t="inlineStr">
        <is>
          <t>BASEWIDE</t>
        </is>
      </c>
      <c r="I1804" s="144" t="inlineStr">
        <is>
          <t>COMMERCIAL</t>
        </is>
      </c>
    </row>
    <row r="1805" ht="18" customHeight="1" s="7">
      <c r="A1805" s="144" t="inlineStr">
        <is>
          <t>AMRITPAL SINGH</t>
        </is>
      </c>
      <c r="B1805" s="144" t="inlineStr">
        <is>
          <t>W8727764 CA</t>
        </is>
      </c>
      <c r="C1805" s="144" t="inlineStr">
        <is>
          <t>BHULLAR FREIGHT</t>
        </is>
      </c>
      <c r="D1805" s="144" t="n">
        <v>2096002386</v>
      </c>
      <c r="E1805" s="144" t="inlineStr">
        <is>
          <t>BOX</t>
        </is>
      </c>
      <c r="F1805" s="144" t="inlineStr">
        <is>
          <t>ZP40722 CA</t>
        </is>
      </c>
      <c r="G1805" s="144" t="inlineStr">
        <is>
          <t>GRAY FREIGHT</t>
        </is>
      </c>
      <c r="H1805" s="144" t="n">
        <v>1221</v>
      </c>
      <c r="I1805" s="144" t="inlineStr">
        <is>
          <t>COMMERCIAL</t>
        </is>
      </c>
    </row>
    <row r="1806" ht="18" customHeight="1" s="7">
      <c r="A1806" s="144" t="inlineStr">
        <is>
          <t>TIMOTHY GREEN</t>
        </is>
      </c>
      <c r="B1806" s="144" t="inlineStr">
        <is>
          <t>G359807500000 FL</t>
        </is>
      </c>
      <c r="C1806" s="144" t="inlineStr">
        <is>
          <t>AGI TRUCKING</t>
        </is>
      </c>
      <c r="D1806" s="144" t="n">
        <v>8132975591</v>
      </c>
      <c r="E1806" s="144" t="inlineStr">
        <is>
          <t>BOX</t>
        </is>
      </c>
      <c r="F1806" s="144" t="inlineStr">
        <is>
          <t>1186668 IL</t>
        </is>
      </c>
      <c r="G1806" s="144" t="inlineStr">
        <is>
          <t>GRAY FREIGHT</t>
        </is>
      </c>
      <c r="H1806" s="144" t="n">
        <v>1221</v>
      </c>
      <c r="I1806" s="144" t="inlineStr">
        <is>
          <t>COMMERCIAL</t>
        </is>
      </c>
    </row>
    <row r="1807" ht="18" customHeight="1" s="7">
      <c r="A1807" s="144" t="inlineStr">
        <is>
          <t>EVGENII IVASCHENKO</t>
        </is>
      </c>
      <c r="B1807" s="144" t="inlineStr">
        <is>
          <t>Y6305906 CA</t>
        </is>
      </c>
      <c r="C1807" s="144" t="inlineStr">
        <is>
          <t>SUNRISE LOGISTICS</t>
        </is>
      </c>
      <c r="D1807" s="144" t="n">
        <v>9169903863</v>
      </c>
      <c r="E1807" s="144" t="inlineStr">
        <is>
          <t>BOX</t>
        </is>
      </c>
      <c r="F1807" s="144" t="inlineStr">
        <is>
          <t>ZP26660 CA</t>
        </is>
      </c>
      <c r="G1807" s="144" t="inlineStr">
        <is>
          <t>WHITE VOLVO</t>
        </is>
      </c>
      <c r="H1807" s="144" t="n">
        <v>1221</v>
      </c>
      <c r="I1807" s="144" t="inlineStr">
        <is>
          <t>COMMERCIAL</t>
        </is>
      </c>
    </row>
    <row r="1808" ht="18" customHeight="1" s="7">
      <c r="A1808" s="144" t="inlineStr">
        <is>
          <t>JOHN DAISE</t>
        </is>
      </c>
      <c r="B1808" s="144" t="inlineStr">
        <is>
          <t>106475868 SC</t>
        </is>
      </c>
      <c r="C1808" s="144" t="inlineStr">
        <is>
          <t>HEAVY HAUL</t>
        </is>
      </c>
      <c r="D1808" s="144" t="n">
        <v>3478814947</v>
      </c>
      <c r="E1808" s="144" t="inlineStr">
        <is>
          <t>FLAT</t>
        </is>
      </c>
      <c r="F1808" s="144" t="inlineStr">
        <is>
          <t>P781677 SC</t>
        </is>
      </c>
      <c r="G1808" s="144" t="inlineStr">
        <is>
          <t>BROWN PETERBILT</t>
        </is>
      </c>
      <c r="H1808" s="144" t="n">
        <v>1221</v>
      </c>
      <c r="I1808" s="144" t="inlineStr">
        <is>
          <t>COMMERCIAL</t>
        </is>
      </c>
    </row>
    <row r="1809" ht="18" customHeight="1" s="7">
      <c r="A1809" s="144" t="inlineStr">
        <is>
          <t>PATRICK EVANS</t>
        </is>
      </c>
      <c r="B1809" s="144" t="inlineStr">
        <is>
          <t>*071013516 GA</t>
        </is>
      </c>
      <c r="C1809" s="144" t="inlineStr">
        <is>
          <t>FEDEX</t>
        </is>
      </c>
      <c r="D1809" s="144" t="n">
        <v>2297337295</v>
      </c>
      <c r="E1809" s="144" t="inlineStr">
        <is>
          <t>BOX</t>
        </is>
      </c>
      <c r="F1809" s="144" t="inlineStr">
        <is>
          <t>YAA289 GA</t>
        </is>
      </c>
      <c r="G1809" s="144" t="inlineStr">
        <is>
          <t>WHITE FREIGHTLINER</t>
        </is>
      </c>
      <c r="H1809" s="144" t="inlineStr">
        <is>
          <t>BASEWIDE</t>
        </is>
      </c>
      <c r="I1809" s="144" t="inlineStr">
        <is>
          <t>COMMERCIAL</t>
        </is>
      </c>
    </row>
    <row r="1810" ht="18" customHeight="1" s="7">
      <c r="A1810" s="144" t="inlineStr">
        <is>
          <t>BARRY KNIGHT</t>
        </is>
      </c>
      <c r="B1810" s="144" t="inlineStr">
        <is>
          <t>*052069287 GA</t>
        </is>
      </c>
      <c r="C1810" s="144" t="inlineStr">
        <is>
          <t>FEDEX</t>
        </is>
      </c>
      <c r="D1810" s="144" t="n">
        <v>2293959437</v>
      </c>
      <c r="E1810" s="144" t="inlineStr">
        <is>
          <t>BOX</t>
        </is>
      </c>
      <c r="F1810" s="144" t="inlineStr">
        <is>
          <t>3745957 IN</t>
        </is>
      </c>
      <c r="G1810" s="144" t="inlineStr">
        <is>
          <t>WHITE FREIGHTLINER</t>
        </is>
      </c>
      <c r="H1810" s="144" t="inlineStr">
        <is>
          <t>BASEWIDE</t>
        </is>
      </c>
      <c r="I1810" s="144" t="inlineStr">
        <is>
          <t>COMMERCIAL</t>
        </is>
      </c>
    </row>
    <row r="1811" ht="18" customHeight="1" s="7">
      <c r="A1811" s="144" t="inlineStr">
        <is>
          <t>JAMES THOMPSON</t>
        </is>
      </c>
      <c r="B1811" s="144" t="inlineStr">
        <is>
          <t>*054289221 GA</t>
        </is>
      </c>
      <c r="C1811" s="144" t="inlineStr">
        <is>
          <t>OVERHEAD DOOR</t>
        </is>
      </c>
      <c r="D1811" s="144" t="n">
        <v>2294961414</v>
      </c>
      <c r="E1811" s="144" t="inlineStr">
        <is>
          <t>PU</t>
        </is>
      </c>
      <c r="F1811" s="144" t="inlineStr">
        <is>
          <t>TFZ8345 GA</t>
        </is>
      </c>
      <c r="G1811" s="144" t="inlineStr">
        <is>
          <t>WHITE DODGE</t>
        </is>
      </c>
      <c r="H1811" s="144" t="n">
        <v>5500</v>
      </c>
      <c r="I1811" s="144" t="inlineStr">
        <is>
          <t>CONTRACTOR</t>
        </is>
      </c>
    </row>
    <row r="1812" ht="18" customHeight="1" s="7">
      <c r="A1812" s="144" t="inlineStr">
        <is>
          <t>VLADIMIR DAUROV</t>
        </is>
      </c>
      <c r="B1812" s="144" t="inlineStr">
        <is>
          <t>Y8007069 CA</t>
        </is>
      </c>
      <c r="C1812" s="144" t="inlineStr">
        <is>
          <t>INTEX LOGISTICS</t>
        </is>
      </c>
      <c r="D1812" s="144" t="n">
        <v>9712753322</v>
      </c>
      <c r="E1812" s="144" t="inlineStr">
        <is>
          <t>BOX</t>
        </is>
      </c>
      <c r="F1812" s="144" t="inlineStr">
        <is>
          <t>LKF833 AK</t>
        </is>
      </c>
      <c r="G1812" s="144" t="inlineStr">
        <is>
          <t>BLACK VOLVO</t>
        </is>
      </c>
      <c r="H1812" s="144" t="n">
        <v>1221</v>
      </c>
      <c r="I1812" s="144" t="inlineStr">
        <is>
          <t>COMMERCIAL</t>
        </is>
      </c>
    </row>
    <row r="1813" ht="18" customHeight="1" s="7">
      <c r="A1813" s="144" t="inlineStr">
        <is>
          <t>TRAVIOUS SUTTON</t>
        </is>
      </c>
      <c r="B1813" s="144" t="inlineStr">
        <is>
          <t>056884999 GA</t>
        </is>
      </c>
      <c r="C1813" s="144" t="inlineStr">
        <is>
          <t>WHEELS ON TIME</t>
        </is>
      </c>
      <c r="D1813" s="144" t="n">
        <v>4705268777</v>
      </c>
      <c r="E1813" s="144" t="inlineStr">
        <is>
          <t>BOX</t>
        </is>
      </c>
      <c r="F1813" s="144" t="inlineStr">
        <is>
          <t>ZHY033 GA</t>
        </is>
      </c>
      <c r="G1813" s="144" t="inlineStr">
        <is>
          <t>WHT FORD</t>
        </is>
      </c>
      <c r="H1813" s="144" t="n">
        <v>1351</v>
      </c>
      <c r="I1813" s="144" t="inlineStr">
        <is>
          <t>COMMERCIAL</t>
        </is>
      </c>
    </row>
    <row r="1814" ht="18" customHeight="1" s="7">
      <c r="A1814" s="144" t="inlineStr">
        <is>
          <t>STEVEN BABB</t>
        </is>
      </c>
      <c r="B1814" s="144" t="inlineStr">
        <is>
          <t>*051274884 GA</t>
        </is>
      </c>
      <c r="C1814" s="144" t="inlineStr">
        <is>
          <t>PERRY BROTHERS</t>
        </is>
      </c>
      <c r="D1814" s="144" t="n">
        <v>2299240306</v>
      </c>
      <c r="E1814" s="144" t="inlineStr">
        <is>
          <t>BOX</t>
        </is>
      </c>
      <c r="F1814" s="144" t="inlineStr">
        <is>
          <t>GIU691 GA</t>
        </is>
      </c>
      <c r="G1814" s="144" t="inlineStr">
        <is>
          <t>GRAY PETERBILT</t>
        </is>
      </c>
      <c r="H1814" s="144" t="n">
        <v>2200</v>
      </c>
      <c r="I1814" s="144" t="inlineStr">
        <is>
          <t>COMMERCIAL</t>
        </is>
      </c>
    </row>
    <row r="1815" ht="18" customHeight="1" s="7">
      <c r="A1815" s="144" t="inlineStr">
        <is>
          <t>SAMVEL SAFARYAN</t>
        </is>
      </c>
      <c r="B1815" s="144" t="inlineStr">
        <is>
          <t>B9543521 CA</t>
        </is>
      </c>
      <c r="C1815" s="144" t="inlineStr">
        <is>
          <t>ON TRACK</t>
        </is>
      </c>
      <c r="D1815" s="144" t="n">
        <v>8185229728</v>
      </c>
      <c r="E1815" s="144" t="inlineStr">
        <is>
          <t>BOX</t>
        </is>
      </c>
      <c r="F1815" s="144" t="inlineStr">
        <is>
          <t>YP26315 CA</t>
        </is>
      </c>
      <c r="G1815" s="144" t="inlineStr">
        <is>
          <t>BLACK KENWORTH</t>
        </is>
      </c>
      <c r="H1815" s="144" t="n">
        <v>1221</v>
      </c>
      <c r="I1815" s="144" t="inlineStr">
        <is>
          <t>COMMERCIAL</t>
        </is>
      </c>
    </row>
    <row r="1816" ht="18" customHeight="1" s="7">
      <c r="A1816" s="144" t="inlineStr">
        <is>
          <t>MONTREVIL ROSEMOND</t>
        </is>
      </c>
      <c r="B1816" s="144" t="inlineStr">
        <is>
          <t>M536720793090 FL</t>
        </is>
      </c>
      <c r="C1816" s="144" t="inlineStr">
        <is>
          <t>HOPE TRANS</t>
        </is>
      </c>
      <c r="D1816" s="144" t="n">
        <v>7542447332</v>
      </c>
      <c r="E1816" s="144" t="inlineStr">
        <is>
          <t>BOX</t>
        </is>
      </c>
      <c r="F1816" s="144" t="inlineStr">
        <is>
          <t>PXZ9928 OH</t>
        </is>
      </c>
      <c r="G1816" s="144" t="inlineStr">
        <is>
          <t>WHITE FREIGHTLINER</t>
        </is>
      </c>
      <c r="H1816" s="144" t="n">
        <v>1221</v>
      </c>
      <c r="I1816" s="144" t="inlineStr">
        <is>
          <t>COMMERCIAL</t>
        </is>
      </c>
    </row>
    <row r="1817" ht="18" customHeight="1" s="7">
      <c r="A1817" s="144" t="inlineStr">
        <is>
          <t>TIMOTHY BROCKINGTON</t>
        </is>
      </c>
      <c r="B1817" s="144" t="inlineStr">
        <is>
          <t>B625816880550 FL</t>
        </is>
      </c>
      <c r="C1817" s="144" t="inlineStr">
        <is>
          <t>DOUBLED EXPRESS</t>
        </is>
      </c>
      <c r="D1817" s="144" t="n">
        <v>904406866</v>
      </c>
      <c r="E1817" s="144" t="inlineStr">
        <is>
          <t>FLAT</t>
        </is>
      </c>
      <c r="F1817" s="144" t="inlineStr">
        <is>
          <t>S9804HY TN</t>
        </is>
      </c>
      <c r="G1817" s="144" t="inlineStr">
        <is>
          <t>BROWN PETERBILT</t>
        </is>
      </c>
      <c r="H1817" s="144" t="n">
        <v>1221</v>
      </c>
      <c r="I1817" s="144" t="inlineStr">
        <is>
          <t>COMMERCIAL</t>
        </is>
      </c>
    </row>
    <row r="1818" ht="18" customHeight="1" s="7">
      <c r="A1818" s="144" t="inlineStr">
        <is>
          <t>JOVON SPENCER</t>
        </is>
      </c>
      <c r="B1818" s="144" t="inlineStr">
        <is>
          <t>*057933024 GA</t>
        </is>
      </c>
      <c r="C1818" s="144" t="inlineStr">
        <is>
          <t>FEDEX</t>
        </is>
      </c>
      <c r="D1818" s="144" t="n">
        <v>2298094775</v>
      </c>
      <c r="E1818" s="144" t="inlineStr">
        <is>
          <t>VAN</t>
        </is>
      </c>
      <c r="F1818" s="144" t="inlineStr">
        <is>
          <t>GVWW36 FL</t>
        </is>
      </c>
      <c r="G1818" s="144" t="inlineStr">
        <is>
          <t>WHITE DODGE</t>
        </is>
      </c>
      <c r="H1818" s="144" t="n">
        <v>1221</v>
      </c>
      <c r="I1818" s="144" t="inlineStr">
        <is>
          <t>CONTRACTOR</t>
        </is>
      </c>
    </row>
    <row r="1819" ht="18" customHeight="1" s="7">
      <c r="A1819" s="144" t="inlineStr">
        <is>
          <t>ALEXANDER VOLKOV</t>
        </is>
      </c>
      <c r="B1819" s="144" t="inlineStr">
        <is>
          <t>V421000510290 FL</t>
        </is>
      </c>
      <c r="C1819" s="144" t="inlineStr">
        <is>
          <t>SUNRISE LOGISTICS</t>
        </is>
      </c>
      <c r="D1819" s="144" t="n">
        <v>9166426425</v>
      </c>
      <c r="E1819" s="144" t="inlineStr">
        <is>
          <t>BOX</t>
        </is>
      </c>
      <c r="F1819" s="144" t="inlineStr">
        <is>
          <t>YP98423 CA</t>
        </is>
      </c>
      <c r="G1819" s="144" t="inlineStr">
        <is>
          <t>WHITE VOLVO</t>
        </is>
      </c>
      <c r="H1819" s="144" t="n">
        <v>1221</v>
      </c>
      <c r="I1819" s="144" t="inlineStr">
        <is>
          <t>COMMERCIAL</t>
        </is>
      </c>
    </row>
    <row r="1820" ht="18" customHeight="1" s="7">
      <c r="A1820" s="144" t="inlineStr">
        <is>
          <t>JOSE TORRES</t>
        </is>
      </c>
      <c r="B1820" s="144" t="inlineStr">
        <is>
          <t>T631527875000 FL</t>
        </is>
      </c>
      <c r="C1820" s="144" t="inlineStr">
        <is>
          <t>MERCURY FREIGHT</t>
        </is>
      </c>
      <c r="D1820" s="144" t="n">
        <v>7329916639</v>
      </c>
      <c r="E1820" s="144" t="inlineStr">
        <is>
          <t>FLAT</t>
        </is>
      </c>
      <c r="F1820" s="144" t="inlineStr">
        <is>
          <t>3751336 IN</t>
        </is>
      </c>
      <c r="G1820" s="144" t="inlineStr">
        <is>
          <t>BLACK KENWORTH</t>
        </is>
      </c>
      <c r="H1820" s="144" t="n">
        <v>1221</v>
      </c>
      <c r="I1820" s="144" t="inlineStr">
        <is>
          <t>COMMERCIAL</t>
        </is>
      </c>
    </row>
    <row r="1821" ht="18" customHeight="1" s="7">
      <c r="A1821" s="144" t="inlineStr">
        <is>
          <t>RODNEY ELLIS</t>
        </is>
      </c>
      <c r="B1821" s="144" t="inlineStr">
        <is>
          <t>*053538414 GA</t>
        </is>
      </c>
      <c r="C1821" s="144" t="inlineStr">
        <is>
          <t>UNITED RENTALS</t>
        </is>
      </c>
      <c r="D1821" s="144" t="n">
        <v>2293642848</v>
      </c>
      <c r="E1821" s="144" t="inlineStr">
        <is>
          <t>FLAT</t>
        </is>
      </c>
      <c r="F1821" s="144" t="inlineStr">
        <is>
          <t>3534723 IN</t>
        </is>
      </c>
      <c r="G1821" s="144" t="inlineStr">
        <is>
          <t>WHITE FREIGHTLINER</t>
        </is>
      </c>
      <c r="H1821" s="144" t="n">
        <v>1221</v>
      </c>
      <c r="I1821" s="144" t="inlineStr">
        <is>
          <t>COMMERCIAL</t>
        </is>
      </c>
    </row>
    <row r="1822" ht="18" customHeight="1" s="7">
      <c r="A1822" s="144" t="inlineStr">
        <is>
          <t>JASON KRUSE</t>
        </is>
      </c>
      <c r="B1822" s="144" t="inlineStr">
        <is>
          <t>K6204306900703 WI</t>
        </is>
      </c>
      <c r="C1822" s="144" t="inlineStr">
        <is>
          <t>LANDSTAR</t>
        </is>
      </c>
      <c r="D1822" s="144" t="n">
        <v>5636762197</v>
      </c>
      <c r="E1822" s="144" t="inlineStr">
        <is>
          <t>BOX</t>
        </is>
      </c>
      <c r="F1822" s="144" t="inlineStr">
        <is>
          <t>3110104 IN</t>
        </is>
      </c>
      <c r="G1822" s="144" t="inlineStr">
        <is>
          <t>WHITE FREIGHTLINER</t>
        </is>
      </c>
      <c r="H1822" s="144" t="n">
        <v>1221</v>
      </c>
      <c r="I1822" s="144" t="inlineStr">
        <is>
          <t>COMMERICAL</t>
        </is>
      </c>
    </row>
    <row r="1823" ht="18" customHeight="1" s="7">
      <c r="A1823" s="144" t="inlineStr">
        <is>
          <t>MARK FOLWELL</t>
        </is>
      </c>
      <c r="B1823" s="144" t="inlineStr">
        <is>
          <t>F440544763380 FL</t>
        </is>
      </c>
      <c r="C1823" s="144" t="inlineStr">
        <is>
          <t>FAP FREIGHT</t>
        </is>
      </c>
      <c r="D1823" s="144" t="n">
        <v>7089312292</v>
      </c>
      <c r="E1823" s="144" t="inlineStr">
        <is>
          <t>FLAT</t>
        </is>
      </c>
      <c r="F1823" s="144" t="inlineStr">
        <is>
          <t>P1153419 IL</t>
        </is>
      </c>
      <c r="G1823" s="144" t="inlineStr">
        <is>
          <t>BLUE VOLVO</t>
        </is>
      </c>
      <c r="H1823" s="144" t="n">
        <v>1221</v>
      </c>
      <c r="I1823" s="144" t="inlineStr">
        <is>
          <t>COMMERICAL</t>
        </is>
      </c>
    </row>
    <row r="1824" ht="18" customHeight="1" s="7">
      <c r="A1824" s="144" t="inlineStr">
        <is>
          <t>LIGE GORDON</t>
        </is>
      </c>
      <c r="B1824" s="144" t="inlineStr">
        <is>
          <t>049454564 GA</t>
        </is>
      </c>
      <c r="C1824" s="144" t="inlineStr">
        <is>
          <t>ACE TECH</t>
        </is>
      </c>
      <c r="D1824" s="144" t="n">
        <v>2292446412</v>
      </c>
      <c r="E1824" s="144" t="inlineStr">
        <is>
          <t>PU</t>
        </is>
      </c>
      <c r="F1824" s="144" t="inlineStr">
        <is>
          <t>CFK6980 GA</t>
        </is>
      </c>
      <c r="G1824" s="144" t="inlineStr">
        <is>
          <t>RED FORD</t>
        </is>
      </c>
      <c r="H1824" s="144" t="inlineStr">
        <is>
          <t>BASEWIDE</t>
        </is>
      </c>
      <c r="I1824" s="144" t="inlineStr">
        <is>
          <t>CONTRACTOR</t>
        </is>
      </c>
    </row>
    <row r="1825" ht="18" customHeight="1" s="7">
      <c r="A1825" s="144" t="inlineStr">
        <is>
          <t>DONAVAS THOMAS</t>
        </is>
      </c>
      <c r="B1825" s="144" t="inlineStr">
        <is>
          <t>049227417GA</t>
        </is>
      </c>
      <c r="C1825" s="144" t="inlineStr">
        <is>
          <t>FRITO LAYS</t>
        </is>
      </c>
      <c r="D1825" s="144" t="n">
        <v>2292724849</v>
      </c>
      <c r="E1825" s="144" t="inlineStr">
        <is>
          <t>BOX</t>
        </is>
      </c>
      <c r="F1825" s="144" t="inlineStr">
        <is>
          <t>YEE313 GA</t>
        </is>
      </c>
      <c r="G1825" s="144" t="inlineStr">
        <is>
          <t>WHITE FREIGHTLINER</t>
        </is>
      </c>
      <c r="H1825" s="144" t="n">
        <v>7500</v>
      </c>
      <c r="I1825" s="144" t="inlineStr">
        <is>
          <t>CONTRACTOR</t>
        </is>
      </c>
    </row>
    <row r="1826" ht="18" customHeight="1" s="7">
      <c r="A1826" s="144" t="inlineStr">
        <is>
          <t>MARK BARTON</t>
        </is>
      </c>
      <c r="B1826" s="144" t="inlineStr">
        <is>
          <t>*049041847 GA</t>
        </is>
      </c>
      <c r="C1826" s="144" t="inlineStr">
        <is>
          <t>ACE TECH</t>
        </is>
      </c>
      <c r="D1826" s="144" t="n">
        <v>2292446412</v>
      </c>
      <c r="E1826" s="144" t="inlineStr">
        <is>
          <t>PU</t>
        </is>
      </c>
      <c r="F1826" s="144" t="inlineStr">
        <is>
          <t>DAT4680 GA</t>
        </is>
      </c>
      <c r="G1826" s="144" t="inlineStr">
        <is>
          <t>RED FORD</t>
        </is>
      </c>
      <c r="H1826" s="144" t="inlineStr">
        <is>
          <t>BASEWIDE</t>
        </is>
      </c>
      <c r="I1826" s="144" t="inlineStr">
        <is>
          <t>CONTRACTOR</t>
        </is>
      </c>
    </row>
    <row r="1827" ht="18" customHeight="1" s="7">
      <c r="A1827" s="144" t="inlineStr">
        <is>
          <t>NICHOLAS BRUNER</t>
        </is>
      </c>
      <c r="B1827" s="144" t="inlineStr">
        <is>
          <t>057163638 GA</t>
        </is>
      </c>
      <c r="C1827" s="144" t="inlineStr">
        <is>
          <t>RHC</t>
        </is>
      </c>
      <c r="D1827" s="144" t="n">
        <v>2294353500</v>
      </c>
      <c r="E1827" s="144" t="inlineStr">
        <is>
          <t>PU</t>
        </is>
      </c>
      <c r="F1827" s="144" t="inlineStr">
        <is>
          <t>SIC095 GA</t>
        </is>
      </c>
      <c r="G1827" s="144" t="inlineStr">
        <is>
          <t>GRAY FORD</t>
        </is>
      </c>
      <c r="H1827" s="144" t="inlineStr">
        <is>
          <t>BASEWIDE</t>
        </is>
      </c>
      <c r="I1827" s="144" t="inlineStr">
        <is>
          <t>CONTRACTOR</t>
        </is>
      </c>
    </row>
    <row r="1828" ht="18" customHeight="1" s="7">
      <c r="A1828" s="144" t="inlineStr">
        <is>
          <t>JOEL TORRES</t>
        </is>
      </c>
      <c r="B1828" s="144" t="inlineStr">
        <is>
          <t>T625434791300 FL</t>
        </is>
      </c>
      <c r="C1828" s="144" t="inlineStr">
        <is>
          <t>AIP TRUCKING</t>
        </is>
      </c>
      <c r="D1828" s="144" t="n">
        <v>7879498080</v>
      </c>
      <c r="E1828" s="144" t="inlineStr">
        <is>
          <t>FLAT</t>
        </is>
      </c>
      <c r="F1828" s="144" t="inlineStr">
        <is>
          <t>XC468B FL</t>
        </is>
      </c>
      <c r="G1828" s="144" t="inlineStr">
        <is>
          <t>WHITE FREIGHTLINER</t>
        </is>
      </c>
      <c r="H1828" s="144" t="n">
        <v>1221</v>
      </c>
      <c r="I1828" s="144" t="inlineStr">
        <is>
          <t>COMMERICAL</t>
        </is>
      </c>
    </row>
    <row r="1829" ht="18" customHeight="1" s="7">
      <c r="A1829" s="144" t="inlineStr">
        <is>
          <t>ANDRIC GORAN</t>
        </is>
      </c>
      <c r="B1829" s="144" t="inlineStr">
        <is>
          <t>A53628086166 IL</t>
        </is>
      </c>
      <c r="C1829" s="144" t="inlineStr">
        <is>
          <t>LURDA INC</t>
        </is>
      </c>
      <c r="D1829" s="144" t="n">
        <v>7085145848</v>
      </c>
      <c r="E1829" s="144" t="inlineStr">
        <is>
          <t>BOX</t>
        </is>
      </c>
      <c r="F1829" s="144" t="inlineStr">
        <is>
          <t>P1245501 IL</t>
        </is>
      </c>
      <c r="G1829" s="144" t="inlineStr">
        <is>
          <t>WHITE FREIGHTLINER</t>
        </is>
      </c>
      <c r="H1829" s="144" t="n">
        <v>1221</v>
      </c>
      <c r="I1829" s="144" t="inlineStr">
        <is>
          <t>COMMERICAL</t>
        </is>
      </c>
    </row>
    <row r="1830" ht="18" customHeight="1" s="7">
      <c r="A1830" s="144" t="inlineStr">
        <is>
          <t>JAMES COULTER</t>
        </is>
      </c>
      <c r="B1830" s="144" t="inlineStr">
        <is>
          <t>093464656 TN</t>
        </is>
      </c>
      <c r="C1830" s="144" t="inlineStr">
        <is>
          <t>UPSHIFT</t>
        </is>
      </c>
      <c r="D1830" s="144" t="n">
        <v>61568022</v>
      </c>
      <c r="E1830" s="144" t="inlineStr">
        <is>
          <t>BOX</t>
        </is>
      </c>
      <c r="F1830" s="144" t="inlineStr">
        <is>
          <t>H0752HY TN</t>
        </is>
      </c>
      <c r="G1830" s="144" t="inlineStr">
        <is>
          <t>WHITE FREIGHTLINER</t>
        </is>
      </c>
      <c r="H1830" s="144" t="n">
        <v>1221</v>
      </c>
      <c r="I1830" s="144" t="inlineStr">
        <is>
          <t>COMMERICAL</t>
        </is>
      </c>
    </row>
    <row r="1831" ht="18" customHeight="1" s="7">
      <c r="A1831" s="144" t="inlineStr">
        <is>
          <t>MUHAMMAD HOLMES</t>
        </is>
      </c>
      <c r="B1831" s="144" t="inlineStr">
        <is>
          <t>*050937809 GA</t>
        </is>
      </c>
      <c r="C1831" s="144" t="inlineStr">
        <is>
          <t>MAG CARRIERS</t>
        </is>
      </c>
      <c r="D1831" s="144" t="n">
        <v>7065514303</v>
      </c>
      <c r="E1831" s="144" t="inlineStr">
        <is>
          <t>BOX</t>
        </is>
      </c>
      <c r="F1831" s="144" t="inlineStr">
        <is>
          <t>C202CX GA</t>
        </is>
      </c>
      <c r="G1831" s="144" t="inlineStr">
        <is>
          <t>WHITE FREIGHTLINER</t>
        </is>
      </c>
      <c r="H1831" s="144" t="n">
        <v>1221</v>
      </c>
      <c r="I1831" s="144" t="inlineStr">
        <is>
          <t>COMMERICAL</t>
        </is>
      </c>
    </row>
    <row r="1832" ht="18" customHeight="1" s="7">
      <c r="A1832" s="144" t="inlineStr">
        <is>
          <t xml:space="preserve">LOUIS JOSHUA </t>
        </is>
      </c>
      <c r="B1832" s="144" t="inlineStr">
        <is>
          <t>L200431971690 FL</t>
        </is>
      </c>
      <c r="C1832" s="144" t="inlineStr">
        <is>
          <t>POINT X</t>
        </is>
      </c>
      <c r="D1832" s="144" t="n">
        <v>3213758082</v>
      </c>
      <c r="E1832" s="144" t="inlineStr">
        <is>
          <t>BOX</t>
        </is>
      </c>
      <c r="F1832" s="144" t="inlineStr">
        <is>
          <t>P1293486 IL</t>
        </is>
      </c>
      <c r="G1832" s="144" t="inlineStr">
        <is>
          <t>RED VOLVO</t>
        </is>
      </c>
      <c r="H1832" s="144" t="n">
        <v>1221</v>
      </c>
      <c r="I1832" s="144" t="inlineStr">
        <is>
          <t>COMMERCIAL</t>
        </is>
      </c>
    </row>
    <row r="1833" ht="18" customHeight="1" s="7">
      <c r="A1833" s="144" t="inlineStr">
        <is>
          <t>HOWARD SUMMERELL</t>
        </is>
      </c>
      <c r="B1833" s="144" t="inlineStr">
        <is>
          <t>*053796461 GA</t>
        </is>
      </c>
      <c r="C1833" s="144" t="inlineStr">
        <is>
          <t>ADVANCE SPRINKLER</t>
        </is>
      </c>
      <c r="D1833" s="144" t="n">
        <v>2298860242</v>
      </c>
      <c r="E1833" s="144" t="inlineStr">
        <is>
          <t>PU</t>
        </is>
      </c>
      <c r="F1833" s="144" t="inlineStr">
        <is>
          <t>RGQ8375 GA</t>
        </is>
      </c>
      <c r="G1833" s="144" t="inlineStr">
        <is>
          <t>GRAY TOT</t>
        </is>
      </c>
      <c r="H1833" s="144" t="n">
        <v>2267</v>
      </c>
      <c r="I1833" s="144" t="inlineStr">
        <is>
          <t>CONTRACTOR</t>
        </is>
      </c>
    </row>
    <row r="1834" ht="18" customHeight="1" s="7">
      <c r="A1834" s="144" t="inlineStr">
        <is>
          <t>CRENNAN ZACHARY</t>
        </is>
      </c>
      <c r="B1834" s="144" t="inlineStr">
        <is>
          <t>B084167011 MO</t>
        </is>
      </c>
      <c r="C1834" s="144" t="inlineStr">
        <is>
          <t>BASIN TRANS</t>
        </is>
      </c>
      <c r="D1834" s="144" t="n">
        <v>4175972836</v>
      </c>
      <c r="E1834" s="144" t="inlineStr">
        <is>
          <t>BOX</t>
        </is>
      </c>
      <c r="F1834" s="144" t="inlineStr">
        <is>
          <t>3LV808 0K</t>
        </is>
      </c>
      <c r="G1834" s="144" t="inlineStr">
        <is>
          <t>BLACK KENWORTH</t>
        </is>
      </c>
      <c r="H1834" s="144" t="n">
        <v>1221</v>
      </c>
      <c r="I1834" s="144" t="inlineStr">
        <is>
          <t>COMMERCIAL</t>
        </is>
      </c>
    </row>
    <row r="1835" ht="18" customHeight="1" s="7">
      <c r="A1835" s="144" t="inlineStr">
        <is>
          <t>KEITH TORBERT</t>
        </is>
      </c>
      <c r="B1835" s="144" t="inlineStr">
        <is>
          <t>*053073434 GA</t>
        </is>
      </c>
      <c r="C1835" s="144" t="inlineStr">
        <is>
          <t>MAG CARRIERS</t>
        </is>
      </c>
      <c r="D1835" s="144" t="n">
        <v>6784780173</v>
      </c>
      <c r="E1835" s="144" t="inlineStr">
        <is>
          <t>BOX</t>
        </is>
      </c>
      <c r="F1835" s="144" t="inlineStr">
        <is>
          <t>C832EG GA</t>
        </is>
      </c>
      <c r="G1835" s="144" t="inlineStr">
        <is>
          <t>RED INTER</t>
        </is>
      </c>
      <c r="H1835" s="144" t="n">
        <v>1221</v>
      </c>
      <c r="I1835" s="144" t="inlineStr">
        <is>
          <t>COMMERCIAL</t>
        </is>
      </c>
    </row>
    <row r="1836" ht="18" customHeight="1" s="7">
      <c r="A1836" s="144" t="inlineStr">
        <is>
          <t>GOURAV NFN</t>
        </is>
      </c>
      <c r="B1836" s="144" t="inlineStr">
        <is>
          <t>853052812 NY</t>
        </is>
      </c>
      <c r="C1836" s="144" t="inlineStr">
        <is>
          <t>STI CARGO</t>
        </is>
      </c>
      <c r="D1836" s="144" t="n">
        <v>7655597965</v>
      </c>
      <c r="E1836" s="144" t="inlineStr">
        <is>
          <t>BOX</t>
        </is>
      </c>
      <c r="F1836" s="144" t="inlineStr">
        <is>
          <t>YP79066 CA</t>
        </is>
      </c>
      <c r="G1836" s="144" t="inlineStr">
        <is>
          <t>RED FREIGHTLINER</t>
        </is>
      </c>
      <c r="H1836" s="144" t="n">
        <v>1221</v>
      </c>
      <c r="I1836" s="144" t="inlineStr">
        <is>
          <t>COMMERCIAL</t>
        </is>
      </c>
    </row>
    <row r="1837" ht="18" customHeight="1" s="7">
      <c r="A1837" s="144" t="inlineStr">
        <is>
          <t>HOOVER CLINT</t>
        </is>
      </c>
      <c r="B1837" s="144" t="inlineStr">
        <is>
          <t>31756734 PA</t>
        </is>
      </c>
      <c r="C1837" s="144" t="inlineStr">
        <is>
          <t>ROLLIN TRANS</t>
        </is>
      </c>
      <c r="D1837" s="144" t="n">
        <v>7178442918</v>
      </c>
      <c r="E1837" s="144" t="inlineStr">
        <is>
          <t>FLAT</t>
        </is>
      </c>
      <c r="F1837" s="144" t="inlineStr">
        <is>
          <t>AH53800 PA</t>
        </is>
      </c>
      <c r="G1837" s="144" t="inlineStr">
        <is>
          <t>BLUE PETERBILT</t>
        </is>
      </c>
      <c r="H1837" s="144" t="n">
        <v>1221</v>
      </c>
      <c r="I1837" s="144" t="inlineStr">
        <is>
          <t>COMMERCIAL</t>
        </is>
      </c>
    </row>
    <row r="1838" ht="18" customHeight="1" s="7">
      <c r="A1838" s="144" t="inlineStr">
        <is>
          <t>WILLIAMS XAVIER</t>
        </is>
      </c>
      <c r="B1838" s="144" t="inlineStr">
        <is>
          <t>27017311 TX</t>
        </is>
      </c>
      <c r="C1838" s="144" t="inlineStr">
        <is>
          <t>ROADRUNNER</t>
        </is>
      </c>
      <c r="D1838" s="144" t="n">
        <v>2144223179</v>
      </c>
      <c r="E1838" s="144" t="inlineStr">
        <is>
          <t>FLAT</t>
        </is>
      </c>
      <c r="F1838" s="144" t="inlineStr">
        <is>
          <t>R623047 TX</t>
        </is>
      </c>
      <c r="G1838" s="144" t="inlineStr">
        <is>
          <t>WHITE VOLVO</t>
        </is>
      </c>
      <c r="H1838" s="144" t="n">
        <v>1221</v>
      </c>
      <c r="I1838" s="144" t="inlineStr">
        <is>
          <t>COMMERCIAL</t>
        </is>
      </c>
    </row>
    <row r="1839" ht="18" customHeight="1" s="7">
      <c r="A1839" s="144" t="inlineStr">
        <is>
          <t>KEENAN ANDREW</t>
        </is>
      </c>
      <c r="B1839" s="144" t="inlineStr">
        <is>
          <t>K550005894200 FL</t>
        </is>
      </c>
      <c r="C1839" s="144" t="inlineStr">
        <is>
          <t>MOBLIE GLASS</t>
        </is>
      </c>
      <c r="D1839" s="144" t="n">
        <v>3526482841</v>
      </c>
      <c r="E1839" s="144" t="inlineStr">
        <is>
          <t>VAN</t>
        </is>
      </c>
      <c r="F1839" s="144" t="inlineStr">
        <is>
          <t>66DZIW FL</t>
        </is>
      </c>
      <c r="G1839" s="144" t="inlineStr">
        <is>
          <t xml:space="preserve">RED FORD </t>
        </is>
      </c>
      <c r="H1839" s="144" t="n">
        <v>7000</v>
      </c>
      <c r="I1839" s="144" t="inlineStr">
        <is>
          <t>CONTRACTOR</t>
        </is>
      </c>
    </row>
    <row r="1840" ht="18" customHeight="1" s="7">
      <c r="A1840" s="144" t="inlineStr">
        <is>
          <t>MARQUAVIOUS JORDAN</t>
        </is>
      </c>
      <c r="B1840" s="144" t="inlineStr">
        <is>
          <t>*052669919 GA</t>
        </is>
      </c>
      <c r="C1840" s="144" t="inlineStr">
        <is>
          <t>EDCO</t>
        </is>
      </c>
      <c r="D1840" s="144" t="n">
        <v>8505707508</v>
      </c>
      <c r="E1840" s="144" t="inlineStr">
        <is>
          <t>FLAT</t>
        </is>
      </c>
      <c r="F1840" s="144" t="inlineStr">
        <is>
          <t>XE452R FL</t>
        </is>
      </c>
      <c r="G1840" s="144" t="inlineStr">
        <is>
          <t>RED INTER</t>
        </is>
      </c>
      <c r="H1840" s="144" t="n">
        <v>1221</v>
      </c>
      <c r="I1840" s="144" t="inlineStr">
        <is>
          <t>COMMERCIAL</t>
        </is>
      </c>
    </row>
    <row r="1841" ht="18" customHeight="1" s="7">
      <c r="A1841" s="144" t="inlineStr">
        <is>
          <t>GILLMORE JEFFREY</t>
        </is>
      </c>
      <c r="B1841" s="144" t="inlineStr">
        <is>
          <t>K00076716 KS</t>
        </is>
      </c>
      <c r="C1841" s="144" t="inlineStr">
        <is>
          <t>HADLEY TRANS</t>
        </is>
      </c>
      <c r="D1841" s="144" t="n">
        <v>3168065105</v>
      </c>
      <c r="E1841" s="144" t="inlineStr">
        <is>
          <t>BOX</t>
        </is>
      </c>
      <c r="F1841" s="144" t="inlineStr">
        <is>
          <t>199224 KS</t>
        </is>
      </c>
      <c r="G1841" s="144" t="inlineStr">
        <is>
          <t>BROWN FREIGHTLINER</t>
        </is>
      </c>
      <c r="H1841" s="144" t="n">
        <v>1221</v>
      </c>
      <c r="I1841" s="144" t="inlineStr">
        <is>
          <t>COMMERCIAL</t>
        </is>
      </c>
    </row>
    <row r="1842" ht="18" customHeight="1" s="7">
      <c r="A1842" s="144" t="inlineStr">
        <is>
          <t>MEIJA JORDAN</t>
        </is>
      </c>
      <c r="B1842" s="144" t="inlineStr">
        <is>
          <t>13444244 TX</t>
        </is>
      </c>
      <c r="C1842" s="144" t="inlineStr">
        <is>
          <t>TAG TRANS</t>
        </is>
      </c>
      <c r="D1842" s="144" t="n">
        <v>4077333549</v>
      </c>
      <c r="E1842" s="144" t="inlineStr">
        <is>
          <t>FLAT</t>
        </is>
      </c>
      <c r="F1842" s="144" t="inlineStr">
        <is>
          <t>P1114474 IL</t>
        </is>
      </c>
      <c r="G1842" s="144" t="inlineStr">
        <is>
          <t>WHITE FREIGHTLINER</t>
        </is>
      </c>
      <c r="H1842" s="144" t="n">
        <v>1221</v>
      </c>
      <c r="I1842" s="144" t="inlineStr">
        <is>
          <t>COMMERCIAL</t>
        </is>
      </c>
    </row>
    <row r="1843" ht="18" customHeight="1" s="7">
      <c r="A1843" s="144" t="inlineStr">
        <is>
          <t>SUAREZ AARON</t>
        </is>
      </c>
      <c r="B1843" s="144" t="inlineStr">
        <is>
          <t>L000010663300 MN</t>
        </is>
      </c>
      <c r="C1843" s="144" t="inlineStr">
        <is>
          <t>TRIUMPH INC</t>
        </is>
      </c>
      <c r="D1843" s="144" t="n">
        <v>9107586435</v>
      </c>
      <c r="E1843" s="144" t="inlineStr">
        <is>
          <t>BOX</t>
        </is>
      </c>
      <c r="F1843" s="144" t="inlineStr">
        <is>
          <t>P1241431 IL</t>
        </is>
      </c>
      <c r="G1843" s="144" t="inlineStr">
        <is>
          <t>WHITE KENWORTH</t>
        </is>
      </c>
      <c r="H1843" s="144" t="n">
        <v>1221</v>
      </c>
      <c r="I1843" s="144" t="inlineStr">
        <is>
          <t>COMMERCIAL</t>
        </is>
      </c>
    </row>
    <row r="1844" ht="18" customHeight="1" s="7">
      <c r="A1844" s="144" t="inlineStr">
        <is>
          <t>MIKAIL IBRAGIMOV</t>
        </is>
      </c>
      <c r="B1844" s="144" t="inlineStr">
        <is>
          <t>*056869139 GA</t>
        </is>
      </c>
      <c r="C1844" s="144" t="inlineStr">
        <is>
          <t>USA FREIGHT</t>
        </is>
      </c>
      <c r="D1844" s="144" t="n">
        <v>4043880561</v>
      </c>
      <c r="E1844" s="144" t="inlineStr">
        <is>
          <t>FLAT</t>
        </is>
      </c>
      <c r="F1844" s="144" t="inlineStr">
        <is>
          <t>C516ES GA</t>
        </is>
      </c>
      <c r="G1844" s="144" t="inlineStr">
        <is>
          <t>BLUE VOLVO</t>
        </is>
      </c>
      <c r="H1844" s="144" t="n">
        <v>1221</v>
      </c>
      <c r="I1844" s="144" t="inlineStr">
        <is>
          <t>COMMERCIAL</t>
        </is>
      </c>
    </row>
    <row r="1845" ht="18" customHeight="1" s="7">
      <c r="A1845" s="144" t="inlineStr">
        <is>
          <t>TUTAN ASLAN</t>
        </is>
      </c>
      <c r="B1845" s="144" t="inlineStr">
        <is>
          <t>*070971738 GA</t>
        </is>
      </c>
      <c r="C1845" s="144" t="inlineStr">
        <is>
          <t>FAST TRANSP.</t>
        </is>
      </c>
      <c r="D1845" s="144" t="n">
        <v>4709541588</v>
      </c>
      <c r="E1845" s="144" t="inlineStr">
        <is>
          <t>FLAT</t>
        </is>
      </c>
      <c r="F1845" s="144" t="inlineStr">
        <is>
          <t>C378DW GA</t>
        </is>
      </c>
      <c r="G1845" s="144" t="inlineStr">
        <is>
          <t>WHITE FREIGHTLINER</t>
        </is>
      </c>
      <c r="H1845" s="144" t="n">
        <v>1221</v>
      </c>
      <c r="I1845" s="144" t="inlineStr">
        <is>
          <t>COMMERCIAL</t>
        </is>
      </c>
    </row>
    <row r="1846" ht="18" customHeight="1" s="7">
      <c r="A1846" s="144" t="inlineStr">
        <is>
          <t>PINEIRO EVELIO</t>
        </is>
      </c>
      <c r="B1846" s="144" t="inlineStr">
        <is>
          <t>P560200663100 FL</t>
        </is>
      </c>
      <c r="C1846" s="144" t="inlineStr">
        <is>
          <t>ACI TRANS</t>
        </is>
      </c>
      <c r="D1846" s="144" t="n">
        <v>8139178392</v>
      </c>
      <c r="E1846" s="144" t="inlineStr">
        <is>
          <t>FLAT</t>
        </is>
      </c>
      <c r="F1846" s="144" t="inlineStr">
        <is>
          <t>XE722D FL</t>
        </is>
      </c>
      <c r="G1846" s="144" t="inlineStr">
        <is>
          <t>WHITE FREIGHTLINER</t>
        </is>
      </c>
      <c r="H1846" s="144" t="n">
        <v>1221</v>
      </c>
      <c r="I1846" s="144" t="inlineStr">
        <is>
          <t>COMMERCIAL</t>
        </is>
      </c>
    </row>
    <row r="1847" ht="18" customHeight="1" s="7">
      <c r="A1847" s="144" t="inlineStr">
        <is>
          <t>DAVID COULTER</t>
        </is>
      </c>
      <c r="B1847" s="144" t="inlineStr">
        <is>
          <t>*051625641 GA</t>
        </is>
      </c>
      <c r="C1847" s="144" t="inlineStr">
        <is>
          <t>QUALITY</t>
        </is>
      </c>
      <c r="D1847" s="144" t="n">
        <v>2296035016</v>
      </c>
      <c r="E1847" s="144" t="inlineStr">
        <is>
          <t>FLAT</t>
        </is>
      </c>
      <c r="F1847" s="144" t="inlineStr">
        <is>
          <t>C715CM GA</t>
        </is>
      </c>
      <c r="G1847" s="144" t="inlineStr">
        <is>
          <t>YELLOW KENWORTH</t>
        </is>
      </c>
      <c r="H1847" s="144" t="n">
        <v>7108</v>
      </c>
      <c r="I1847" s="144" t="inlineStr">
        <is>
          <t>COMMERCIAL</t>
        </is>
      </c>
    </row>
    <row r="1848" ht="18" customHeight="1" s="7">
      <c r="A1848" s="144" t="inlineStr">
        <is>
          <t>JONATHAN HART</t>
        </is>
      </c>
      <c r="B1848" s="144" t="inlineStr">
        <is>
          <t>*056122407 GA</t>
        </is>
      </c>
      <c r="C1848" s="144" t="inlineStr">
        <is>
          <t>MVW ROOFING</t>
        </is>
      </c>
      <c r="D1848" s="144" t="n">
        <v>2298213150</v>
      </c>
      <c r="E1848" s="144" t="inlineStr">
        <is>
          <t>PU</t>
        </is>
      </c>
      <c r="F1848" s="144" t="inlineStr">
        <is>
          <t>TEE4435 GA</t>
        </is>
      </c>
      <c r="G1848" s="144" t="inlineStr">
        <is>
          <t>WHITE CHEVY</t>
        </is>
      </c>
      <c r="H1848" s="144" t="n">
        <v>2200</v>
      </c>
      <c r="I1848" s="144" t="inlineStr">
        <is>
          <t>CONTRACTOR</t>
        </is>
      </c>
    </row>
    <row r="1849" ht="18" customHeight="1" s="7">
      <c r="A1849" s="144" t="inlineStr">
        <is>
          <t>QUINTANA VICTOR</t>
        </is>
      </c>
      <c r="B1849" s="144" t="inlineStr">
        <is>
          <t xml:space="preserve">Q20294371 KY </t>
        </is>
      </c>
      <c r="C1849" s="144" t="inlineStr">
        <is>
          <t>ATS</t>
        </is>
      </c>
      <c r="D1849" s="144" t="n">
        <v>4027537367</v>
      </c>
      <c r="E1849" s="144" t="inlineStr">
        <is>
          <t>BOX</t>
        </is>
      </c>
      <c r="F1849" s="144" t="inlineStr">
        <is>
          <t>2480312 IN</t>
        </is>
      </c>
      <c r="G1849" s="144" t="inlineStr">
        <is>
          <t>BLACK PETERBILT</t>
        </is>
      </c>
      <c r="H1849" s="144" t="n">
        <v>1221</v>
      </c>
      <c r="I1849" s="144" t="inlineStr">
        <is>
          <t>COMMERCIAL</t>
        </is>
      </c>
    </row>
    <row r="1850" ht="18" customHeight="1" s="7">
      <c r="A1850" s="144" t="inlineStr">
        <is>
          <t>SIGOURNEY WEAVER</t>
        </is>
      </c>
      <c r="B1850" s="144" t="inlineStr">
        <is>
          <t>*060975473 GA</t>
        </is>
      </c>
      <c r="C1850" s="144" t="inlineStr">
        <is>
          <t>RED CROSS</t>
        </is>
      </c>
      <c r="D1850" s="144" t="n">
        <v>7064423636</v>
      </c>
      <c r="E1850" s="144" t="inlineStr">
        <is>
          <t xml:space="preserve">VAN </t>
        </is>
      </c>
      <c r="F1850" s="144" t="inlineStr">
        <is>
          <t>SBL0378 GA</t>
        </is>
      </c>
      <c r="G1850" s="144" t="inlineStr">
        <is>
          <t>WHITE DODGE</t>
        </is>
      </c>
      <c r="H1850" s="144" t="n">
        <v>7000</v>
      </c>
      <c r="I1850" s="144" t="inlineStr">
        <is>
          <t>CONTRACTOR</t>
        </is>
      </c>
    </row>
    <row r="1851" ht="18" customHeight="1" s="7">
      <c r="A1851" s="144" t="inlineStr">
        <is>
          <t>ANGELO ANCHONDO</t>
        </is>
      </c>
      <c r="B1851" s="144" t="inlineStr">
        <is>
          <t>A525002020100</t>
        </is>
      </c>
      <c r="C1851" s="144" t="inlineStr">
        <is>
          <t>UNTIED</t>
        </is>
      </c>
      <c r="D1851" s="144" t="n">
        <v>4486662492</v>
      </c>
      <c r="E1851" s="144" t="inlineStr">
        <is>
          <t>BOX</t>
        </is>
      </c>
      <c r="F1851" s="144" t="inlineStr">
        <is>
          <t>56ACOM MI</t>
        </is>
      </c>
      <c r="G1851" s="144" t="inlineStr">
        <is>
          <t>WHITE FORD</t>
        </is>
      </c>
      <c r="H1851" s="144" t="inlineStr">
        <is>
          <t>BASEWIDE</t>
        </is>
      </c>
      <c r="I1851" s="144" t="inlineStr">
        <is>
          <t>CONTRACTOR</t>
        </is>
      </c>
    </row>
    <row r="1852" ht="18" customHeight="1" s="7">
      <c r="A1852" s="144" t="inlineStr">
        <is>
          <t>WILLIAM GILL</t>
        </is>
      </c>
      <c r="B1852" s="144" t="inlineStr">
        <is>
          <t>G400926600610 FL</t>
        </is>
      </c>
      <c r="C1852" s="144" t="inlineStr">
        <is>
          <t>MCLANE</t>
        </is>
      </c>
      <c r="D1852" s="144" t="n">
        <v>3347971538</v>
      </c>
      <c r="E1852" s="144" t="inlineStr">
        <is>
          <t>BOX</t>
        </is>
      </c>
      <c r="F1852" s="144" t="inlineStr">
        <is>
          <t>P935942 IL</t>
        </is>
      </c>
      <c r="G1852" s="144" t="inlineStr">
        <is>
          <t>WHITE FREIGHTLINER</t>
        </is>
      </c>
      <c r="H1852" s="144" t="n">
        <v>7500</v>
      </c>
      <c r="I1852" s="144" t="inlineStr">
        <is>
          <t>COMMERICAL</t>
        </is>
      </c>
    </row>
    <row r="1853" ht="18" customHeight="1" s="7">
      <c r="A1853" s="144" t="inlineStr">
        <is>
          <t>JAMIE COY</t>
        </is>
      </c>
      <c r="B1853" s="144" t="inlineStr">
        <is>
          <t>RS130390</t>
        </is>
      </c>
      <c r="C1853" s="144" t="inlineStr">
        <is>
          <t>LANDSTAR</t>
        </is>
      </c>
      <c r="D1853" s="144" t="n">
        <v>4402288834</v>
      </c>
      <c r="E1853" s="144" t="inlineStr">
        <is>
          <t>BOX</t>
        </is>
      </c>
      <c r="F1853" s="144" t="inlineStr">
        <is>
          <t>3619507 IN</t>
        </is>
      </c>
      <c r="G1853" s="144" t="inlineStr">
        <is>
          <t>WHITE FREIGHTLINER</t>
        </is>
      </c>
      <c r="H1853" s="144" t="n">
        <v>1221</v>
      </c>
      <c r="I1853" s="144" t="inlineStr">
        <is>
          <t>COMMERICAL</t>
        </is>
      </c>
    </row>
    <row r="1854" ht="18" customHeight="1" s="7">
      <c r="A1854" s="144" t="inlineStr">
        <is>
          <t>MENDEZ ERICK</t>
        </is>
      </c>
      <c r="B1854" s="144" t="inlineStr">
        <is>
          <t>33328453 TX</t>
        </is>
      </c>
      <c r="C1854" s="144" t="inlineStr">
        <is>
          <t>GIO CARGO</t>
        </is>
      </c>
      <c r="D1854" s="144" t="n">
        <v>9562155908</v>
      </c>
      <c r="E1854" s="144" t="inlineStr">
        <is>
          <t>PU</t>
        </is>
      </c>
      <c r="F1854" s="144" t="inlineStr">
        <is>
          <t>K183740 TX</t>
        </is>
      </c>
      <c r="G1854" s="144" t="inlineStr">
        <is>
          <t>WHITE FORD</t>
        </is>
      </c>
      <c r="H1854" s="144" t="n">
        <v>1221</v>
      </c>
      <c r="I1854" s="144" t="inlineStr">
        <is>
          <t>CONTRACTOR</t>
        </is>
      </c>
    </row>
    <row r="1855" ht="18" customHeight="1" s="7">
      <c r="A1855" s="144" t="inlineStr">
        <is>
          <t>L.C. WILLIAMS</t>
        </is>
      </c>
      <c r="B1855" s="144" t="inlineStr">
        <is>
          <t>*023220390 GA</t>
        </is>
      </c>
      <c r="C1855" s="144" t="inlineStr">
        <is>
          <t>JDW TRUCKING</t>
        </is>
      </c>
      <c r="D1855" s="144" t="n">
        <v>2294166199</v>
      </c>
      <c r="E1855" s="144" t="inlineStr">
        <is>
          <t>PU</t>
        </is>
      </c>
      <c r="F1855" s="144" t="inlineStr">
        <is>
          <t>12211141 AL</t>
        </is>
      </c>
      <c r="G1855" s="144" t="inlineStr">
        <is>
          <t>WHITE DODGE</t>
        </is>
      </c>
      <c r="H1855" s="144" t="n">
        <v>1221</v>
      </c>
      <c r="I1855" s="144" t="inlineStr">
        <is>
          <t>CONTRACTOR</t>
        </is>
      </c>
    </row>
    <row r="1856" ht="18" customHeight="1" s="7">
      <c r="A1856" s="144" t="inlineStr">
        <is>
          <t>KLJUCEVIC DRAZEN</t>
        </is>
      </c>
      <c r="B1856" s="144" t="inlineStr">
        <is>
          <t>162219098 UT</t>
        </is>
      </c>
      <c r="C1856" s="144" t="inlineStr">
        <is>
          <t>MNB TRUCKING</t>
        </is>
      </c>
      <c r="D1856" s="144" t="n">
        <v>8015803460</v>
      </c>
      <c r="E1856" s="144" t="inlineStr">
        <is>
          <t>BOX</t>
        </is>
      </c>
      <c r="F1856" s="144" t="inlineStr">
        <is>
          <t>A062847 UT</t>
        </is>
      </c>
      <c r="G1856" s="144" t="inlineStr">
        <is>
          <t>RED PETERBILT</t>
        </is>
      </c>
      <c r="H1856" s="144" t="n">
        <v>1221</v>
      </c>
      <c r="I1856" s="144" t="inlineStr">
        <is>
          <t>COMMERCIAL</t>
        </is>
      </c>
    </row>
    <row r="1857" ht="18" customHeight="1" s="7">
      <c r="A1857" s="144" t="inlineStr">
        <is>
          <t>MOJA SPENCER</t>
        </is>
      </c>
      <c r="B1857" s="144" t="inlineStr">
        <is>
          <t>S70435616408802 NJ</t>
        </is>
      </c>
      <c r="C1857" s="144" t="inlineStr">
        <is>
          <t xml:space="preserve">MDS </t>
        </is>
      </c>
      <c r="D1857" s="144" t="n">
        <v>3475813264</v>
      </c>
      <c r="E1857" s="144" t="inlineStr">
        <is>
          <t>BOX</t>
        </is>
      </c>
      <c r="F1857" s="144" t="inlineStr">
        <is>
          <t>XMSU83 NJ</t>
        </is>
      </c>
      <c r="G1857" s="144" t="inlineStr">
        <is>
          <t>WHITE FORD</t>
        </is>
      </c>
      <c r="H1857" s="144" t="n">
        <v>1221</v>
      </c>
      <c r="I1857" s="144" t="inlineStr">
        <is>
          <t>CONTRACTOR</t>
        </is>
      </c>
    </row>
    <row r="1858" ht="18" customHeight="1" s="7">
      <c r="A1858" s="144" t="inlineStr">
        <is>
          <t>JAMES ROWE</t>
        </is>
      </c>
      <c r="B1858" s="144" t="inlineStr">
        <is>
          <t>*053081838 GA</t>
        </is>
      </c>
      <c r="C1858" s="144" t="inlineStr">
        <is>
          <t>ACE TECH</t>
        </is>
      </c>
      <c r="D1858" s="144" t="n">
        <v>2292446412</v>
      </c>
      <c r="E1858" s="144" t="inlineStr">
        <is>
          <t>PU</t>
        </is>
      </c>
      <c r="F1858" s="144" t="inlineStr">
        <is>
          <t>DAT4680 GA</t>
        </is>
      </c>
      <c r="G1858" s="144" t="inlineStr">
        <is>
          <t>RED FORD</t>
        </is>
      </c>
      <c r="H1858" s="144" t="inlineStr">
        <is>
          <t>BASEWIDE</t>
        </is>
      </c>
      <c r="I1858" s="144" t="inlineStr">
        <is>
          <t>CONTRACTOR</t>
        </is>
      </c>
    </row>
    <row r="1859" ht="18" customHeight="1" s="7">
      <c r="A1859" s="144" t="inlineStr">
        <is>
          <t>ROBERTS CHRISTOPHER</t>
        </is>
      </c>
      <c r="B1859" s="144" t="inlineStr">
        <is>
          <t>*054145350 GA</t>
        </is>
      </c>
      <c r="C1859" s="144" t="inlineStr">
        <is>
          <t>SCALES</t>
        </is>
      </c>
      <c r="D1859" s="144" t="n">
        <v>4782581974</v>
      </c>
      <c r="E1859" s="144" t="inlineStr">
        <is>
          <t>PU</t>
        </is>
      </c>
      <c r="F1859" s="144" t="inlineStr">
        <is>
          <t>C012DC GA</t>
        </is>
      </c>
      <c r="G1859" s="144" t="inlineStr">
        <is>
          <t>BLACK DODGE</t>
        </is>
      </c>
      <c r="H1859" s="144" t="n">
        <v>1221</v>
      </c>
      <c r="I1859" s="144" t="inlineStr">
        <is>
          <t>CONTRACTOR</t>
        </is>
      </c>
    </row>
    <row r="1860" ht="18" customHeight="1" s="7">
      <c r="A1860" s="144" t="inlineStr">
        <is>
          <t>MADUMAROV KAMOLIDDIN</t>
        </is>
      </c>
      <c r="B1860" s="144" t="inlineStr">
        <is>
          <t>055173161 GA</t>
        </is>
      </c>
      <c r="C1860" s="144" t="inlineStr">
        <is>
          <t>AZTEC EXP</t>
        </is>
      </c>
      <c r="D1860" s="144" t="n">
        <v>4047899365</v>
      </c>
      <c r="E1860" s="144" t="inlineStr">
        <is>
          <t>BOX</t>
        </is>
      </c>
      <c r="F1860" s="144" t="inlineStr">
        <is>
          <t>C650CRGA</t>
        </is>
      </c>
      <c r="G1860" s="144" t="inlineStr">
        <is>
          <t>WHITE VOLVO</t>
        </is>
      </c>
      <c r="H1860" s="144" t="n">
        <v>1221</v>
      </c>
      <c r="I1860" s="144" t="inlineStr">
        <is>
          <t>COMMERICAL</t>
        </is>
      </c>
    </row>
    <row r="1861" ht="18" customHeight="1" s="7">
      <c r="A1861" s="144" t="inlineStr">
        <is>
          <t>MARISCAL GUSTAVO</t>
        </is>
      </c>
      <c r="B1861" s="144" t="inlineStr">
        <is>
          <t>058053196 GA</t>
        </is>
      </c>
      <c r="C1861" s="144" t="inlineStr">
        <is>
          <t>JB HUNT</t>
        </is>
      </c>
      <c r="D1861" s="144" t="n">
        <v>7063079504</v>
      </c>
      <c r="E1861" s="144" t="inlineStr">
        <is>
          <t>FLAT</t>
        </is>
      </c>
      <c r="F1861" s="144" t="inlineStr">
        <is>
          <t>35774877IN</t>
        </is>
      </c>
      <c r="G1861" s="144" t="inlineStr">
        <is>
          <t>RED FREIGHTLINER</t>
        </is>
      </c>
      <c r="H1861" s="144" t="inlineStr">
        <is>
          <t>GATE 15</t>
        </is>
      </c>
      <c r="I1861" s="144" t="inlineStr">
        <is>
          <t>COMMERICAL</t>
        </is>
      </c>
    </row>
    <row r="1862" ht="18" customHeight="1" s="7">
      <c r="A1862" s="144" t="inlineStr">
        <is>
          <t>JUSTIN LANE</t>
        </is>
      </c>
      <c r="B1862" s="144" t="inlineStr">
        <is>
          <t>052296751 GA</t>
        </is>
      </c>
      <c r="C1862" s="144" t="inlineStr">
        <is>
          <t>BEVERAGE SOUTH</t>
        </is>
      </c>
      <c r="D1862" s="144" t="n">
        <v>2298944447</v>
      </c>
      <c r="E1862" s="144" t="inlineStr">
        <is>
          <t>VAN</t>
        </is>
      </c>
      <c r="F1862" s="144" t="inlineStr">
        <is>
          <t>SKL1898 GA</t>
        </is>
      </c>
      <c r="G1862" s="144" t="inlineStr">
        <is>
          <t>WHITE FORD</t>
        </is>
      </c>
      <c r="H1862" s="144" t="n">
        <v>7501</v>
      </c>
      <c r="I1862" s="144" t="inlineStr">
        <is>
          <t>CONTRACTOR</t>
        </is>
      </c>
    </row>
    <row r="1863" ht="18" customHeight="1" s="7">
      <c r="A1863" s="144" t="inlineStr">
        <is>
          <t>JUSTIN PATTERSON</t>
        </is>
      </c>
      <c r="B1863" s="144" t="inlineStr">
        <is>
          <t>055152350 GA</t>
        </is>
      </c>
      <c r="C1863" s="144" t="inlineStr">
        <is>
          <t>OLD DOMINION</t>
        </is>
      </c>
      <c r="D1863" s="144" t="n">
        <v>2293446383</v>
      </c>
      <c r="E1863" s="144" t="inlineStr">
        <is>
          <t>BOX</t>
        </is>
      </c>
      <c r="F1863" s="144" t="inlineStr">
        <is>
          <t>TE1975 NC</t>
        </is>
      </c>
      <c r="G1863" s="144" t="inlineStr">
        <is>
          <t>GREEN FREIGHTLINER</t>
        </is>
      </c>
      <c r="H1863" s="144" t="n">
        <v>1331</v>
      </c>
      <c r="I1863" s="144" t="inlineStr">
        <is>
          <t>COMMERCIAL</t>
        </is>
      </c>
    </row>
    <row r="1864" ht="18" customHeight="1" s="7">
      <c r="A1864" s="144" t="inlineStr">
        <is>
          <t>MARIELA MIDDLETON</t>
        </is>
      </c>
      <c r="B1864" s="144" t="inlineStr">
        <is>
          <t>*043403621 GA</t>
        </is>
      </c>
      <c r="C1864" s="144" t="inlineStr">
        <is>
          <t>APPLE MOVING</t>
        </is>
      </c>
      <c r="D1864" s="144" t="n">
        <v>7622072041</v>
      </c>
      <c r="E1864" s="144" t="inlineStr">
        <is>
          <t>BOX</t>
        </is>
      </c>
      <c r="F1864" s="144" t="inlineStr">
        <is>
          <t>60068UA VA</t>
        </is>
      </c>
      <c r="G1864" s="144" t="inlineStr">
        <is>
          <t>WHITE CHEVY</t>
        </is>
      </c>
      <c r="H1864" s="144" t="inlineStr">
        <is>
          <t>HOUSING</t>
        </is>
      </c>
      <c r="I1864" s="144" t="inlineStr">
        <is>
          <t>COMMERCIAL</t>
        </is>
      </c>
    </row>
    <row r="1865" ht="18" customHeight="1" s="7">
      <c r="A1865" s="144" t="inlineStr">
        <is>
          <t xml:space="preserve">BASIL CATRETT </t>
        </is>
      </c>
      <c r="B1865" s="144" t="inlineStr">
        <is>
          <t>*057046152 GA</t>
        </is>
      </c>
      <c r="C1865" s="144" t="inlineStr">
        <is>
          <t>TRIPLE AAA</t>
        </is>
      </c>
      <c r="D1865" s="144" t="n">
        <v>2298545168</v>
      </c>
      <c r="E1865" s="144" t="inlineStr">
        <is>
          <t>VAN</t>
        </is>
      </c>
      <c r="F1865" s="144" t="inlineStr">
        <is>
          <t>CDU7982 GA</t>
        </is>
      </c>
      <c r="G1865" s="144" t="inlineStr">
        <is>
          <t>WHITE FORD</t>
        </is>
      </c>
      <c r="H1865" s="144" t="n">
        <v>1331</v>
      </c>
      <c r="I1865" s="144" t="inlineStr">
        <is>
          <t>CONTRACTOR</t>
        </is>
      </c>
    </row>
    <row r="1866" ht="18" customHeight="1" s="7">
      <c r="A1866" s="144" t="inlineStr">
        <is>
          <t>CALEB FLOWERS</t>
        </is>
      </c>
      <c r="B1866" s="144" t="inlineStr">
        <is>
          <t>*059822789 GA</t>
        </is>
      </c>
      <c r="C1866" s="144" t="inlineStr">
        <is>
          <t>STANLEY STEAMER</t>
        </is>
      </c>
      <c r="D1866" s="144" t="n">
        <v>2298546640</v>
      </c>
      <c r="E1866" s="144" t="inlineStr">
        <is>
          <t>VAN</t>
        </is>
      </c>
      <c r="F1866" s="144" t="inlineStr">
        <is>
          <t>SEN4986 GA</t>
        </is>
      </c>
      <c r="G1866" s="144" t="inlineStr">
        <is>
          <t>YELLOW FORD</t>
        </is>
      </c>
      <c r="H1866" s="144" t="inlineStr">
        <is>
          <t>HOUSING</t>
        </is>
      </c>
      <c r="I1866" s="144" t="inlineStr">
        <is>
          <t>CONTRACTOR</t>
        </is>
      </c>
    </row>
    <row r="1867" ht="18" customHeight="1" s="7">
      <c r="A1867" s="144" t="inlineStr">
        <is>
          <t>KAAN OZEN</t>
        </is>
      </c>
      <c r="B1867" s="144" t="inlineStr">
        <is>
          <t>*062026563 GA</t>
        </is>
      </c>
      <c r="C1867" s="144" t="inlineStr">
        <is>
          <t>SMYRNA TRUCKING</t>
        </is>
      </c>
      <c r="D1867" s="144" t="n">
        <v>4047717853</v>
      </c>
      <c r="E1867" s="144" t="inlineStr">
        <is>
          <t>PU</t>
        </is>
      </c>
      <c r="F1867" s="144" t="inlineStr">
        <is>
          <t>TDS0244 GA</t>
        </is>
      </c>
      <c r="G1867" s="144" t="inlineStr">
        <is>
          <t>WHITE DODGE</t>
        </is>
      </c>
      <c r="H1867" s="144" t="n">
        <v>1221</v>
      </c>
      <c r="I1867" s="144" t="inlineStr">
        <is>
          <t>CONTRACTOR</t>
        </is>
      </c>
    </row>
    <row r="1868" ht="18" customHeight="1" s="7">
      <c r="A1868" s="144" t="inlineStr">
        <is>
          <t>WILLIAM PIPPINS</t>
        </is>
      </c>
      <c r="B1868" s="144" t="inlineStr">
        <is>
          <t>RU405293 OH</t>
        </is>
      </c>
      <c r="C1868" s="144" t="inlineStr">
        <is>
          <t>QUICKSTOP TRANS</t>
        </is>
      </c>
      <c r="D1868" s="144" t="n">
        <v>9372317758</v>
      </c>
      <c r="E1868" s="144" t="inlineStr">
        <is>
          <t>PU</t>
        </is>
      </c>
      <c r="F1868" s="144" t="inlineStr">
        <is>
          <t>PWY3350 OH</t>
        </is>
      </c>
      <c r="G1868" s="144" t="inlineStr">
        <is>
          <t>BLACK FORD</t>
        </is>
      </c>
      <c r="H1868" s="144" t="n">
        <v>1221</v>
      </c>
      <c r="I1868" s="144" t="inlineStr">
        <is>
          <t>CONTRACTOR</t>
        </is>
      </c>
    </row>
    <row r="1869" ht="18" customHeight="1" s="7">
      <c r="A1869" s="144" t="inlineStr">
        <is>
          <t>JEFFERY LAYNE</t>
        </is>
      </c>
      <c r="B1869" s="144" t="inlineStr">
        <is>
          <t>Y206331005 MO</t>
        </is>
      </c>
      <c r="C1869" s="144" t="inlineStr">
        <is>
          <t>AMBU FREIGHT</t>
        </is>
      </c>
      <c r="D1869" s="144" t="n">
        <v>9132891116</v>
      </c>
      <c r="E1869" s="144" t="inlineStr">
        <is>
          <t>PU</t>
        </is>
      </c>
      <c r="F1869" s="144" t="inlineStr">
        <is>
          <t>LA39212 NC</t>
        </is>
      </c>
      <c r="G1869" s="144" t="inlineStr">
        <is>
          <t>BLACK DODGE</t>
        </is>
      </c>
      <c r="H1869" s="144" t="inlineStr">
        <is>
          <t>GATE 1/5</t>
        </is>
      </c>
      <c r="I1869" s="144" t="inlineStr">
        <is>
          <t>CONTRACTOR</t>
        </is>
      </c>
    </row>
    <row r="1870" ht="18" customHeight="1" s="7">
      <c r="A1870" s="144" t="inlineStr">
        <is>
          <t>AARON COSTIN</t>
        </is>
      </c>
      <c r="B1870" s="144" t="inlineStr">
        <is>
          <t>*000023375860 NC</t>
        </is>
      </c>
      <c r="C1870" s="144" t="inlineStr">
        <is>
          <t>WRIGHT EXPRESS</t>
        </is>
      </c>
      <c r="D1870" s="144" t="n">
        <v>9512344848</v>
      </c>
      <c r="E1870" s="144" t="inlineStr">
        <is>
          <t>BOX</t>
        </is>
      </c>
      <c r="F1870" s="144" t="inlineStr">
        <is>
          <t>AH27202 PA</t>
        </is>
      </c>
      <c r="G1870" s="144" t="inlineStr">
        <is>
          <t>SILVER VOLVO</t>
        </is>
      </c>
      <c r="H1870" s="144" t="n">
        <v>1221</v>
      </c>
      <c r="I1870" s="144" t="inlineStr">
        <is>
          <t>COMMERCIAL</t>
        </is>
      </c>
    </row>
    <row r="1871" ht="18" customHeight="1" s="7">
      <c r="A1871" s="144" t="inlineStr">
        <is>
          <t>THOMAS HOLLAND</t>
        </is>
      </c>
      <c r="B1871" s="144" t="inlineStr">
        <is>
          <t>*050990046 GA</t>
        </is>
      </c>
      <c r="C1871" s="144" t="inlineStr">
        <is>
          <t>BEVERAGE SOUTH</t>
        </is>
      </c>
      <c r="D1871" s="144" t="n">
        <v>2293443508</v>
      </c>
      <c r="E1871" s="144" t="inlineStr">
        <is>
          <t>VAN</t>
        </is>
      </c>
      <c r="F1871" s="144" t="inlineStr">
        <is>
          <t>SFK6158 GA</t>
        </is>
      </c>
      <c r="G1871" s="144" t="inlineStr">
        <is>
          <t>WHITE FORD</t>
        </is>
      </c>
      <c r="H1871" s="144" t="n">
        <v>7501</v>
      </c>
      <c r="I1871" s="144" t="inlineStr">
        <is>
          <t>CONTRACTOR</t>
        </is>
      </c>
    </row>
    <row r="1872" ht="18" customHeight="1" s="7">
      <c r="A1872" s="144" t="inlineStr">
        <is>
          <t>JACKEYTA MOTT</t>
        </is>
      </c>
      <c r="B1872" s="144" t="inlineStr">
        <is>
          <t>7545081 AL</t>
        </is>
      </c>
      <c r="C1872" s="144" t="inlineStr">
        <is>
          <t>SPARTAN NASH</t>
        </is>
      </c>
      <c r="D1872" s="144" t="n">
        <v>3345207070</v>
      </c>
      <c r="E1872" s="144" t="inlineStr">
        <is>
          <t>BOX</t>
        </is>
      </c>
      <c r="F1872" s="144" t="inlineStr">
        <is>
          <t>407115 NE</t>
        </is>
      </c>
      <c r="G1872" s="144" t="inlineStr">
        <is>
          <t>WHITE INTER</t>
        </is>
      </c>
      <c r="H1872" s="144" t="n">
        <v>7501</v>
      </c>
      <c r="I1872" s="144" t="inlineStr">
        <is>
          <t>COMMERCIAL</t>
        </is>
      </c>
    </row>
    <row r="1873" ht="18" customHeight="1" s="7">
      <c r="A1873" s="144" t="inlineStr">
        <is>
          <t>GERALD MUFF</t>
        </is>
      </c>
      <c r="B1873" s="144" t="inlineStr">
        <is>
          <t>*049742478 GA</t>
        </is>
      </c>
      <c r="C1873" s="144" t="inlineStr">
        <is>
          <t>ACT</t>
        </is>
      </c>
      <c r="D1873" s="144" t="n">
        <v>2293957115</v>
      </c>
      <c r="E1873" s="144" t="inlineStr">
        <is>
          <t>BOX</t>
        </is>
      </c>
      <c r="F1873" s="144" t="inlineStr">
        <is>
          <t>R749887 TX</t>
        </is>
      </c>
      <c r="G1873" s="144" t="inlineStr">
        <is>
          <t>BLUE FREIGHTLINER</t>
        </is>
      </c>
      <c r="H1873" s="144" t="inlineStr">
        <is>
          <t>2500 BROOM</t>
        </is>
      </c>
      <c r="I1873" s="144" t="inlineStr">
        <is>
          <t>COMMERCIAL</t>
        </is>
      </c>
    </row>
    <row r="1874" ht="18" customHeight="1" s="7">
      <c r="A1874" s="144" t="inlineStr">
        <is>
          <t>DAVARIOUS SANDS</t>
        </is>
      </c>
      <c r="B1874" s="144" t="inlineStr">
        <is>
          <t>*056593934 GA</t>
        </is>
      </c>
      <c r="C1874" s="144" t="inlineStr">
        <is>
          <t>FRF TRANSPORT</t>
        </is>
      </c>
      <c r="D1874" s="144" t="n">
        <v>4782849325</v>
      </c>
      <c r="E1874" s="144" t="inlineStr">
        <is>
          <t>BOX</t>
        </is>
      </c>
      <c r="F1874" s="144" t="inlineStr">
        <is>
          <t>T7763HY TN</t>
        </is>
      </c>
      <c r="G1874" s="144" t="inlineStr">
        <is>
          <t>BLK FREIGHTLINER</t>
        </is>
      </c>
      <c r="H1874" s="144" t="n">
        <v>1221</v>
      </c>
      <c r="I1874" s="144" t="inlineStr">
        <is>
          <t>COMMERCIAL</t>
        </is>
      </c>
    </row>
    <row r="1875" ht="18" customHeight="1" s="7">
      <c r="A1875" s="144" t="inlineStr">
        <is>
          <t>RON POUNCEY</t>
        </is>
      </c>
      <c r="B1875" s="144" t="inlineStr">
        <is>
          <t>P237701160000 FL</t>
        </is>
      </c>
      <c r="C1875" s="144" t="inlineStr">
        <is>
          <t>FEDEX</t>
        </is>
      </c>
      <c r="D1875" s="144" t="n">
        <v>3344659410</v>
      </c>
      <c r="E1875" s="144" t="inlineStr">
        <is>
          <t>BOX</t>
        </is>
      </c>
      <c r="F1875" s="144" t="inlineStr">
        <is>
          <t xml:space="preserve">H144HX TN </t>
        </is>
      </c>
      <c r="G1875" s="144" t="inlineStr">
        <is>
          <t>WHT FREIGHTLINER</t>
        </is>
      </c>
      <c r="H1875" s="144" t="n">
        <v>1221</v>
      </c>
      <c r="I1875" s="144" t="inlineStr">
        <is>
          <t>COMMERCIAL</t>
        </is>
      </c>
    </row>
    <row r="1876" ht="18" customHeight="1" s="7">
      <c r="A1876" s="144" t="inlineStr">
        <is>
          <t>OLIVER BUCKLEY</t>
        </is>
      </c>
      <c r="B1876" s="144" t="inlineStr">
        <is>
          <t>B632781501000 FL</t>
        </is>
      </c>
      <c r="C1876" s="144" t="inlineStr">
        <is>
          <t>COLUMBIA SOUTHERN UNIVERSITY</t>
        </is>
      </c>
      <c r="D1876" s="144" t="n">
        <v>8585249176</v>
      </c>
      <c r="E1876" s="144" t="inlineStr">
        <is>
          <t>SEDAN</t>
        </is>
      </c>
      <c r="F1876" s="144" t="inlineStr">
        <is>
          <t>2081AY9 AL</t>
        </is>
      </c>
      <c r="G1876" s="144" t="inlineStr">
        <is>
          <t>BUICK LACROSSE</t>
        </is>
      </c>
      <c r="H1876" s="144" t="n">
        <v>7260</v>
      </c>
      <c r="I1876" s="144" t="inlineStr">
        <is>
          <t>CONTRACTOR</t>
        </is>
      </c>
    </row>
    <row r="1877" ht="18" customHeight="1" s="7">
      <c r="A1877" s="144" t="inlineStr">
        <is>
          <t>EDWARD POLHEMUS</t>
        </is>
      </c>
      <c r="B1877" s="144" t="inlineStr">
        <is>
          <t>10397216 AL</t>
        </is>
      </c>
      <c r="C1877" s="144" t="inlineStr">
        <is>
          <t>NANTZE SPRINGS</t>
        </is>
      </c>
      <c r="D1877" s="144" t="n">
        <v>3037202733</v>
      </c>
      <c r="E1877" s="144" t="inlineStr">
        <is>
          <t>BOX</t>
        </is>
      </c>
      <c r="F1877" s="144" t="inlineStr">
        <is>
          <t>38A62W9 AL</t>
        </is>
      </c>
      <c r="G1877" s="144" t="inlineStr">
        <is>
          <t>WHITE  FREIGHTLINER</t>
        </is>
      </c>
      <c r="H1877" s="144" t="n">
        <v>3500</v>
      </c>
      <c r="I1877" s="144" t="inlineStr">
        <is>
          <t>COMMERCIAL</t>
        </is>
      </c>
    </row>
    <row r="1878" ht="18" customHeight="1" s="7">
      <c r="A1878" s="144" t="inlineStr">
        <is>
          <t>COREY PATERICK</t>
        </is>
      </c>
      <c r="B1878" s="144" t="inlineStr">
        <is>
          <t>*061552165 GA</t>
        </is>
      </c>
      <c r="C1878" s="144" t="inlineStr">
        <is>
          <t>OXFORD</t>
        </is>
      </c>
      <c r="D1878" s="144" t="n">
        <v>2293431033</v>
      </c>
      <c r="E1878" s="144" t="inlineStr">
        <is>
          <t>PU</t>
        </is>
      </c>
      <c r="F1878" s="144" t="inlineStr">
        <is>
          <t>TEI6065 GA</t>
        </is>
      </c>
      <c r="G1878" s="144" t="inlineStr">
        <is>
          <t>WHITE FORD</t>
        </is>
      </c>
      <c r="H1878" s="144" t="inlineStr">
        <is>
          <t>GATE1/5</t>
        </is>
      </c>
      <c r="I1878" s="144" t="inlineStr">
        <is>
          <t>CONTRACTOR</t>
        </is>
      </c>
    </row>
    <row r="1879" ht="18" customHeight="1" s="7">
      <c r="A1879" s="144" t="inlineStr">
        <is>
          <t>DAVID ELLISON</t>
        </is>
      </c>
      <c r="B1879" s="144" t="inlineStr">
        <is>
          <t>*049286899 TN</t>
        </is>
      </c>
      <c r="C1879" s="144" t="inlineStr">
        <is>
          <t>PANTHER</t>
        </is>
      </c>
      <c r="D1879" s="144" t="n">
        <v>4236088256</v>
      </c>
      <c r="E1879" s="144" t="inlineStr">
        <is>
          <t>BOX</t>
        </is>
      </c>
      <c r="F1879" s="144" t="inlineStr">
        <is>
          <t>PWD1032 OH</t>
        </is>
      </c>
      <c r="G1879" s="144" t="inlineStr">
        <is>
          <t>WHITE FREIGHTLINER</t>
        </is>
      </c>
      <c r="H1879" s="144" t="n">
        <v>1221</v>
      </c>
      <c r="I1879" s="144" t="inlineStr">
        <is>
          <t>COMMERCIAL</t>
        </is>
      </c>
    </row>
    <row r="1880" ht="18" customHeight="1" s="7">
      <c r="A1880" s="144" t="inlineStr">
        <is>
          <t>ABIJIBAR BAKARI</t>
        </is>
      </c>
      <c r="B1880" s="144" t="inlineStr">
        <is>
          <t>UC567704 OH</t>
        </is>
      </c>
      <c r="C1880" s="144" t="inlineStr">
        <is>
          <t>KASSIM BROTHERS</t>
        </is>
      </c>
      <c r="D1880" s="144" t="n">
        <v>6466476060</v>
      </c>
      <c r="E1880" s="144" t="inlineStr">
        <is>
          <t>BOX</t>
        </is>
      </c>
      <c r="F1880" s="144" t="inlineStr">
        <is>
          <t>PWY3315 OH</t>
        </is>
      </c>
      <c r="G1880" s="144" t="inlineStr">
        <is>
          <t>WHITE FREIGHTLINER</t>
        </is>
      </c>
      <c r="H1880" s="144" t="n">
        <v>1221</v>
      </c>
      <c r="I1880" s="144" t="inlineStr">
        <is>
          <t>COMMERCIAL</t>
        </is>
      </c>
    </row>
    <row r="1881" ht="18" customHeight="1" s="7">
      <c r="A1881" s="144" t="inlineStr">
        <is>
          <t>NICHOLAS BUCKNER</t>
        </is>
      </c>
      <c r="B1881" s="144" t="inlineStr">
        <is>
          <t>16674601 TX</t>
        </is>
      </c>
      <c r="C1881" s="144" t="inlineStr">
        <is>
          <t>KLG</t>
        </is>
      </c>
      <c r="D1881" s="144" t="n">
        <v>2819792511</v>
      </c>
      <c r="E1881" s="144" t="inlineStr">
        <is>
          <t>FLAT</t>
        </is>
      </c>
      <c r="F1881" s="144" t="inlineStr">
        <is>
          <t>3302050 IN</t>
        </is>
      </c>
      <c r="G1881" s="144" t="inlineStr">
        <is>
          <t>YELLOW PETERBILT</t>
        </is>
      </c>
      <c r="H1881" s="144" t="n">
        <v>1221</v>
      </c>
      <c r="I1881" s="144" t="inlineStr">
        <is>
          <t>COMMERCIAL</t>
        </is>
      </c>
    </row>
    <row r="1882" ht="18" customHeight="1" s="7">
      <c r="A1882" s="144" t="inlineStr">
        <is>
          <t>VICTOR TANURCOV</t>
        </is>
      </c>
      <c r="B1882" s="144" t="inlineStr">
        <is>
          <t>8546706 AL</t>
        </is>
      </c>
      <c r="C1882" s="144" t="inlineStr">
        <is>
          <t>TRIPLE EIGHT EXP</t>
        </is>
      </c>
      <c r="D1882" s="144" t="n">
        <v>2512134225</v>
      </c>
      <c r="E1882" s="144" t="inlineStr">
        <is>
          <t>FLAT</t>
        </is>
      </c>
      <c r="F1882" s="144" t="inlineStr">
        <is>
          <t>1199111 AL</t>
        </is>
      </c>
      <c r="G1882" s="144" t="inlineStr">
        <is>
          <t>GRAY KENWORTH</t>
        </is>
      </c>
      <c r="H1882" s="144" t="n">
        <v>1221</v>
      </c>
      <c r="I1882" s="144" t="inlineStr">
        <is>
          <t>COMMERCIAL</t>
        </is>
      </c>
    </row>
    <row r="1883" ht="18" customHeight="1" s="7">
      <c r="A1883" s="144" t="inlineStr">
        <is>
          <t>VAAGN AROUTIOUNIAN</t>
        </is>
      </c>
      <c r="B1883" s="144" t="inlineStr">
        <is>
          <t>A9205557 CA</t>
        </is>
      </c>
      <c r="C1883" s="144" t="inlineStr">
        <is>
          <t>CARLOS G TRUCKING</t>
        </is>
      </c>
      <c r="D1883" s="144" t="n">
        <v>8182076945</v>
      </c>
      <c r="E1883" s="144" t="inlineStr">
        <is>
          <t>BOX</t>
        </is>
      </c>
      <c r="F1883" s="144" t="inlineStr">
        <is>
          <t>ZP17135 CA</t>
        </is>
      </c>
      <c r="G1883" s="144" t="inlineStr">
        <is>
          <t>GRAY VOLVO</t>
        </is>
      </c>
      <c r="H1883" s="144" t="n">
        <v>1351</v>
      </c>
      <c r="I1883" s="144" t="inlineStr">
        <is>
          <t>COMMERCIAL</t>
        </is>
      </c>
    </row>
    <row r="1884" ht="18" customHeight="1" s="7">
      <c r="A1884" s="144" t="inlineStr">
        <is>
          <t>ERIC SANCHEZ</t>
        </is>
      </c>
      <c r="B1884" s="144" t="inlineStr">
        <is>
          <t>41443158 TX</t>
        </is>
      </c>
      <c r="C1884" s="144" t="inlineStr">
        <is>
          <t>ATX DIRECT LOGISTIC</t>
        </is>
      </c>
      <c r="D1884" s="144" t="n">
        <v>9157060907</v>
      </c>
      <c r="E1884" s="144" t="inlineStr">
        <is>
          <t>PU</t>
        </is>
      </c>
      <c r="F1884" s="144" t="inlineStr">
        <is>
          <t>VRZ0556 TX</t>
        </is>
      </c>
      <c r="G1884" s="144" t="inlineStr">
        <is>
          <t>BLACK FORD</t>
        </is>
      </c>
      <c r="H1884" s="144" t="n">
        <v>1221</v>
      </c>
      <c r="I1884" s="144" t="inlineStr">
        <is>
          <t>CONTRACTOR</t>
        </is>
      </c>
    </row>
    <row r="1885" ht="18" customHeight="1" s="7">
      <c r="A1885" s="144" t="inlineStr">
        <is>
          <t>RICHARD HODSON</t>
        </is>
      </c>
      <c r="B1885" s="144" t="inlineStr">
        <is>
          <t>H325741923610 FL</t>
        </is>
      </c>
      <c r="C1885" s="144" t="inlineStr">
        <is>
          <t>BONDED</t>
        </is>
      </c>
      <c r="D1885" s="144" t="n">
        <v>8507658633</v>
      </c>
      <c r="E1885" s="144" t="inlineStr">
        <is>
          <t>PU</t>
        </is>
      </c>
      <c r="F1885" s="144" t="inlineStr">
        <is>
          <t>GCVV67 FL</t>
        </is>
      </c>
      <c r="G1885" s="144" t="inlineStr">
        <is>
          <t>TAN DODGE</t>
        </is>
      </c>
      <c r="H1885" s="144" t="n">
        <v>3700</v>
      </c>
      <c r="I1885" s="144" t="inlineStr">
        <is>
          <t>CONTRACTOR</t>
        </is>
      </c>
    </row>
    <row r="1886" ht="18" customHeight="1" s="7">
      <c r="A1886" s="144" t="inlineStr">
        <is>
          <t>RICHARD PATTON</t>
        </is>
      </c>
      <c r="B1886" s="144" t="inlineStr">
        <is>
          <t>*053115650 GA</t>
        </is>
      </c>
      <c r="C1886" s="144" t="inlineStr">
        <is>
          <t>MVW BUILDERS</t>
        </is>
      </c>
      <c r="D1886" s="144" t="n">
        <v>2293761260</v>
      </c>
      <c r="E1886" s="144" t="inlineStr">
        <is>
          <t>PU</t>
        </is>
      </c>
      <c r="F1886" s="144" t="inlineStr">
        <is>
          <t>RSB9763 GA</t>
        </is>
      </c>
      <c r="G1886" s="144" t="inlineStr">
        <is>
          <t>WHITE FORD</t>
        </is>
      </c>
      <c r="H1886" s="144" t="n">
        <v>2200</v>
      </c>
      <c r="I1886" s="144" t="inlineStr">
        <is>
          <t>CONTRACTOR</t>
        </is>
      </c>
    </row>
    <row r="1887" ht="18" customHeight="1" s="7">
      <c r="A1887" s="144" t="inlineStr">
        <is>
          <t>ALIM GULALIYEV</t>
        </is>
      </c>
      <c r="B1887" s="144" t="inlineStr">
        <is>
          <t>WDLB5Z73683B WA</t>
        </is>
      </c>
      <c r="C1887" s="144" t="inlineStr">
        <is>
          <t>SPM</t>
        </is>
      </c>
      <c r="D1887" s="144" t="n">
        <v>2069020261</v>
      </c>
      <c r="E1887" s="144" t="inlineStr">
        <is>
          <t>BOX</t>
        </is>
      </c>
      <c r="F1887" s="144" t="inlineStr">
        <is>
          <t>73103RP WA</t>
        </is>
      </c>
      <c r="G1887" s="144" t="inlineStr">
        <is>
          <t>WHITE FREIGHTLINER</t>
        </is>
      </c>
      <c r="H1887" s="144" t="n">
        <v>1221</v>
      </c>
      <c r="I1887" s="144" t="inlineStr">
        <is>
          <t>COMMERCIAL</t>
        </is>
      </c>
    </row>
    <row r="1888" ht="18" customHeight="1" s="7">
      <c r="A1888" s="144" t="inlineStr">
        <is>
          <t>DONTA CALLOWAY</t>
        </is>
      </c>
      <c r="B1888" s="144" t="inlineStr">
        <is>
          <t>*053787279 GA</t>
        </is>
      </c>
      <c r="C1888" s="144" t="inlineStr">
        <is>
          <t>ABMERE</t>
        </is>
      </c>
      <c r="D1888" s="144" t="n">
        <v>2293274622</v>
      </c>
      <c r="E1888" s="144" t="inlineStr">
        <is>
          <t>BOX</t>
        </is>
      </c>
      <c r="F1888" s="144" t="inlineStr">
        <is>
          <t>C13448 GA</t>
        </is>
      </c>
      <c r="G1888" s="144" t="inlineStr">
        <is>
          <t>GRAY FREIGHT</t>
        </is>
      </c>
      <c r="H1888" s="144" t="n">
        <v>1221</v>
      </c>
      <c r="I1888" s="144" t="inlineStr">
        <is>
          <t>COMMERCIAL</t>
        </is>
      </c>
    </row>
    <row r="1889" ht="18" customHeight="1" s="7">
      <c r="A1889" s="144" t="inlineStr">
        <is>
          <t>JAVRES THOMPSON</t>
        </is>
      </c>
      <c r="B1889" s="144" t="inlineStr">
        <is>
          <t>6295464 AL</t>
        </is>
      </c>
      <c r="C1889" s="144" t="inlineStr">
        <is>
          <t>LANDSTAR</t>
        </is>
      </c>
      <c r="D1889" s="144" t="n">
        <v>2058213676</v>
      </c>
      <c r="E1889" s="144" t="inlineStr">
        <is>
          <t>BOX</t>
        </is>
      </c>
      <c r="F1889" s="144" t="inlineStr">
        <is>
          <t>3494969 IN</t>
        </is>
      </c>
      <c r="G1889" s="144" t="inlineStr">
        <is>
          <t>WHITE FREIGHTLINER</t>
        </is>
      </c>
      <c r="H1889" s="144" t="n">
        <v>1221</v>
      </c>
      <c r="I1889" s="144" t="inlineStr">
        <is>
          <t>COMMERCIAL</t>
        </is>
      </c>
    </row>
    <row r="1890" ht="18" customHeight="1" s="7">
      <c r="A1890" s="144" t="inlineStr">
        <is>
          <t>BRIAN MOORE</t>
        </is>
      </c>
      <c r="B1890" s="144" t="inlineStr">
        <is>
          <t>*062133565 GA</t>
        </is>
      </c>
      <c r="C1890" s="144" t="inlineStr">
        <is>
          <t>COLEMAN MOVING</t>
        </is>
      </c>
      <c r="D1890" s="144" t="n">
        <v>2534571177</v>
      </c>
      <c r="E1890" s="144" t="inlineStr">
        <is>
          <t>BOX</t>
        </is>
      </c>
      <c r="F1890" s="144" t="inlineStr">
        <is>
          <t>1211225 AL</t>
        </is>
      </c>
      <c r="G1890" s="144" t="inlineStr">
        <is>
          <t>WHITE PACVAN</t>
        </is>
      </c>
      <c r="H1890" s="144" t="inlineStr">
        <is>
          <t>HOUSING</t>
        </is>
      </c>
      <c r="I1890" s="144" t="inlineStr">
        <is>
          <t>COMMERCIAL</t>
        </is>
      </c>
    </row>
    <row r="1891" ht="18" customHeight="1" s="7">
      <c r="A1891" s="144" t="inlineStr">
        <is>
          <t>RICHARD HEATH</t>
        </is>
      </c>
      <c r="B1891" s="144" t="inlineStr">
        <is>
          <t>*060767555 GA</t>
        </is>
      </c>
      <c r="C1891" s="144" t="inlineStr">
        <is>
          <t>ENTERPRISE</t>
        </is>
      </c>
      <c r="D1891" s="144" t="n">
        <v>2296469661</v>
      </c>
      <c r="E1891" s="144" t="inlineStr">
        <is>
          <t>BOX</t>
        </is>
      </c>
      <c r="F1891" s="144" t="inlineStr">
        <is>
          <t>YXG416 GA</t>
        </is>
      </c>
      <c r="G1891" s="144" t="inlineStr">
        <is>
          <t>WHITE FREIGHTLINER</t>
        </is>
      </c>
      <c r="H1891" s="144" t="inlineStr">
        <is>
          <t>HOUSING</t>
        </is>
      </c>
      <c r="I1891" s="144" t="inlineStr">
        <is>
          <t>COMMERCIAL</t>
        </is>
      </c>
    </row>
    <row r="1892" ht="18" customHeight="1" s="7">
      <c r="A1892" s="144" t="inlineStr">
        <is>
          <t>MICHEAL HELMS</t>
        </is>
      </c>
      <c r="B1892" s="144" t="inlineStr">
        <is>
          <t>H452541674600FL</t>
        </is>
      </c>
      <c r="C1892" s="144" t="inlineStr">
        <is>
          <t>INSTALLATIONS</t>
        </is>
      </c>
      <c r="D1892" s="144" t="n">
        <v>9046476189</v>
      </c>
      <c r="E1892" s="144" t="inlineStr">
        <is>
          <t>BOX</t>
        </is>
      </c>
      <c r="F1892" s="144" t="inlineStr">
        <is>
          <t>20E6DSFL</t>
        </is>
      </c>
      <c r="G1892" s="144" t="inlineStr">
        <is>
          <t>WHITE INTERNATIONAL</t>
        </is>
      </c>
      <c r="H1892" s="144" t="n">
        <v>5400</v>
      </c>
      <c r="I1892" s="144" t="inlineStr">
        <is>
          <t>CONTRACTOR</t>
        </is>
      </c>
    </row>
    <row r="1893" ht="18" customHeight="1" s="7">
      <c r="A1893" s="144" t="inlineStr">
        <is>
          <t>VINCENT LEVINE</t>
        </is>
      </c>
      <c r="B1893" s="144" t="inlineStr">
        <is>
          <t>L150874041400 FL</t>
        </is>
      </c>
      <c r="C1893" s="144" t="inlineStr">
        <is>
          <t>OF INSTALLATION</t>
        </is>
      </c>
      <c r="D1893" s="144" t="n">
        <v>9044283910</v>
      </c>
      <c r="E1893" s="144" t="inlineStr">
        <is>
          <t>PU</t>
        </is>
      </c>
      <c r="F1893" s="144" t="inlineStr">
        <is>
          <t>BY79LU FL</t>
        </is>
      </c>
      <c r="G1893" s="144" t="inlineStr">
        <is>
          <t>BLACK DODGE</t>
        </is>
      </c>
      <c r="H1893" s="144" t="n">
        <v>5400</v>
      </c>
      <c r="I1893" s="144" t="inlineStr">
        <is>
          <t>CONTRACTOR</t>
        </is>
      </c>
    </row>
    <row r="1894" ht="18" customHeight="1" s="7">
      <c r="A1894" s="144" t="inlineStr">
        <is>
          <t>JOSHUA ROGERS</t>
        </is>
      </c>
      <c r="B1894" s="144" t="inlineStr">
        <is>
          <t>*048725008 GA</t>
        </is>
      </c>
      <c r="C1894" s="144" t="inlineStr">
        <is>
          <t>BESS HVAC</t>
        </is>
      </c>
      <c r="D1894" s="144" t="n">
        <v>7702226781</v>
      </c>
      <c r="E1894" s="144" t="inlineStr">
        <is>
          <t>PU</t>
        </is>
      </c>
      <c r="F1894" s="144" t="inlineStr">
        <is>
          <t>CVI6201 GA</t>
        </is>
      </c>
      <c r="G1894" s="144" t="inlineStr">
        <is>
          <t>WHITE GMC</t>
        </is>
      </c>
      <c r="H1894" s="144" t="inlineStr">
        <is>
          <t>SOLAR PANEL</t>
        </is>
      </c>
      <c r="I1894" s="144" t="inlineStr">
        <is>
          <t>CONTRACTOR</t>
        </is>
      </c>
    </row>
    <row r="1895" ht="18" customHeight="1" s="7">
      <c r="A1895" s="144" t="inlineStr">
        <is>
          <t>DARIO KEIC</t>
        </is>
      </c>
      <c r="B1895" s="144" t="inlineStr">
        <is>
          <t>K232970456000 FL</t>
        </is>
      </c>
      <c r="C1895" s="144" t="inlineStr">
        <is>
          <t>EMERSO CORPS</t>
        </is>
      </c>
      <c r="D1895" s="144" t="n">
        <v>9048023662</v>
      </c>
      <c r="E1895" s="144" t="inlineStr">
        <is>
          <t>BOX</t>
        </is>
      </c>
      <c r="F1895" s="144" t="inlineStr">
        <is>
          <t>P1186800 IL</t>
        </is>
      </c>
      <c r="G1895" s="144" t="inlineStr">
        <is>
          <t>BLUE KW</t>
        </is>
      </c>
      <c r="H1895" s="144" t="n">
        <v>1221</v>
      </c>
      <c r="I1895" s="144" t="inlineStr">
        <is>
          <t>COMMERCIAL</t>
        </is>
      </c>
    </row>
    <row r="1896" ht="18" customHeight="1" s="7">
      <c r="A1896" s="144" t="inlineStr">
        <is>
          <t>GHAYOUTI DRISS</t>
        </is>
      </c>
      <c r="B1896" s="144" t="inlineStr">
        <is>
          <t>*056376126 GA</t>
        </is>
      </c>
      <c r="C1896" s="144" t="inlineStr">
        <is>
          <t>EBC LOGISTICS</t>
        </is>
      </c>
      <c r="D1896" s="144" t="n">
        <v>4709573377</v>
      </c>
      <c r="E1896" s="144" t="inlineStr">
        <is>
          <t>BOX</t>
        </is>
      </c>
      <c r="F1896" s="144" t="inlineStr">
        <is>
          <t>C315ER GA</t>
        </is>
      </c>
      <c r="G1896" s="144" t="inlineStr">
        <is>
          <t>WHITE FREIGHTLINER</t>
        </is>
      </c>
      <c r="H1896" s="144" t="n">
        <v>1221</v>
      </c>
      <c r="I1896" s="144" t="inlineStr">
        <is>
          <t>COMMERCIAL</t>
        </is>
      </c>
    </row>
    <row r="1897" ht="18" customHeight="1" s="7">
      <c r="A1897" s="144" t="inlineStr">
        <is>
          <t>ALEX ROSS</t>
        </is>
      </c>
      <c r="B1897" s="144" t="inlineStr">
        <is>
          <t>*055518724 GA</t>
        </is>
      </c>
      <c r="C1897" s="144" t="inlineStr">
        <is>
          <t>A TEAM LOGIST</t>
        </is>
      </c>
      <c r="D1897" s="144" t="n">
        <v>4049145407</v>
      </c>
      <c r="E1897" s="144" t="inlineStr">
        <is>
          <t>BOX</t>
        </is>
      </c>
      <c r="F1897" s="144" t="inlineStr">
        <is>
          <t>C986EV GA</t>
        </is>
      </c>
      <c r="G1897" s="144" t="inlineStr">
        <is>
          <t>RED FREIGHTLINER</t>
        </is>
      </c>
      <c r="H1897" s="144" t="n">
        <v>1221</v>
      </c>
      <c r="I1897" s="144" t="inlineStr">
        <is>
          <t>COMMERCIAL</t>
        </is>
      </c>
    </row>
    <row r="1898" ht="18" customHeight="1" s="7">
      <c r="A1898" s="144" t="inlineStr">
        <is>
          <t>NATHANIEL STEELE</t>
        </is>
      </c>
      <c r="B1898" s="144" t="inlineStr">
        <is>
          <t>*019264356 GA</t>
        </is>
      </c>
      <c r="C1898" s="144" t="inlineStr">
        <is>
          <t>US FOODS</t>
        </is>
      </c>
      <c r="D1898" s="144" t="n">
        <v>4787375857</v>
      </c>
      <c r="E1898" s="144" t="inlineStr">
        <is>
          <t>VAN</t>
        </is>
      </c>
      <c r="F1898" s="144" t="inlineStr">
        <is>
          <t>GJQ800 GA</t>
        </is>
      </c>
      <c r="G1898" s="144" t="inlineStr">
        <is>
          <t>WHITE MERCEDES</t>
        </is>
      </c>
      <c r="H1898" s="144" t="n">
        <v>7450</v>
      </c>
      <c r="I1898" s="144" t="inlineStr">
        <is>
          <t>CONTRACTOR</t>
        </is>
      </c>
    </row>
    <row r="1899" ht="18" customHeight="1" s="7">
      <c r="A1899" s="144" t="inlineStr">
        <is>
          <t>ZAYET NELSON</t>
        </is>
      </c>
      <c r="B1899" s="144" t="inlineStr">
        <is>
          <t>*061463144 GA</t>
        </is>
      </c>
      <c r="C1899" s="144" t="inlineStr">
        <is>
          <t>LADE</t>
        </is>
      </c>
      <c r="D1899" s="144" t="n">
        <v>8392168204</v>
      </c>
      <c r="E1899" s="144" t="inlineStr">
        <is>
          <t>FLAT</t>
        </is>
      </c>
      <c r="F1899" s="144" t="inlineStr">
        <is>
          <t>ZIN926 GA</t>
        </is>
      </c>
      <c r="G1899" s="144" t="inlineStr">
        <is>
          <t>BLACK INTERNAT</t>
        </is>
      </c>
      <c r="H1899" s="144" t="inlineStr">
        <is>
          <t>K9</t>
        </is>
      </c>
      <c r="I1899" s="144" t="inlineStr">
        <is>
          <t>COMMERCIAL</t>
        </is>
      </c>
    </row>
    <row r="1900" ht="18" customHeight="1" s="7">
      <c r="A1900" s="144" t="inlineStr">
        <is>
          <t>ANTONIO PIGFORD</t>
        </is>
      </c>
      <c r="B1900" s="144" t="inlineStr">
        <is>
          <t>*000039366120 NC</t>
        </is>
      </c>
      <c r="C1900" s="144" t="inlineStr">
        <is>
          <t>OTP LOGISTIC</t>
        </is>
      </c>
      <c r="D1900" s="144" t="n">
        <v>9104653907</v>
      </c>
      <c r="E1900" s="144" t="inlineStr">
        <is>
          <t>FLAT</t>
        </is>
      </c>
      <c r="F1900" s="144" t="inlineStr">
        <is>
          <t>NS5493 NC</t>
        </is>
      </c>
      <c r="G1900" s="144" t="inlineStr">
        <is>
          <t>BLUE INTERNATIONAL</t>
        </is>
      </c>
      <c r="H1900" s="144" t="n">
        <v>1221</v>
      </c>
      <c r="I1900" s="144" t="inlineStr">
        <is>
          <t>COMMERICAL</t>
        </is>
      </c>
    </row>
    <row r="1901" ht="18" customHeight="1" s="7">
      <c r="A1901" s="144" t="inlineStr">
        <is>
          <t>SHEROD SIDBURY</t>
        </is>
      </c>
      <c r="B1901" s="144" t="inlineStr">
        <is>
          <t>000029015162 NC</t>
        </is>
      </c>
      <c r="C1901" s="144" t="inlineStr">
        <is>
          <t>S&amp;C TRUCKING</t>
        </is>
      </c>
      <c r="D1901" s="144" t="n">
        <v>9107890134</v>
      </c>
      <c r="E1901" s="144" t="inlineStr">
        <is>
          <t>FLAT</t>
        </is>
      </c>
      <c r="F1901" s="144" t="inlineStr">
        <is>
          <t>NL2563 NC</t>
        </is>
      </c>
      <c r="G1901" s="144" t="inlineStr">
        <is>
          <t>WHITE FREIGHTLINER</t>
        </is>
      </c>
      <c r="H1901" s="144" t="n">
        <v>1221</v>
      </c>
      <c r="I1901" s="144" t="inlineStr">
        <is>
          <t>COMMERICAL</t>
        </is>
      </c>
    </row>
    <row r="1902" ht="18" customHeight="1" s="7">
      <c r="A1902" s="144" t="inlineStr">
        <is>
          <t>CHARLES MURPHY III</t>
        </is>
      </c>
      <c r="B1902" s="144" t="inlineStr">
        <is>
          <t>000025098784 NC</t>
        </is>
      </c>
      <c r="C1902" s="144" t="inlineStr">
        <is>
          <t xml:space="preserve">CD MURPHY </t>
        </is>
      </c>
      <c r="D1902" s="144" t="n">
        <v>9107778497</v>
      </c>
      <c r="E1902" s="144" t="inlineStr">
        <is>
          <t>FLAT</t>
        </is>
      </c>
      <c r="F1902" s="144" t="inlineStr">
        <is>
          <t>NB9464 NC</t>
        </is>
      </c>
      <c r="G1902" s="144" t="inlineStr">
        <is>
          <t>WHITE PETERBILT</t>
        </is>
      </c>
      <c r="H1902" s="144" t="n">
        <v>1221</v>
      </c>
      <c r="I1902" s="144" t="inlineStr">
        <is>
          <t>COMMERICAL</t>
        </is>
      </c>
    </row>
    <row r="1903" ht="18" customHeight="1" s="7">
      <c r="A1903" s="144" t="inlineStr">
        <is>
          <t>PHINIZY BURNS</t>
        </is>
      </c>
      <c r="B1903" s="144" t="inlineStr">
        <is>
          <t>0555990283 GA</t>
        </is>
      </c>
      <c r="C1903" s="144" t="inlineStr">
        <is>
          <t>APPLE MOVING</t>
        </is>
      </c>
      <c r="D1903" s="144" t="n">
        <v>7063390835</v>
      </c>
      <c r="E1903" s="144" t="inlineStr">
        <is>
          <t>BOX</t>
        </is>
      </c>
      <c r="F1903" s="144" t="inlineStr">
        <is>
          <t>54329 VA</t>
        </is>
      </c>
      <c r="G1903" s="144" t="inlineStr">
        <is>
          <t>WHITE INTERNATIONAL</t>
        </is>
      </c>
      <c r="H1903" s="144" t="inlineStr">
        <is>
          <t>HOUSING</t>
        </is>
      </c>
      <c r="I1903" s="144" t="inlineStr">
        <is>
          <t>COMMERICAL</t>
        </is>
      </c>
    </row>
    <row r="1904" ht="18" customHeight="1" s="7">
      <c r="A1904" s="144" t="inlineStr">
        <is>
          <t>TALLEY REED</t>
        </is>
      </c>
      <c r="B1904" s="144" t="inlineStr">
        <is>
          <t>070021710 GA</t>
        </is>
      </c>
      <c r="C1904" s="144" t="inlineStr">
        <is>
          <t>MVW</t>
        </is>
      </c>
      <c r="D1904" s="144" t="n">
        <v>2293471188</v>
      </c>
      <c r="E1904" s="144" t="inlineStr">
        <is>
          <t>JEEP</t>
        </is>
      </c>
      <c r="F1904" s="144" t="inlineStr">
        <is>
          <t>SHY3229 GA</t>
        </is>
      </c>
      <c r="G1904" s="144" t="inlineStr">
        <is>
          <t>RED BRONCO</t>
        </is>
      </c>
      <c r="H1904" s="144" t="n">
        <v>2200</v>
      </c>
      <c r="I1904" s="144" t="inlineStr">
        <is>
          <t>CONTRACTOR</t>
        </is>
      </c>
    </row>
    <row r="1905" ht="18" customHeight="1" s="7">
      <c r="A1905" s="144" t="inlineStr">
        <is>
          <t>ANTHONY COOK</t>
        </is>
      </c>
      <c r="B1905" s="144" t="inlineStr">
        <is>
          <t>000003024927 NC</t>
        </is>
      </c>
      <c r="C1905" s="144" t="inlineStr">
        <is>
          <t>REED'S TRUCKING</t>
        </is>
      </c>
      <c r="D1905" s="144" t="n">
        <v>9105479733</v>
      </c>
      <c r="E1905" s="144" t="inlineStr">
        <is>
          <t>FLAT</t>
        </is>
      </c>
      <c r="F1905" s="144" t="inlineStr">
        <is>
          <t>NM6651 NC</t>
        </is>
      </c>
      <c r="G1905" s="144" t="inlineStr">
        <is>
          <t>RED FREIGHTLINER</t>
        </is>
      </c>
      <c r="H1905" s="144" t="n">
        <v>1221</v>
      </c>
      <c r="I1905" s="144" t="inlineStr">
        <is>
          <t>COMMERICAL</t>
        </is>
      </c>
    </row>
    <row r="1906" ht="18" customHeight="1" s="7">
      <c r="A1906" s="144" t="inlineStr">
        <is>
          <t>BRANDON TUGGLE</t>
        </is>
      </c>
      <c r="B1906" s="144" t="inlineStr">
        <is>
          <t>049420062 GA</t>
        </is>
      </c>
      <c r="C1906" s="144" t="inlineStr">
        <is>
          <t>SOUTHERN EDGE</t>
        </is>
      </c>
      <c r="D1906" s="144" t="n">
        <v>2298868539</v>
      </c>
      <c r="E1906" s="144" t="inlineStr">
        <is>
          <t>PU</t>
        </is>
      </c>
      <c r="F1906" s="144" t="inlineStr">
        <is>
          <t>SDC2954 GA</t>
        </is>
      </c>
      <c r="G1906" s="144" t="inlineStr">
        <is>
          <t>WHITE CHEV</t>
        </is>
      </c>
      <c r="H1906" s="144" t="inlineStr">
        <is>
          <t>HOUSING</t>
        </is>
      </c>
      <c r="I1906" s="144" t="inlineStr">
        <is>
          <t>CONTRACTOR</t>
        </is>
      </c>
    </row>
    <row r="1907" ht="18" customHeight="1" s="7">
      <c r="A1907" s="144" t="inlineStr">
        <is>
          <t>JOSHUA HENRY</t>
        </is>
      </c>
      <c r="B1907" s="144" t="inlineStr">
        <is>
          <t>051912073 GA</t>
        </is>
      </c>
      <c r="C1907" s="144" t="inlineStr">
        <is>
          <t>RHC</t>
        </is>
      </c>
      <c r="D1907" s="144" t="n">
        <v>2298692102</v>
      </c>
      <c r="E1907" s="144" t="inlineStr">
        <is>
          <t>PU</t>
        </is>
      </c>
      <c r="F1907" s="144" t="inlineStr">
        <is>
          <t>PIP9056 GA</t>
        </is>
      </c>
      <c r="G1907" s="144" t="inlineStr">
        <is>
          <t>BLACK FORD</t>
        </is>
      </c>
      <c r="H1907" s="144" t="inlineStr">
        <is>
          <t>BASEWIDE</t>
        </is>
      </c>
      <c r="I1907" s="144" t="inlineStr">
        <is>
          <t>CONTRACTOR</t>
        </is>
      </c>
    </row>
    <row r="1908" ht="18" customHeight="1" s="7">
      <c r="A1908" s="144" t="inlineStr">
        <is>
          <t>DAVID FOGLE</t>
        </is>
      </c>
      <c r="B1908" s="144" t="inlineStr">
        <is>
          <t>102837072 SC</t>
        </is>
      </c>
      <c r="C1908" s="144" t="inlineStr">
        <is>
          <t>MD MACHINE</t>
        </is>
      </c>
      <c r="D1908" s="144" t="n">
        <v>2299243030</v>
      </c>
      <c r="E1908" s="144" t="inlineStr">
        <is>
          <t>VAN</t>
        </is>
      </c>
      <c r="F1908" s="144" t="inlineStr">
        <is>
          <t>VIB598 SC</t>
        </is>
      </c>
      <c r="G1908" s="144" t="inlineStr">
        <is>
          <t>WHITE NISSAN</t>
        </is>
      </c>
      <c r="H1908" s="144" t="n">
        <v>2200</v>
      </c>
      <c r="I1908" s="144" t="inlineStr">
        <is>
          <t>CONTRACTOR</t>
        </is>
      </c>
    </row>
    <row r="1909" ht="18" customHeight="1" s="7">
      <c r="A1909" s="144" t="inlineStr">
        <is>
          <t>HARRYLEE MURPHY</t>
        </is>
      </c>
      <c r="B1909" s="144" t="inlineStr">
        <is>
          <t>000021783095 NC</t>
        </is>
      </c>
      <c r="C1909" s="144" t="inlineStr">
        <is>
          <t>HARRY MURPHY TRANS</t>
        </is>
      </c>
      <c r="D1909" s="144" t="n">
        <v>9106165160</v>
      </c>
      <c r="E1909" s="144" t="inlineStr">
        <is>
          <t>FLAT</t>
        </is>
      </c>
      <c r="F1909" s="144" t="inlineStr">
        <is>
          <t>MW6137 NC</t>
        </is>
      </c>
      <c r="G1909" s="144" t="inlineStr">
        <is>
          <t>BLUE PETERBILT</t>
        </is>
      </c>
      <c r="H1909" s="144" t="n">
        <v>1221</v>
      </c>
      <c r="I1909" s="144" t="inlineStr">
        <is>
          <t>COMMERICAL</t>
        </is>
      </c>
    </row>
    <row r="1910" ht="18" customHeight="1" s="7">
      <c r="A1910" s="144" t="inlineStr">
        <is>
          <t>PHILBERT WALKER</t>
        </is>
      </c>
      <c r="B1910" s="144" t="inlineStr">
        <is>
          <t>000002797917 NC</t>
        </is>
      </c>
      <c r="C1910" s="144" t="inlineStr">
        <is>
          <t>ANNIE MAE</t>
        </is>
      </c>
      <c r="D1910" s="144" t="n">
        <v>9106630498</v>
      </c>
      <c r="E1910" s="144" t="inlineStr">
        <is>
          <t>FLAT</t>
        </is>
      </c>
      <c r="F1910" s="144" t="inlineStr">
        <is>
          <t>NV5930 NC</t>
        </is>
      </c>
      <c r="G1910" s="144" t="inlineStr">
        <is>
          <t>RED KENWORTH</t>
        </is>
      </c>
      <c r="H1910" s="144" t="n">
        <v>1221</v>
      </c>
      <c r="I1910" s="144" t="inlineStr">
        <is>
          <t>COMMERICAL</t>
        </is>
      </c>
    </row>
    <row r="1911" ht="18" customHeight="1" s="7">
      <c r="A1911" s="144" t="inlineStr">
        <is>
          <t>BRYAN BILLGER</t>
        </is>
      </c>
      <c r="B1911" s="144" t="inlineStr">
        <is>
          <t>RP800709 OH</t>
        </is>
      </c>
      <c r="C1911" s="144" t="inlineStr">
        <is>
          <t>KATTSAFE</t>
        </is>
      </c>
      <c r="D1911" s="144" t="n">
        <v>8886377872</v>
      </c>
      <c r="E1911" s="144" t="inlineStr">
        <is>
          <t>BOX</t>
        </is>
      </c>
      <c r="F1911" s="144" t="inlineStr">
        <is>
          <t>TQ622OUK IN</t>
        </is>
      </c>
      <c r="G1911" s="144" t="inlineStr">
        <is>
          <t>WHITE FORD</t>
        </is>
      </c>
      <c r="H1911" s="144" t="n">
        <v>3700</v>
      </c>
      <c r="I1911" s="144" t="inlineStr">
        <is>
          <t>CONTRACTOR</t>
        </is>
      </c>
    </row>
    <row r="1912" ht="18" customHeight="1" s="7">
      <c r="A1912" s="144" t="inlineStr">
        <is>
          <t>MUSA SODIROV</t>
        </is>
      </c>
      <c r="B1912" s="144" t="inlineStr">
        <is>
          <t>S36154091313 IL</t>
        </is>
      </c>
      <c r="C1912" s="144" t="inlineStr">
        <is>
          <t>GO USA</t>
        </is>
      </c>
      <c r="D1912" s="144" t="n">
        <v>8507144426</v>
      </c>
      <c r="E1912" s="144" t="inlineStr">
        <is>
          <t>FLAT</t>
        </is>
      </c>
      <c r="F1912" s="144" t="inlineStr">
        <is>
          <t>P1124614 IL</t>
        </is>
      </c>
      <c r="G1912" s="144" t="inlineStr">
        <is>
          <t>GREEN VOLVO</t>
        </is>
      </c>
      <c r="H1912" s="144" t="n">
        <v>1221</v>
      </c>
      <c r="I1912" s="144" t="inlineStr">
        <is>
          <t>COMMERICAL</t>
        </is>
      </c>
    </row>
    <row r="1913" ht="18" customHeight="1" s="7">
      <c r="A1913" s="144" t="inlineStr">
        <is>
          <t>ROBERT KINES</t>
        </is>
      </c>
      <c r="B1913" s="144" t="inlineStr">
        <is>
          <t>K520770592010</t>
        </is>
      </c>
      <c r="C1913" s="144" t="inlineStr">
        <is>
          <t>DD214 TRANS</t>
        </is>
      </c>
      <c r="D1913" s="144" t="n">
        <v>8509730330</v>
      </c>
      <c r="E1913" s="144" t="inlineStr">
        <is>
          <t>PU</t>
        </is>
      </c>
      <c r="F1913" s="144" t="inlineStr">
        <is>
          <t>TE9473 NC</t>
        </is>
      </c>
      <c r="G1913" s="144" t="inlineStr">
        <is>
          <t>GRAY DODGE</t>
        </is>
      </c>
      <c r="H1913" s="144" t="n">
        <v>1221</v>
      </c>
      <c r="I1913" s="144" t="inlineStr">
        <is>
          <t>CONTRACTOR</t>
        </is>
      </c>
    </row>
    <row r="1914" ht="18" customHeight="1" s="7">
      <c r="A1914" s="144" t="inlineStr">
        <is>
          <t>JAX CAMP</t>
        </is>
      </c>
      <c r="B1914" s="144" t="inlineStr">
        <is>
          <t>7002684 AL</t>
        </is>
      </c>
      <c r="C1914" s="144" t="inlineStr">
        <is>
          <t>SA REYCLING</t>
        </is>
      </c>
      <c r="D1914" s="144" t="n">
        <v>9713801533</v>
      </c>
      <c r="E1914" s="144" t="inlineStr">
        <is>
          <t>FLAT</t>
        </is>
      </c>
      <c r="F1914" s="144" t="inlineStr">
        <is>
          <t>S4710HY TN</t>
        </is>
      </c>
      <c r="G1914" s="144" t="inlineStr">
        <is>
          <t>WHITE KENWORTH</t>
        </is>
      </c>
      <c r="H1914" s="144" t="n">
        <v>1221</v>
      </c>
      <c r="I1914" s="144" t="inlineStr">
        <is>
          <t>CONTRACTOR</t>
        </is>
      </c>
    </row>
    <row r="1915" ht="18" customHeight="1" s="7">
      <c r="A1915" s="144" t="inlineStr">
        <is>
          <t>JAMES MCALLISTER</t>
        </is>
      </c>
      <c r="B1915" s="144" t="inlineStr">
        <is>
          <t>000008895226 NC</t>
        </is>
      </c>
      <c r="C1915" s="144" t="inlineStr">
        <is>
          <t>BLACK BOX</t>
        </is>
      </c>
      <c r="D1915" s="144" t="n">
        <v>9105405093</v>
      </c>
      <c r="E1915" s="144" t="inlineStr">
        <is>
          <t>FLAT</t>
        </is>
      </c>
      <c r="F1915" s="144" t="inlineStr">
        <is>
          <t>MM1837 NC</t>
        </is>
      </c>
      <c r="G1915" s="144" t="inlineStr">
        <is>
          <t>RED PETERBILT</t>
        </is>
      </c>
      <c r="H1915" s="144" t="n">
        <v>1221</v>
      </c>
      <c r="I1915" s="144" t="inlineStr">
        <is>
          <t>COMMERICAL</t>
        </is>
      </c>
    </row>
    <row r="1916" ht="18" customHeight="1" s="7">
      <c r="A1916" s="144" t="inlineStr">
        <is>
          <t>ARLINE REGINALD</t>
        </is>
      </c>
      <c r="B1916" s="144" t="inlineStr">
        <is>
          <t>A645725623270 FL</t>
        </is>
      </c>
      <c r="C1916" s="144" t="inlineStr">
        <is>
          <t>MJW CONSOLIDATED</t>
        </is>
      </c>
      <c r="D1916" s="144" t="n">
        <v>9046255969</v>
      </c>
      <c r="E1916" s="144" t="inlineStr">
        <is>
          <t>PU</t>
        </is>
      </c>
      <c r="F1916" s="144" t="inlineStr">
        <is>
          <t>AQO8RA FL</t>
        </is>
      </c>
      <c r="G1916" s="144" t="inlineStr">
        <is>
          <t>WHITE FORD</t>
        </is>
      </c>
      <c r="H1916" s="144" t="inlineStr">
        <is>
          <t>2500 BROOM</t>
        </is>
      </c>
      <c r="I1916" s="144" t="inlineStr">
        <is>
          <t>CONTRACTOR</t>
        </is>
      </c>
    </row>
    <row r="1917" ht="18" customHeight="1" s="7">
      <c r="A1917" s="144" t="inlineStr">
        <is>
          <t>ROBERT WHEELER</t>
        </is>
      </c>
      <c r="B1917" s="144" t="inlineStr">
        <is>
          <t>5400138063 IN</t>
        </is>
      </c>
      <c r="C1917" s="144" t="inlineStr">
        <is>
          <t>DNT EXPRESS</t>
        </is>
      </c>
      <c r="D1917" s="144" t="n">
        <v>57438832718</v>
      </c>
      <c r="E1917" s="144" t="inlineStr">
        <is>
          <t>FLAT</t>
        </is>
      </c>
      <c r="F1917" s="144" t="inlineStr">
        <is>
          <t>3389010 IN</t>
        </is>
      </c>
      <c r="G1917" s="144" t="inlineStr">
        <is>
          <t>RED INTERNATIONAL</t>
        </is>
      </c>
      <c r="H1917" s="144" t="n">
        <v>1221</v>
      </c>
      <c r="I1917" s="144" t="inlineStr">
        <is>
          <t>COMMERICAL</t>
        </is>
      </c>
    </row>
    <row r="1918" ht="18" customHeight="1" s="7">
      <c r="A1918" s="144" t="inlineStr">
        <is>
          <t>RICCARDO SIMMIONS</t>
        </is>
      </c>
      <c r="B1918" s="144" t="inlineStr">
        <is>
          <t>038238220 GA</t>
        </is>
      </c>
      <c r="C1918" s="144" t="inlineStr">
        <is>
          <t>CONYERS</t>
        </is>
      </c>
      <c r="D1918" s="144" t="n">
        <v>2294359874</v>
      </c>
      <c r="E1918" s="144" t="inlineStr">
        <is>
          <t>DUMP</t>
        </is>
      </c>
      <c r="F1918" s="144" t="inlineStr">
        <is>
          <t>EEI073 GA</t>
        </is>
      </c>
      <c r="G1918" s="144" t="inlineStr">
        <is>
          <t>RED PETERBILT</t>
        </is>
      </c>
      <c r="H1918" s="144" t="inlineStr">
        <is>
          <t>HOUSING</t>
        </is>
      </c>
      <c r="I1918" s="144" t="inlineStr">
        <is>
          <t>CONTRACTOR</t>
        </is>
      </c>
    </row>
    <row r="1919" ht="18" customHeight="1" s="7">
      <c r="A1919" s="144" t="inlineStr">
        <is>
          <t>VALERY KICHURA</t>
        </is>
      </c>
      <c r="B1919" s="144" t="inlineStr">
        <is>
          <t>K260860694570 FL</t>
        </is>
      </c>
      <c r="C1919" s="144" t="inlineStr">
        <is>
          <t>LPK TRANSPORT</t>
        </is>
      </c>
      <c r="D1919" s="144" t="n">
        <v>9042376223</v>
      </c>
      <c r="E1919" s="144" t="inlineStr">
        <is>
          <t>FLAT</t>
        </is>
      </c>
      <c r="F1919" s="144" t="inlineStr">
        <is>
          <t>TE3268 NC</t>
        </is>
      </c>
      <c r="G1919" s="144" t="inlineStr">
        <is>
          <t>BLUE KENWORTH</t>
        </is>
      </c>
      <c r="H1919" s="144" t="n">
        <v>1221</v>
      </c>
      <c r="I1919" s="144" t="inlineStr">
        <is>
          <t>COMMERICAL</t>
        </is>
      </c>
    </row>
    <row r="1920" ht="18" customHeight="1" s="7">
      <c r="A1920" s="144" t="inlineStr">
        <is>
          <t>BRYAN PLYERS</t>
        </is>
      </c>
      <c r="B1920" s="144" t="inlineStr">
        <is>
          <t>P420071882510</t>
        </is>
      </c>
      <c r="C1920" s="144" t="inlineStr">
        <is>
          <t>SUNBELT</t>
        </is>
      </c>
      <c r="D1920" s="144" t="n">
        <v>9124926402</v>
      </c>
      <c r="E1920" s="144" t="inlineStr">
        <is>
          <t>FLAT</t>
        </is>
      </c>
      <c r="F1920" s="144" t="inlineStr">
        <is>
          <t>P815541 IL</t>
        </is>
      </c>
      <c r="G1920" s="144" t="inlineStr">
        <is>
          <t>GREEN PETERBILT</t>
        </is>
      </c>
      <c r="H1920" s="144" t="n">
        <v>2200</v>
      </c>
      <c r="I1920" s="144" t="inlineStr">
        <is>
          <t>COMMERICAL</t>
        </is>
      </c>
    </row>
    <row r="1921" ht="18" customHeight="1" s="7">
      <c r="A1921" s="144" t="inlineStr">
        <is>
          <t>JAVIAR COFFEE</t>
        </is>
      </c>
      <c r="B1921" s="144" t="inlineStr">
        <is>
          <t>C100424863780</t>
        </is>
      </c>
      <c r="C1921" s="144" t="inlineStr">
        <is>
          <t>YK EXPRESS</t>
        </is>
      </c>
      <c r="D1921" s="144" t="n">
        <v>8137439066</v>
      </c>
      <c r="E1921" s="144" t="inlineStr">
        <is>
          <t>FLAT</t>
        </is>
      </c>
      <c r="F1921" s="144" t="inlineStr">
        <is>
          <t>XE806S FL</t>
        </is>
      </c>
      <c r="G1921" s="144" t="inlineStr">
        <is>
          <t>WHITE FREIGHTLINER</t>
        </is>
      </c>
      <c r="H1921" s="144" t="n">
        <v>1221</v>
      </c>
      <c r="I1921" s="144" t="inlineStr">
        <is>
          <t>COMMERICAL</t>
        </is>
      </c>
    </row>
    <row r="1922" ht="18" customHeight="1" s="7">
      <c r="A1922" s="144" t="inlineStr">
        <is>
          <t>ANDRE JONES</t>
        </is>
      </c>
      <c r="B1922" s="144" t="inlineStr">
        <is>
          <t>*050856966 GA</t>
        </is>
      </c>
      <c r="C1922" s="144" t="inlineStr">
        <is>
          <t>VETEREN LOGISTIC</t>
        </is>
      </c>
      <c r="D1922" s="144" t="n">
        <v>4047694468</v>
      </c>
      <c r="E1922" s="144" t="inlineStr">
        <is>
          <t>PU</t>
        </is>
      </c>
      <c r="F1922" s="144" t="inlineStr">
        <is>
          <t>ELK530 GA</t>
        </is>
      </c>
      <c r="G1922" s="144" t="inlineStr">
        <is>
          <t>BLACK CHEVY</t>
        </is>
      </c>
      <c r="H1922" s="144" t="n">
        <v>1221</v>
      </c>
      <c r="I1922" s="144" t="inlineStr">
        <is>
          <t>CONTRACTOR</t>
        </is>
      </c>
    </row>
    <row r="1923" ht="18" customHeight="1" s="7">
      <c r="A1923" s="144" t="inlineStr">
        <is>
          <t>MELODY KINNEER</t>
        </is>
      </c>
      <c r="B1923" s="144" t="inlineStr">
        <is>
          <t>K240094260000 FL</t>
        </is>
      </c>
      <c r="C1923" s="144" t="inlineStr">
        <is>
          <t>LANDSTAR</t>
        </is>
      </c>
      <c r="D1923" s="144" t="n">
        <v>7655859970</v>
      </c>
      <c r="E1923" s="144" t="inlineStr">
        <is>
          <t>BOX</t>
        </is>
      </c>
      <c r="F1923" s="144" t="inlineStr">
        <is>
          <t>3236352 IN</t>
        </is>
      </c>
      <c r="G1923" s="144" t="inlineStr">
        <is>
          <t>WHITE FREIGHTLINER</t>
        </is>
      </c>
      <c r="H1923" s="144" t="n">
        <v>1221</v>
      </c>
      <c r="I1923" s="144" t="inlineStr">
        <is>
          <t>COMMERICAL</t>
        </is>
      </c>
    </row>
    <row r="1924" ht="18" customHeight="1" s="7">
      <c r="A1924" s="144" t="inlineStr">
        <is>
          <t>TRAVIS GREEN</t>
        </is>
      </c>
      <c r="B1924" s="144" t="inlineStr">
        <is>
          <t>000002097077 NC</t>
        </is>
      </c>
      <c r="C1924" s="144" t="inlineStr">
        <is>
          <t>J GREEN</t>
        </is>
      </c>
      <c r="D1924" s="144" t="n">
        <v>9104429636</v>
      </c>
      <c r="E1924" s="144" t="inlineStr">
        <is>
          <t>FLAT</t>
        </is>
      </c>
      <c r="F1924" s="144" t="inlineStr">
        <is>
          <t>TD4510 NC</t>
        </is>
      </c>
      <c r="G1924" s="144" t="inlineStr">
        <is>
          <t>BLUE PETERBILT</t>
        </is>
      </c>
      <c r="H1924" s="144" t="n">
        <v>1221</v>
      </c>
      <c r="I1924" s="144" t="inlineStr">
        <is>
          <t>COMMERICAL</t>
        </is>
      </c>
    </row>
    <row r="1925" ht="18" customHeight="1" s="7">
      <c r="A1925" s="144" t="inlineStr">
        <is>
          <t>BARRY JONES</t>
        </is>
      </c>
      <c r="B1925" s="144" t="inlineStr">
        <is>
          <t>000004112001 NC</t>
        </is>
      </c>
      <c r="C1925" s="144" t="inlineStr">
        <is>
          <t>KELLYS TRUCKING</t>
        </is>
      </c>
      <c r="D1925" s="144" t="n">
        <v>9105300955</v>
      </c>
      <c r="E1925" s="144" t="inlineStr">
        <is>
          <t>FLAT</t>
        </is>
      </c>
      <c r="F1925" s="144" t="inlineStr">
        <is>
          <t>VV6101 NC</t>
        </is>
      </c>
      <c r="G1925" s="144" t="inlineStr">
        <is>
          <t>BLUE KENWORTH</t>
        </is>
      </c>
      <c r="H1925" s="144" t="n">
        <v>1221</v>
      </c>
      <c r="I1925" s="144" t="inlineStr">
        <is>
          <t>COMMERICAL</t>
        </is>
      </c>
    </row>
    <row r="1926" ht="18" customHeight="1" s="7">
      <c r="A1926" s="144" t="inlineStr">
        <is>
          <t>RICKY KELLY</t>
        </is>
      </c>
      <c r="B1926" s="144" t="inlineStr">
        <is>
          <t>000005107597 NC</t>
        </is>
      </c>
      <c r="C1926" s="144" t="inlineStr">
        <is>
          <t>KELLYS TRUCKING</t>
        </is>
      </c>
      <c r="D1926" s="144" t="n">
        <v>9102843416</v>
      </c>
      <c r="E1926" s="144" t="inlineStr">
        <is>
          <t>FLAT</t>
        </is>
      </c>
      <c r="F1926" s="144" t="inlineStr">
        <is>
          <t>NS3571 NC</t>
        </is>
      </c>
      <c r="G1926" s="144" t="inlineStr">
        <is>
          <t>WHITE FREIGHTLINER</t>
        </is>
      </c>
      <c r="H1926" s="144" t="n">
        <v>1221</v>
      </c>
      <c r="I1926" s="144" t="inlineStr">
        <is>
          <t>COMMERICAL</t>
        </is>
      </c>
    </row>
    <row r="1927" ht="18" customHeight="1" s="7">
      <c r="A1927" s="144" t="inlineStr">
        <is>
          <t>AARON BROWN</t>
        </is>
      </c>
      <c r="B1927" s="144" t="inlineStr">
        <is>
          <t>008083206 SC</t>
        </is>
      </c>
      <c r="C1927" s="144" t="inlineStr">
        <is>
          <t>BANK &amp; SON</t>
        </is>
      </c>
      <c r="D1927" s="144" t="n">
        <v>8433310595</v>
      </c>
      <c r="E1927" s="144" t="inlineStr">
        <is>
          <t>FLAT</t>
        </is>
      </c>
      <c r="F1927" s="144" t="inlineStr">
        <is>
          <t>VW4462 NC</t>
        </is>
      </c>
      <c r="G1927" s="144" t="inlineStr">
        <is>
          <t>RED KENWORTH</t>
        </is>
      </c>
      <c r="H1927" s="144" t="n">
        <v>1221</v>
      </c>
      <c r="I1927" s="144" t="inlineStr">
        <is>
          <t>COMMERICAL</t>
        </is>
      </c>
    </row>
    <row r="1928" ht="18" customHeight="1" s="7">
      <c r="A1928" s="144" t="inlineStr">
        <is>
          <t>TRENT HALL</t>
        </is>
      </c>
      <c r="B1928" s="144" t="inlineStr">
        <is>
          <t>000007931318 NC</t>
        </is>
      </c>
      <c r="C1928" s="144" t="inlineStr">
        <is>
          <t>FLYING J ENT</t>
        </is>
      </c>
      <c r="D1928" s="144" t="n">
        <v>9103517128</v>
      </c>
      <c r="E1928" s="144" t="inlineStr">
        <is>
          <t>FLAT</t>
        </is>
      </c>
      <c r="F1928" s="144" t="inlineStr">
        <is>
          <t>C209EG GA</t>
        </is>
      </c>
      <c r="G1928" s="144" t="inlineStr">
        <is>
          <t>ORANGE PETERBILT</t>
        </is>
      </c>
      <c r="H1928" s="144" t="n">
        <v>1221</v>
      </c>
      <c r="I1928" s="144" t="inlineStr">
        <is>
          <t>COMMERICAL</t>
        </is>
      </c>
    </row>
    <row r="1929" ht="18" customHeight="1" s="7">
      <c r="A1929" s="144" t="inlineStr">
        <is>
          <t>BILLY RAY MOORE</t>
        </is>
      </c>
      <c r="B1929" s="144" t="inlineStr">
        <is>
          <t>000035643199 NC</t>
        </is>
      </c>
      <c r="C1929" s="144" t="inlineStr">
        <is>
          <t>BANK &amp; SON</t>
        </is>
      </c>
      <c r="D1929" s="144" t="n">
        <v>9102606897</v>
      </c>
      <c r="E1929" s="144" t="inlineStr">
        <is>
          <t>FLAT</t>
        </is>
      </c>
      <c r="F1929" s="144" t="inlineStr">
        <is>
          <t>VT2245 NC</t>
        </is>
      </c>
      <c r="G1929" s="144" t="inlineStr">
        <is>
          <t>PURPLE PETERBILT</t>
        </is>
      </c>
      <c r="H1929" s="144" t="n">
        <v>1221</v>
      </c>
      <c r="I1929" s="144" t="inlineStr">
        <is>
          <t>COMMERICAL</t>
        </is>
      </c>
    </row>
    <row r="1930" ht="18" customHeight="1" s="7">
      <c r="A1930" s="144" t="inlineStr">
        <is>
          <t>LAMONT WARREN</t>
        </is>
      </c>
      <c r="B1930" s="144" t="inlineStr">
        <is>
          <t>*054298720 GA</t>
        </is>
      </c>
      <c r="C1930" s="144" t="inlineStr">
        <is>
          <t>JOE HEAVY</t>
        </is>
      </c>
      <c r="D1930" s="144" t="n">
        <v>2293212443</v>
      </c>
      <c r="E1930" s="144" t="inlineStr">
        <is>
          <t>FLAT</t>
        </is>
      </c>
      <c r="F1930" s="144" t="inlineStr">
        <is>
          <t>IC34PE GA</t>
        </is>
      </c>
      <c r="G1930" s="144" t="inlineStr">
        <is>
          <t>BLACK KENWORTH</t>
        </is>
      </c>
      <c r="H1930" s="144" t="n">
        <v>1221</v>
      </c>
      <c r="I1930" s="144" t="inlineStr">
        <is>
          <t>COMMERICAL</t>
        </is>
      </c>
    </row>
    <row r="1931" ht="18" customHeight="1" s="7">
      <c r="A1931" s="144" t="inlineStr">
        <is>
          <t>HOWARD LEONARD</t>
        </is>
      </c>
      <c r="B1931" s="144" t="inlineStr">
        <is>
          <t>L532313507280 MI</t>
        </is>
      </c>
      <c r="C1931" s="144" t="inlineStr">
        <is>
          <t>LANDSTAR</t>
        </is>
      </c>
      <c r="D1931" s="144" t="n">
        <v>5174041718</v>
      </c>
      <c r="E1931" s="144" t="inlineStr">
        <is>
          <t>BOX</t>
        </is>
      </c>
      <c r="F1931" s="144" t="inlineStr">
        <is>
          <t>3411079 IN</t>
        </is>
      </c>
      <c r="G1931" s="144" t="inlineStr">
        <is>
          <t>ORANGE VOLVO</t>
        </is>
      </c>
      <c r="H1931" s="144" t="n">
        <v>1221</v>
      </c>
      <c r="I1931" s="144" t="inlineStr">
        <is>
          <t>COMMERCIAL</t>
        </is>
      </c>
    </row>
    <row r="1932" ht="18" customHeight="1" s="7">
      <c r="A1932" s="144" t="inlineStr">
        <is>
          <t xml:space="preserve">REED JONATHAN </t>
        </is>
      </c>
      <c r="B1932" s="144" t="inlineStr">
        <is>
          <t>*050641121 GA</t>
        </is>
      </c>
      <c r="C1932" s="144" t="inlineStr">
        <is>
          <t>EMC</t>
        </is>
      </c>
      <c r="D1932" s="144" t="n">
        <v>2298916624</v>
      </c>
      <c r="E1932" s="144" t="inlineStr">
        <is>
          <t>PU</t>
        </is>
      </c>
      <c r="F1932" s="144" t="inlineStr">
        <is>
          <t>SDT0555 GA</t>
        </is>
      </c>
      <c r="G1932" s="144" t="inlineStr">
        <is>
          <t>WHITE CHEVY</t>
        </is>
      </c>
      <c r="H1932" s="144" t="inlineStr">
        <is>
          <t>GATE 1/5</t>
        </is>
      </c>
      <c r="I1932" s="144" t="inlineStr">
        <is>
          <t>CONTRACTOR</t>
        </is>
      </c>
    </row>
    <row r="1933" ht="18" customHeight="1" s="7">
      <c r="A1933" s="144" t="inlineStr">
        <is>
          <t>COBY HORAK</t>
        </is>
      </c>
      <c r="B1933" s="144" t="inlineStr">
        <is>
          <t>*070875067 GA</t>
        </is>
      </c>
      <c r="C1933" s="144" t="inlineStr">
        <is>
          <t>YANCEY RENTALS</t>
        </is>
      </c>
      <c r="D1933" s="144" t="n">
        <v>7706586584</v>
      </c>
      <c r="E1933" s="144" t="inlineStr">
        <is>
          <t>PU</t>
        </is>
      </c>
      <c r="F1933" s="144" t="inlineStr">
        <is>
          <t>YBU988 GA</t>
        </is>
      </c>
      <c r="G1933" s="144" t="inlineStr">
        <is>
          <t>WHITE FORD</t>
        </is>
      </c>
      <c r="H1933" s="144" t="inlineStr">
        <is>
          <t>K-9</t>
        </is>
      </c>
      <c r="I1933" s="144" t="inlineStr">
        <is>
          <t>CONTRACTOR</t>
        </is>
      </c>
    </row>
    <row r="1934" ht="18" customHeight="1" s="7">
      <c r="A1934" s="144" t="inlineStr">
        <is>
          <t>CHRISTOPHER GRIMSLEY</t>
        </is>
      </c>
      <c r="B1934" s="144" t="inlineStr">
        <is>
          <t>*059339641 GA</t>
        </is>
      </c>
      <c r="C1934" s="144" t="inlineStr">
        <is>
          <t>L &amp; K</t>
        </is>
      </c>
      <c r="D1934" s="144" t="n">
        <v>3342021257</v>
      </c>
      <c r="E1934" s="144" t="inlineStr">
        <is>
          <t>BOX</t>
        </is>
      </c>
      <c r="F1934" s="144" t="inlineStr">
        <is>
          <t>C968EK GA</t>
        </is>
      </c>
      <c r="G1934" s="144" t="inlineStr">
        <is>
          <t>WHITE INTER</t>
        </is>
      </c>
      <c r="H1934" s="144" t="n">
        <v>1221</v>
      </c>
      <c r="I1934" s="144" t="inlineStr">
        <is>
          <t>COMMERCIAL</t>
        </is>
      </c>
    </row>
    <row r="1935" ht="18" customHeight="1" s="7">
      <c r="A1935" s="144" t="inlineStr">
        <is>
          <t>TRACY MOREE</t>
        </is>
      </c>
      <c r="B1935" s="144" t="inlineStr">
        <is>
          <t>*057883162 GA</t>
        </is>
      </c>
      <c r="C1935" s="144" t="inlineStr">
        <is>
          <t>GEA</t>
        </is>
      </c>
      <c r="D1935" s="144" t="n">
        <v>2293762166</v>
      </c>
      <c r="E1935" s="144" t="inlineStr">
        <is>
          <t>PU</t>
        </is>
      </c>
      <c r="F1935" s="144" t="inlineStr">
        <is>
          <t>RXF3298 GA</t>
        </is>
      </c>
      <c r="G1935" s="144" t="inlineStr">
        <is>
          <t>WHITE FORD</t>
        </is>
      </c>
      <c r="H1935" s="144" t="inlineStr">
        <is>
          <t>WATER PLANT</t>
        </is>
      </c>
      <c r="I1935" s="144" t="inlineStr">
        <is>
          <t>CONTRACTOR</t>
        </is>
      </c>
    </row>
    <row r="1936" ht="18" customHeight="1" s="7">
      <c r="A1936" s="144" t="inlineStr">
        <is>
          <t>GARY TURLEY</t>
        </is>
      </c>
      <c r="B1936" s="144" t="inlineStr">
        <is>
          <t>104747999 SC</t>
        </is>
      </c>
      <c r="C1936" s="144" t="inlineStr">
        <is>
          <t>BARN HART TRANS</t>
        </is>
      </c>
      <c r="D1936" s="144" t="n">
        <v>5137661859</v>
      </c>
      <c r="E1936" s="144" t="inlineStr">
        <is>
          <t>FLAT</t>
        </is>
      </c>
      <c r="F1936" s="144" t="inlineStr">
        <is>
          <t>AG81942 PA</t>
        </is>
      </c>
      <c r="G1936" s="144" t="inlineStr">
        <is>
          <t>SILVER KENWORTH</t>
        </is>
      </c>
      <c r="H1936" s="144" t="n">
        <v>1221</v>
      </c>
      <c r="I1936" s="144" t="inlineStr">
        <is>
          <t>COMMERCIAL</t>
        </is>
      </c>
    </row>
    <row r="1937" ht="18" customHeight="1" s="7">
      <c r="A1937" s="144" t="inlineStr">
        <is>
          <t>LUVSAN SERGELENBAATAR</t>
        </is>
      </c>
      <c r="B1937" s="144" t="inlineStr">
        <is>
          <t>B62431574 VA</t>
        </is>
      </c>
      <c r="C1937" s="144" t="inlineStr">
        <is>
          <t>FSD FREIGHT</t>
        </is>
      </c>
      <c r="D1937" s="144" t="n">
        <v>7037957732</v>
      </c>
      <c r="E1937" s="144" t="inlineStr">
        <is>
          <t>FLAT</t>
        </is>
      </c>
      <c r="F1937" s="144" t="inlineStr">
        <is>
          <t>52379 VA</t>
        </is>
      </c>
      <c r="G1937" s="144" t="inlineStr">
        <is>
          <t>WHITE FREIGHTLINER</t>
        </is>
      </c>
      <c r="H1937" s="144" t="n">
        <v>1221</v>
      </c>
      <c r="I1937" s="144" t="inlineStr">
        <is>
          <t>COMMERCIAL</t>
        </is>
      </c>
    </row>
    <row r="1938" ht="18" customHeight="1" s="7">
      <c r="A1938" s="144" t="inlineStr">
        <is>
          <t>VILLAMIZAR ENIX</t>
        </is>
      </c>
      <c r="B1938" s="144" t="inlineStr">
        <is>
          <t>V236486358000 FL</t>
        </is>
      </c>
      <c r="C1938" s="144" t="inlineStr">
        <is>
          <t>WOODLAND</t>
        </is>
      </c>
      <c r="D1938" s="144" t="n">
        <v>3475561327</v>
      </c>
      <c r="E1938" s="144" t="inlineStr">
        <is>
          <t>BOX</t>
        </is>
      </c>
      <c r="F1938" s="144" t="inlineStr">
        <is>
          <t>XE221H FL</t>
        </is>
      </c>
      <c r="G1938" s="144" t="inlineStr">
        <is>
          <t>WHITE FREIGHTLINER</t>
        </is>
      </c>
      <c r="H1938" s="144" t="inlineStr">
        <is>
          <t>1221`</t>
        </is>
      </c>
      <c r="I1938" s="144" t="inlineStr">
        <is>
          <t>COMMERCIAL</t>
        </is>
      </c>
    </row>
    <row r="1939" ht="18" customHeight="1" s="7">
      <c r="A1939" s="144" t="inlineStr">
        <is>
          <t>HALLEY JONATHAN</t>
        </is>
      </c>
      <c r="B1939" s="144" t="inlineStr">
        <is>
          <t>H400425823340 FL</t>
        </is>
      </c>
      <c r="C1939" s="144" t="inlineStr">
        <is>
          <t>WICHTER</t>
        </is>
      </c>
      <c r="D1939" s="144" t="n">
        <v>8507970359</v>
      </c>
      <c r="E1939" s="144" t="inlineStr">
        <is>
          <t>PU</t>
        </is>
      </c>
      <c r="F1939" s="144" t="inlineStr">
        <is>
          <t>06980R3 CA</t>
        </is>
      </c>
      <c r="G1939" s="144" t="inlineStr">
        <is>
          <t>WHITE FORD</t>
        </is>
      </c>
      <c r="H1939" s="144" t="n">
        <v>1215</v>
      </c>
      <c r="I1939" s="144" t="inlineStr">
        <is>
          <t>CONTRACTOR</t>
        </is>
      </c>
    </row>
    <row r="1940" ht="18" customHeight="1" s="7">
      <c r="A1940" s="144" t="inlineStr">
        <is>
          <t>PERRY TRAQUAZ</t>
        </is>
      </c>
      <c r="B1940" s="144" t="inlineStr">
        <is>
          <t>*000033974844 NC</t>
        </is>
      </c>
      <c r="C1940" s="144" t="inlineStr">
        <is>
          <t>VWZ EXPRESS</t>
        </is>
      </c>
      <c r="D1940" s="144" t="n">
        <v>9197583193</v>
      </c>
      <c r="E1940" s="144" t="inlineStr">
        <is>
          <t>BOX</t>
        </is>
      </c>
      <c r="F1940" s="144" t="inlineStr">
        <is>
          <t>ATSS10762 IL</t>
        </is>
      </c>
      <c r="G1940" s="144" t="inlineStr">
        <is>
          <t>WHITE INTER</t>
        </is>
      </c>
      <c r="H1940" s="144" t="n">
        <v>1221</v>
      </c>
      <c r="I1940" s="144" t="inlineStr">
        <is>
          <t>COMMERCIAL</t>
        </is>
      </c>
    </row>
    <row r="1941" ht="18" customHeight="1" s="7">
      <c r="A1941" s="144" t="inlineStr">
        <is>
          <t>ANDREWS JASPER</t>
        </is>
      </c>
      <c r="B1941" s="144" t="inlineStr">
        <is>
          <t>A536436643640 FL</t>
        </is>
      </c>
      <c r="C1941" s="144" t="inlineStr">
        <is>
          <t>OF INSTALLATION</t>
        </is>
      </c>
      <c r="D1941" s="144" t="n">
        <v>9046476189</v>
      </c>
      <c r="E1941" s="144" t="inlineStr">
        <is>
          <t>BOX</t>
        </is>
      </c>
      <c r="F1941" s="144" t="inlineStr">
        <is>
          <t>88EWNI FL</t>
        </is>
      </c>
      <c r="G1941" s="144" t="inlineStr">
        <is>
          <t>WHITE INTER</t>
        </is>
      </c>
      <c r="H1941" s="144" t="n">
        <v>5400</v>
      </c>
      <c r="I1941" s="144" t="inlineStr">
        <is>
          <t>COMMERCIAL</t>
        </is>
      </c>
    </row>
    <row r="1942" ht="18" customHeight="1" s="7">
      <c r="A1942" s="144" t="inlineStr">
        <is>
          <t>MWANGI CHRISTOPHER</t>
        </is>
      </c>
      <c r="B1942" s="144" t="inlineStr">
        <is>
          <t>T64281691 VA</t>
        </is>
      </c>
      <c r="C1942" s="144" t="inlineStr">
        <is>
          <t>LANDSTAR</t>
        </is>
      </c>
      <c r="D1942" s="144" t="n">
        <v>8049557109</v>
      </c>
      <c r="E1942" s="144" t="inlineStr">
        <is>
          <t>BOX</t>
        </is>
      </c>
      <c r="F1942" s="144" t="inlineStr">
        <is>
          <t>3400059 IN</t>
        </is>
      </c>
      <c r="G1942" s="144" t="inlineStr">
        <is>
          <t>WHITE FREIGHTLINER</t>
        </is>
      </c>
      <c r="H1942" s="144" t="n">
        <v>1221</v>
      </c>
      <c r="I1942" s="144" t="inlineStr">
        <is>
          <t>COMMERCIAL</t>
        </is>
      </c>
    </row>
    <row r="1943" ht="18" customHeight="1" s="7">
      <c r="A1943" s="144" t="inlineStr">
        <is>
          <t>FRED BRAGER</t>
        </is>
      </c>
      <c r="B1943" s="144" t="inlineStr">
        <is>
          <t>*057999409 GA</t>
        </is>
      </c>
      <c r="C1943" s="144" t="inlineStr">
        <is>
          <t xml:space="preserve">DYNAMIC </t>
        </is>
      </c>
      <c r="D1943" s="144" t="n">
        <v>5092512300</v>
      </c>
      <c r="E1943" s="144" t="inlineStr">
        <is>
          <t>FLAT</t>
        </is>
      </c>
      <c r="F1943" s="144" t="inlineStr">
        <is>
          <t>C283EQ GA</t>
        </is>
      </c>
      <c r="G1943" s="144" t="inlineStr">
        <is>
          <t>WHITE KENWORTH</t>
        </is>
      </c>
      <c r="H1943" s="144" t="n">
        <v>1221</v>
      </c>
      <c r="I1943" s="144" t="inlineStr">
        <is>
          <t>COMMERCIAL</t>
        </is>
      </c>
    </row>
    <row r="1944" ht="18" customHeight="1" s="7">
      <c r="A1944" s="144" t="inlineStr">
        <is>
          <t>KENNETH HOUGH</t>
        </is>
      </c>
      <c r="B1944" s="144" t="inlineStr">
        <is>
          <t>*000005519621 NC</t>
        </is>
      </c>
      <c r="C1944" s="144" t="inlineStr">
        <is>
          <t>UNEEK TRUCKING</t>
        </is>
      </c>
      <c r="D1944" s="144" t="n">
        <v>9104174812</v>
      </c>
      <c r="E1944" s="144" t="inlineStr">
        <is>
          <t>BOX</t>
        </is>
      </c>
      <c r="F1944" s="144" t="inlineStr">
        <is>
          <t>VV2145 NC</t>
        </is>
      </c>
      <c r="G1944" s="144" t="inlineStr">
        <is>
          <t>RED KENWORTH</t>
        </is>
      </c>
      <c r="H1944" s="144" t="n">
        <v>1221</v>
      </c>
      <c r="I1944" s="144" t="inlineStr">
        <is>
          <t>COMMERCIAL</t>
        </is>
      </c>
    </row>
    <row r="1945" ht="18" customHeight="1" s="7">
      <c r="A1945" s="144" t="inlineStr">
        <is>
          <t>ERIC MURPHY</t>
        </is>
      </c>
      <c r="B1945" s="144" t="inlineStr">
        <is>
          <t>060508886 GA</t>
        </is>
      </c>
      <c r="C1945" s="144" t="inlineStr">
        <is>
          <t>GEORIGA CROWN</t>
        </is>
      </c>
      <c r="D1945" s="144" t="n">
        <v>2293436232</v>
      </c>
      <c r="E1945" s="144" t="inlineStr">
        <is>
          <t>BOX</t>
        </is>
      </c>
      <c r="F1945" s="144" t="inlineStr">
        <is>
          <t>GAL276 GA</t>
        </is>
      </c>
      <c r="G1945" s="144" t="inlineStr">
        <is>
          <t>WHITE F650</t>
        </is>
      </c>
      <c r="H1945" s="144" t="n">
        <v>7501</v>
      </c>
      <c r="I1945" s="144" t="inlineStr">
        <is>
          <t>CONTRACTOR</t>
        </is>
      </c>
    </row>
    <row r="1946" ht="18" customHeight="1" s="7">
      <c r="A1946" s="144" t="inlineStr">
        <is>
          <t>LEONID ZAMOTAYEV</t>
        </is>
      </c>
      <c r="B1946" s="144" t="inlineStr">
        <is>
          <t>42585103 TX</t>
        </is>
      </c>
      <c r="C1946" s="144" t="inlineStr">
        <is>
          <t>LEO TRANS</t>
        </is>
      </c>
      <c r="D1946" s="144" t="n">
        <v>4132318545</v>
      </c>
      <c r="E1946" s="144" t="inlineStr">
        <is>
          <t>BOX</t>
        </is>
      </c>
      <c r="F1946" s="144" t="inlineStr">
        <is>
          <t>R361028 TX</t>
        </is>
      </c>
      <c r="G1946" s="144" t="inlineStr">
        <is>
          <t>BLUE FREIGHTLINER</t>
        </is>
      </c>
      <c r="H1946" s="144" t="n">
        <v>1221</v>
      </c>
      <c r="I1946" s="144" t="inlineStr">
        <is>
          <t>COMMERICAL</t>
        </is>
      </c>
    </row>
    <row r="1947" ht="18" customHeight="1" s="7">
      <c r="A1947" s="144" t="inlineStr">
        <is>
          <t>JORGE MORENO</t>
        </is>
      </c>
      <c r="B1947" s="144" t="inlineStr">
        <is>
          <t>051253901 GA</t>
        </is>
      </c>
      <c r="C1947" s="144" t="inlineStr">
        <is>
          <t>RHC</t>
        </is>
      </c>
      <c r="D1947" s="144" t="n">
        <v>2294353500</v>
      </c>
      <c r="E1947" s="144" t="inlineStr">
        <is>
          <t>PU</t>
        </is>
      </c>
      <c r="F1947" s="144" t="inlineStr">
        <is>
          <t>PVT2942 GA</t>
        </is>
      </c>
      <c r="G1947" s="144" t="inlineStr">
        <is>
          <t>WHITE FORD</t>
        </is>
      </c>
      <c r="H1947" s="144" t="inlineStr">
        <is>
          <t>HOUSING</t>
        </is>
      </c>
      <c r="I1947" s="144" t="inlineStr">
        <is>
          <t>CONTRACTOR</t>
        </is>
      </c>
    </row>
    <row r="1948" ht="18" customHeight="1" s="7">
      <c r="A1948" s="144" t="inlineStr">
        <is>
          <t>CHRISTOPHER ALDRIDGE</t>
        </is>
      </c>
      <c r="B1948" s="144" t="inlineStr">
        <is>
          <t>050213094 GA</t>
        </is>
      </c>
      <c r="C1948" s="144" t="inlineStr">
        <is>
          <t>RAU</t>
        </is>
      </c>
      <c r="D1948" s="144" t="n">
        <v>9126144721</v>
      </c>
      <c r="E1948" s="144" t="inlineStr">
        <is>
          <t>FLAT</t>
        </is>
      </c>
      <c r="F1948" s="144" t="inlineStr">
        <is>
          <t>NP6040 NC</t>
        </is>
      </c>
      <c r="G1948" s="144" t="inlineStr">
        <is>
          <t>YELLOW KENWORTH</t>
        </is>
      </c>
      <c r="H1948" s="144" t="n">
        <v>1221</v>
      </c>
      <c r="I1948" s="144" t="inlineStr">
        <is>
          <t>COMMERICAL</t>
        </is>
      </c>
    </row>
    <row r="1949" ht="18" customHeight="1" s="7">
      <c r="A1949" s="144" t="inlineStr">
        <is>
          <t>MICHEAL BAILEY</t>
        </is>
      </c>
      <c r="B1949" s="144" t="inlineStr">
        <is>
          <t>*051773939 GA</t>
        </is>
      </c>
      <c r="C1949" s="144" t="inlineStr">
        <is>
          <t>IMPERIAL EXPRESS</t>
        </is>
      </c>
      <c r="D1949" s="144" t="n">
        <v>7065668997</v>
      </c>
      <c r="E1949" s="144" t="inlineStr">
        <is>
          <t>BOX</t>
        </is>
      </c>
      <c r="F1949" s="144" t="inlineStr">
        <is>
          <t>GIK678 GA</t>
        </is>
      </c>
      <c r="G1949" s="144" t="inlineStr">
        <is>
          <t>WHITE HINO</t>
        </is>
      </c>
      <c r="H1949" s="144" t="inlineStr">
        <is>
          <t>POWERWORKS</t>
        </is>
      </c>
      <c r="I1949" s="144" t="inlineStr">
        <is>
          <t>COMMERCIAL</t>
        </is>
      </c>
    </row>
    <row r="1950" ht="18" customHeight="1" s="7">
      <c r="A1950" s="144" t="inlineStr">
        <is>
          <t>MARQUIS GORE</t>
        </is>
      </c>
      <c r="B1950" s="144" t="inlineStr">
        <is>
          <t>101705283 SC</t>
        </is>
      </c>
      <c r="C1950" s="144" t="inlineStr">
        <is>
          <t>FT LLC</t>
        </is>
      </c>
      <c r="D1950" s="144" t="n">
        <v>8436016581</v>
      </c>
      <c r="E1950" s="144" t="inlineStr">
        <is>
          <t>FLAT</t>
        </is>
      </c>
      <c r="F1950" s="144" t="inlineStr">
        <is>
          <t>A005477 SC</t>
        </is>
      </c>
      <c r="G1950" s="144" t="inlineStr">
        <is>
          <t>WHITE INTERNATIONAL</t>
        </is>
      </c>
      <c r="H1950" s="144" t="n">
        <v>1221</v>
      </c>
      <c r="I1950" s="144" t="inlineStr">
        <is>
          <t>CCOMMERICAL</t>
        </is>
      </c>
    </row>
    <row r="1951" ht="18" customHeight="1" s="7">
      <c r="A1951" s="144" t="inlineStr">
        <is>
          <t>CARL COLANTONIO</t>
        </is>
      </c>
      <c r="B1951" s="144" t="inlineStr">
        <is>
          <t>6741297 AL</t>
        </is>
      </c>
      <c r="C1951" s="144" t="inlineStr">
        <is>
          <t>ALLIED</t>
        </is>
      </c>
      <c r="D1951" s="144" t="n">
        <v>3346145934</v>
      </c>
      <c r="E1951" s="144" t="inlineStr">
        <is>
          <t>BOX</t>
        </is>
      </c>
      <c r="F1951" s="144" t="inlineStr">
        <is>
          <t>1175871 AL</t>
        </is>
      </c>
      <c r="G1951" s="144" t="inlineStr">
        <is>
          <t>WHITE INTERNATIONAL</t>
        </is>
      </c>
      <c r="H1951" s="144" t="inlineStr">
        <is>
          <t>HOUSING</t>
        </is>
      </c>
      <c r="I1951" s="144" t="inlineStr">
        <is>
          <t>COMMERICAL</t>
        </is>
      </c>
    </row>
    <row r="1952" ht="18" customHeight="1" s="7">
      <c r="A1952" s="144" t="inlineStr">
        <is>
          <t>JONES LANDON</t>
        </is>
      </c>
      <c r="B1952" s="144" t="inlineStr">
        <is>
          <t>060805891 GA</t>
        </is>
      </c>
      <c r="C1952" s="144" t="inlineStr">
        <is>
          <t>CORBETT</t>
        </is>
      </c>
      <c r="D1952" s="144" t="n">
        <v>2295594784</v>
      </c>
      <c r="E1952" s="144" t="inlineStr">
        <is>
          <t>CRANE</t>
        </is>
      </c>
      <c r="F1952" s="144" t="inlineStr">
        <is>
          <t>ENP471 GA</t>
        </is>
      </c>
      <c r="G1952" s="144" t="inlineStr">
        <is>
          <t>WHITE FREIGHTLINER</t>
        </is>
      </c>
      <c r="H1952" s="144" t="n">
        <v>2200</v>
      </c>
      <c r="I1952" s="144" t="inlineStr">
        <is>
          <t>CONTRACTOR</t>
        </is>
      </c>
    </row>
    <row r="1953" ht="18" customHeight="1" s="7">
      <c r="A1953" s="144" t="inlineStr">
        <is>
          <t>MARK CORBETT</t>
        </is>
      </c>
      <c r="B1953" s="144" t="inlineStr">
        <is>
          <t>051847388 GA</t>
        </is>
      </c>
      <c r="C1953" s="144" t="inlineStr">
        <is>
          <t>CORBETT</t>
        </is>
      </c>
      <c r="D1953" s="144" t="n">
        <v>2295594784</v>
      </c>
      <c r="E1953" s="144" t="inlineStr">
        <is>
          <t>PU</t>
        </is>
      </c>
      <c r="F1953" s="144" t="inlineStr">
        <is>
          <t>EZQ507 GA</t>
        </is>
      </c>
      <c r="G1953" s="144" t="inlineStr">
        <is>
          <t>WHITE CHEV</t>
        </is>
      </c>
      <c r="H1953" s="144" t="n">
        <v>2200</v>
      </c>
      <c r="I1953" s="144" t="inlineStr">
        <is>
          <t>CONTRACTOR</t>
        </is>
      </c>
    </row>
    <row r="1954" ht="18" customHeight="1" s="7">
      <c r="A1954" s="144" t="inlineStr">
        <is>
          <t>ANGEL SANTANA III</t>
        </is>
      </c>
      <c r="B1954" s="144" t="inlineStr">
        <is>
          <t>060971356 GA</t>
        </is>
      </c>
      <c r="C1954" s="144" t="inlineStr">
        <is>
          <t>ECSLIPSE SOLUTION</t>
        </is>
      </c>
      <c r="D1954" s="144" t="n">
        <v>6785174718</v>
      </c>
      <c r="E1954" s="144" t="inlineStr">
        <is>
          <t>FLAT</t>
        </is>
      </c>
      <c r="F1954" s="144" t="inlineStr">
        <is>
          <t>P1188201 IL</t>
        </is>
      </c>
      <c r="G1954" s="144" t="inlineStr">
        <is>
          <t>GREY FREIGHTLINER</t>
        </is>
      </c>
      <c r="H1954" s="144" t="n">
        <v>1221</v>
      </c>
      <c r="I1954" s="144" t="inlineStr">
        <is>
          <t>COMMERICAL</t>
        </is>
      </c>
    </row>
    <row r="1955" ht="18" customHeight="1" s="7">
      <c r="A1955" s="144" t="inlineStr">
        <is>
          <t>GARY GREEN</t>
        </is>
      </c>
      <c r="B1955" s="144" t="inlineStr">
        <is>
          <t>000005549077 NC</t>
        </is>
      </c>
      <c r="C1955" s="144" t="inlineStr">
        <is>
          <t>GWD TRANS</t>
        </is>
      </c>
      <c r="D1955" s="144" t="n">
        <v>9107970092</v>
      </c>
      <c r="E1955" s="144" t="inlineStr">
        <is>
          <t>FLAT</t>
        </is>
      </c>
      <c r="F1955" s="144" t="inlineStr">
        <is>
          <t>TD4510 NC</t>
        </is>
      </c>
      <c r="G1955" s="144" t="inlineStr">
        <is>
          <t>RED PETERBILT</t>
        </is>
      </c>
      <c r="H1955" s="144" t="n">
        <v>1221</v>
      </c>
      <c r="I1955" s="144" t="inlineStr">
        <is>
          <t>COMMERICAL</t>
        </is>
      </c>
    </row>
    <row r="1956" ht="18" customHeight="1" s="7">
      <c r="A1956" s="144" t="inlineStr">
        <is>
          <t>JONATHAN WILLIAMS</t>
        </is>
      </c>
      <c r="B1956" s="144" t="inlineStr">
        <is>
          <t>A165420833710 FL</t>
        </is>
      </c>
      <c r="C1956" s="144" t="inlineStr">
        <is>
          <t>A&amp;M CARRIERS</t>
        </is>
      </c>
      <c r="D1956" s="144" t="n">
        <v>3214086376</v>
      </c>
      <c r="E1956" s="144" t="inlineStr">
        <is>
          <t>FLAT</t>
        </is>
      </c>
      <c r="F1956" s="144" t="inlineStr">
        <is>
          <t>P1139750 IL</t>
        </is>
      </c>
      <c r="G1956" s="144" t="inlineStr">
        <is>
          <t>RED MACK</t>
        </is>
      </c>
      <c r="H1956" s="144" t="n">
        <v>1221</v>
      </c>
      <c r="I1956" s="144" t="inlineStr">
        <is>
          <t>COMMERICAL</t>
        </is>
      </c>
    </row>
    <row r="1957" ht="18" customHeight="1" s="7">
      <c r="A1957" s="144" t="inlineStr">
        <is>
          <t>DENIS ANDREYEV</t>
        </is>
      </c>
      <c r="B1957" s="144" t="inlineStr">
        <is>
          <t>059805780 GA</t>
        </is>
      </c>
      <c r="C1957" s="144" t="inlineStr">
        <is>
          <t>PACIFIC COAST EXP</t>
        </is>
      </c>
      <c r="D1957" s="144" t="n">
        <v>5599609862</v>
      </c>
      <c r="E1957" s="144" t="inlineStr">
        <is>
          <t>BOX</t>
        </is>
      </c>
      <c r="F1957" s="144" t="inlineStr">
        <is>
          <t>A002726 SC</t>
        </is>
      </c>
      <c r="G1957" s="144" t="inlineStr">
        <is>
          <t>GREY VOLVO</t>
        </is>
      </c>
      <c r="H1957" s="144" t="n">
        <v>1331</v>
      </c>
      <c r="I1957" s="144" t="inlineStr">
        <is>
          <t>COMMERICAL</t>
        </is>
      </c>
    </row>
    <row r="1958" ht="18" customHeight="1" s="7">
      <c r="A1958" s="144" t="inlineStr">
        <is>
          <t>TAYLOR CHARLES</t>
        </is>
      </c>
      <c r="B1958" s="144" t="inlineStr">
        <is>
          <t>T238021194000 FL</t>
        </is>
      </c>
      <c r="C1958" s="144" t="inlineStr">
        <is>
          <t>U READY NOW</t>
        </is>
      </c>
      <c r="D1958" s="144" t="n">
        <v>8503228388</v>
      </c>
      <c r="E1958" s="144" t="inlineStr">
        <is>
          <t>BOX</t>
        </is>
      </c>
      <c r="F1958" s="144" t="inlineStr">
        <is>
          <t>WJF7065 TX</t>
        </is>
      </c>
      <c r="G1958" s="144" t="inlineStr">
        <is>
          <t>GREEN FREIGHTLINER</t>
        </is>
      </c>
      <c r="H1958" s="144" t="n">
        <v>1221</v>
      </c>
      <c r="I1958" s="144" t="inlineStr">
        <is>
          <t>COMMERICAL</t>
        </is>
      </c>
    </row>
    <row r="1959" ht="18" customHeight="1" s="7">
      <c r="A1959" s="144" t="inlineStr">
        <is>
          <t>JOSHUA SEGER</t>
        </is>
      </c>
      <c r="B1959" s="144" t="inlineStr">
        <is>
          <t>*056561049 GA</t>
        </is>
      </c>
      <c r="C1959" s="144" t="inlineStr">
        <is>
          <t>CITY OF ALBANY</t>
        </is>
      </c>
      <c r="D1959" s="144" t="n">
        <v>2294186779</v>
      </c>
      <c r="E1959" s="144" t="inlineStr">
        <is>
          <t>PU</t>
        </is>
      </c>
      <c r="F1959" s="144" t="inlineStr">
        <is>
          <t>GV5759P GA</t>
        </is>
      </c>
      <c r="G1959" s="144" t="inlineStr">
        <is>
          <t>WHITE FORD</t>
        </is>
      </c>
      <c r="H1959" s="144" t="n">
        <v>1241</v>
      </c>
      <c r="I1959" s="144" t="inlineStr">
        <is>
          <t>CONTRACTOR</t>
        </is>
      </c>
    </row>
    <row r="1960" ht="18" customHeight="1" s="7">
      <c r="A1960" s="144" t="inlineStr">
        <is>
          <t>JOSEPH TOOLR JR</t>
        </is>
      </c>
      <c r="B1960" s="144" t="inlineStr">
        <is>
          <t>*071483358 GA</t>
        </is>
      </c>
      <c r="C1960" s="144" t="inlineStr">
        <is>
          <t>SUNBELT</t>
        </is>
      </c>
      <c r="D1960" s="144" t="n">
        <v>8138577559</v>
      </c>
      <c r="E1960" s="144" t="inlineStr">
        <is>
          <t>FLAT</t>
        </is>
      </c>
      <c r="F1960" s="144" t="inlineStr">
        <is>
          <t>P5125G FL</t>
        </is>
      </c>
      <c r="G1960" s="144" t="inlineStr">
        <is>
          <t>GREEN FREIGHTLINER</t>
        </is>
      </c>
      <c r="H1960" s="144" t="n">
        <v>2200</v>
      </c>
      <c r="I1960" s="144" t="inlineStr">
        <is>
          <t>COMMERCIAL</t>
        </is>
      </c>
    </row>
    <row r="1961" ht="18" customHeight="1" s="7">
      <c r="A1961" s="144" t="inlineStr">
        <is>
          <t>DONTAVIOUS LOFTON</t>
        </is>
      </c>
      <c r="B1961" s="144" t="inlineStr">
        <is>
          <t>*055988973 GA</t>
        </is>
      </c>
      <c r="C1961" s="144" t="inlineStr">
        <is>
          <t>RNDC</t>
        </is>
      </c>
      <c r="D1961" s="144" t="n">
        <v>2297895949</v>
      </c>
      <c r="E1961" s="144" t="inlineStr">
        <is>
          <t>BOX</t>
        </is>
      </c>
      <c r="F1961" s="144" t="inlineStr">
        <is>
          <t>GEI783 GA</t>
        </is>
      </c>
      <c r="G1961" s="144" t="inlineStr">
        <is>
          <t>WHITE FREIGHTLINER</t>
        </is>
      </c>
      <c r="H1961" s="144" t="n">
        <v>7501</v>
      </c>
      <c r="I1961" s="144" t="inlineStr">
        <is>
          <t>COMMERCIAL</t>
        </is>
      </c>
    </row>
    <row r="1962" ht="18" customHeight="1" s="7">
      <c r="A1962" s="144" t="inlineStr">
        <is>
          <t>JAMES ETHRIDGE</t>
        </is>
      </c>
      <c r="B1962" s="144" t="inlineStr">
        <is>
          <t>*071740416 GA</t>
        </is>
      </c>
      <c r="C1962" s="144" t="inlineStr">
        <is>
          <t>DHC</t>
        </is>
      </c>
      <c r="D1962" s="144" t="n">
        <v>2294353300</v>
      </c>
      <c r="E1962" s="144" t="inlineStr">
        <is>
          <t>PU</t>
        </is>
      </c>
      <c r="F1962" s="144" t="inlineStr">
        <is>
          <t>YWG716 GA</t>
        </is>
      </c>
      <c r="G1962" s="144" t="inlineStr">
        <is>
          <t>WHITE FORD</t>
        </is>
      </c>
      <c r="H1962" s="144" t="n">
        <v>5500</v>
      </c>
      <c r="I1962" s="144" t="inlineStr">
        <is>
          <t>CONTRACTOR</t>
        </is>
      </c>
    </row>
    <row r="1963" ht="18" customHeight="1" s="7">
      <c r="A1963" s="144" t="inlineStr">
        <is>
          <t>MICHEAL HOLTON</t>
        </is>
      </c>
      <c r="B1963" s="144" t="inlineStr">
        <is>
          <t>6028760 AL</t>
        </is>
      </c>
      <c r="C1963" s="144" t="inlineStr">
        <is>
          <t>FREEDOM TRANS</t>
        </is>
      </c>
      <c r="D1963" s="144" t="n">
        <v>3344525238</v>
      </c>
      <c r="E1963" s="144" t="inlineStr">
        <is>
          <t>TANK</t>
        </is>
      </c>
      <c r="F1963" s="144" t="inlineStr">
        <is>
          <t>12218432 AL</t>
        </is>
      </c>
      <c r="G1963" s="144" t="inlineStr">
        <is>
          <t>BLUE KENWORTH</t>
        </is>
      </c>
      <c r="H1963" s="144" t="n">
        <v>1221</v>
      </c>
      <c r="I1963" s="144" t="inlineStr">
        <is>
          <t>COMMERCIAL</t>
        </is>
      </c>
    </row>
    <row r="1964" ht="18" customHeight="1" s="7">
      <c r="A1964" s="144" t="inlineStr">
        <is>
          <t>PEDRO HORNEDO</t>
        </is>
      </c>
      <c r="B1964" s="144" t="inlineStr">
        <is>
          <t>H653670913660 FL</t>
        </is>
      </c>
      <c r="C1964" s="144" t="inlineStr">
        <is>
          <t>PANTHER LOGISTIC</t>
        </is>
      </c>
      <c r="D1964" s="144" t="n">
        <v>7868104407</v>
      </c>
      <c r="E1964" s="144" t="inlineStr">
        <is>
          <t>BOX</t>
        </is>
      </c>
      <c r="F1964" s="144" t="inlineStr">
        <is>
          <t>3088996 IN</t>
        </is>
      </c>
      <c r="G1964" s="144" t="inlineStr">
        <is>
          <t>WHITE KENWORTH</t>
        </is>
      </c>
      <c r="H1964" s="144" t="n">
        <v>1221</v>
      </c>
      <c r="I1964" s="144" t="inlineStr">
        <is>
          <t>COMMERICAL</t>
        </is>
      </c>
    </row>
    <row r="1965" ht="18" customHeight="1" s="7">
      <c r="A1965" s="144" t="inlineStr">
        <is>
          <t>NICOLAS STRONG</t>
        </is>
      </c>
      <c r="B1965" s="144" t="inlineStr">
        <is>
          <t>S365632813850 FL</t>
        </is>
      </c>
      <c r="C1965" s="144" t="inlineStr">
        <is>
          <t>AAT CARRIERS</t>
        </is>
      </c>
      <c r="D1965" s="144" t="n">
        <v>3212467823</v>
      </c>
      <c r="E1965" s="144" t="inlineStr">
        <is>
          <t>BOX</t>
        </is>
      </c>
      <c r="F1965" s="144" t="inlineStr">
        <is>
          <t>I3119314 IN</t>
        </is>
      </c>
      <c r="G1965" s="144" t="inlineStr">
        <is>
          <t>WHITE VOLVO</t>
        </is>
      </c>
      <c r="H1965" s="144" t="n">
        <v>1221</v>
      </c>
      <c r="I1965" s="144" t="inlineStr">
        <is>
          <t>COMMERICAL</t>
        </is>
      </c>
    </row>
    <row r="1966" ht="18" customHeight="1" s="7">
      <c r="A1966" s="144" t="inlineStr">
        <is>
          <t>GUDDA GETAHUN</t>
        </is>
      </c>
      <c r="B1966" s="144" t="inlineStr">
        <is>
          <t>34791452 TX</t>
        </is>
      </c>
      <c r="C1966" s="144" t="inlineStr">
        <is>
          <t>HOPE EXPRESS</t>
        </is>
      </c>
      <c r="D1966" s="144" t="n">
        <v>4696860845</v>
      </c>
      <c r="E1966" s="144" t="inlineStr">
        <is>
          <t>BOX</t>
        </is>
      </c>
      <c r="F1966" s="144" t="inlineStr">
        <is>
          <t>R442818 TX</t>
        </is>
      </c>
      <c r="G1966" s="144" t="inlineStr">
        <is>
          <t>WHITE FREIGHTLINER</t>
        </is>
      </c>
      <c r="H1966" s="144" t="n">
        <v>1221</v>
      </c>
      <c r="I1966" s="144" t="inlineStr">
        <is>
          <t>COMMERCIAL</t>
        </is>
      </c>
    </row>
    <row r="1967" ht="18" customHeight="1" s="7">
      <c r="A1967" s="144" t="inlineStr">
        <is>
          <t>JACOB RODNEY</t>
        </is>
      </c>
      <c r="B1967" s="144" t="inlineStr">
        <is>
          <t>J210722732420 FL</t>
        </is>
      </c>
      <c r="C1967" s="144" t="inlineStr">
        <is>
          <t>CLASS LOGISTICS</t>
        </is>
      </c>
      <c r="D1967" s="144" t="n">
        <v>3863362548</v>
      </c>
      <c r="E1967" s="144" t="inlineStr">
        <is>
          <t>FLAT</t>
        </is>
      </c>
      <c r="F1967" s="144" t="inlineStr">
        <is>
          <t>XE851L FL</t>
        </is>
      </c>
      <c r="G1967" s="144" t="inlineStr">
        <is>
          <t>GREY WESTERN STAR</t>
        </is>
      </c>
      <c r="H1967" s="144" t="n">
        <v>1221</v>
      </c>
      <c r="I1967" s="144" t="inlineStr">
        <is>
          <t>COMMERCIAL</t>
        </is>
      </c>
    </row>
    <row r="1968" ht="18" customHeight="1" s="7">
      <c r="A1968" s="144" t="inlineStr">
        <is>
          <t>MICKEL TONDINI</t>
        </is>
      </c>
      <c r="B1968" s="144" t="inlineStr">
        <is>
          <t>T228500134000 FL</t>
        </is>
      </c>
      <c r="C1968" s="144" t="inlineStr">
        <is>
          <t>YK EXPRESS</t>
        </is>
      </c>
      <c r="D1968" s="144" t="n">
        <v>9046124454</v>
      </c>
      <c r="E1968" s="144" t="inlineStr">
        <is>
          <t>FLAT</t>
        </is>
      </c>
      <c r="F1968" s="144" t="inlineStr">
        <is>
          <t>XE813S FL</t>
        </is>
      </c>
      <c r="G1968" s="144" t="inlineStr">
        <is>
          <t>RED PETERBILT</t>
        </is>
      </c>
      <c r="H1968" s="144" t="n">
        <v>1221</v>
      </c>
      <c r="I1968" s="144" t="inlineStr">
        <is>
          <t>COMMERCIAL</t>
        </is>
      </c>
    </row>
    <row r="1969" ht="18" customHeight="1" s="7">
      <c r="A1969" s="144" t="inlineStr">
        <is>
          <t xml:space="preserve">BRYAN MICHAEL </t>
        </is>
      </c>
      <c r="B1969" s="144" t="inlineStr">
        <is>
          <t>B650544873820 FL</t>
        </is>
      </c>
      <c r="C1969" s="144" t="inlineStr">
        <is>
          <t>SIEMENS</t>
        </is>
      </c>
      <c r="D1969" s="144" t="n">
        <v>8008920288</v>
      </c>
      <c r="E1969" s="144" t="inlineStr">
        <is>
          <t>SUV</t>
        </is>
      </c>
      <c r="F1969" s="144" t="inlineStr">
        <is>
          <t>DR44TK FL</t>
        </is>
      </c>
      <c r="G1969" s="144" t="inlineStr">
        <is>
          <t>WHITE EQUINOX</t>
        </is>
      </c>
      <c r="H1969" s="144" t="n">
        <v>2200</v>
      </c>
      <c r="I1969" s="144" t="inlineStr">
        <is>
          <t>COMMERCIAL</t>
        </is>
      </c>
    </row>
    <row r="1970" ht="18" customHeight="1" s="7">
      <c r="A1970" s="144" t="inlineStr">
        <is>
          <t>SPENCER PHYLLIS</t>
        </is>
      </c>
      <c r="B1970" s="144" t="inlineStr">
        <is>
          <t>S152679695050 FL</t>
        </is>
      </c>
      <c r="C1970" s="144" t="inlineStr">
        <is>
          <t>AAT CARRIERS</t>
        </is>
      </c>
      <c r="D1970" s="144" t="n">
        <v>8134043046</v>
      </c>
      <c r="E1970" s="144" t="inlineStr">
        <is>
          <t>BOX</t>
        </is>
      </c>
      <c r="F1970" s="144" t="inlineStr">
        <is>
          <t>3119309 IN</t>
        </is>
      </c>
      <c r="G1970" s="144" t="inlineStr">
        <is>
          <t>WHITE VOLVO</t>
        </is>
      </c>
      <c r="H1970" s="144" t="n">
        <v>1221</v>
      </c>
      <c r="I1970" s="144" t="inlineStr">
        <is>
          <t>COMMERCIAL</t>
        </is>
      </c>
    </row>
    <row r="1971" ht="18" customHeight="1" s="7">
      <c r="A1971" s="144" t="inlineStr">
        <is>
          <t>PIERCE DINEEN</t>
        </is>
      </c>
      <c r="B1971" s="144" t="inlineStr">
        <is>
          <t>*070043014 GA</t>
        </is>
      </c>
      <c r="C1971" s="144" t="inlineStr">
        <is>
          <t>INDUSTRIAL MANUFACTURING</t>
        </is>
      </c>
      <c r="D1971" s="144" t="n">
        <v>2297335667</v>
      </c>
      <c r="E1971" s="144" t="inlineStr">
        <is>
          <t>PU</t>
        </is>
      </c>
      <c r="F1971" s="144" t="inlineStr">
        <is>
          <t>TGG5910 GA</t>
        </is>
      </c>
      <c r="G1971" s="144" t="inlineStr">
        <is>
          <t>BLACK FORD</t>
        </is>
      </c>
      <c r="H1971" s="144" t="inlineStr">
        <is>
          <t>WATER PLANT</t>
        </is>
      </c>
      <c r="I1971" s="144" t="inlineStr">
        <is>
          <t>COMMERCIAL</t>
        </is>
      </c>
    </row>
    <row r="1972" ht="18" customHeight="1" s="7">
      <c r="A1972" s="144" t="inlineStr">
        <is>
          <t>ROBERT GRAHAM</t>
        </is>
      </c>
      <c r="B1972" s="144" t="inlineStr">
        <is>
          <t>*055606937 GA</t>
        </is>
      </c>
      <c r="C1972" s="144" t="inlineStr">
        <is>
          <t>ABF FREIGHT</t>
        </is>
      </c>
      <c r="D1972" s="144" t="n">
        <v>2294720807</v>
      </c>
      <c r="E1972" s="144" t="inlineStr">
        <is>
          <t>BOX</t>
        </is>
      </c>
      <c r="F1972" s="144" t="inlineStr">
        <is>
          <t>3GF174 OK</t>
        </is>
      </c>
      <c r="G1972" s="144" t="inlineStr">
        <is>
          <t>GREEN MACK</t>
        </is>
      </c>
      <c r="H1972" s="144" t="n">
        <v>1360</v>
      </c>
      <c r="I1972" s="144" t="inlineStr">
        <is>
          <t>COMMERCIAL</t>
        </is>
      </c>
    </row>
    <row r="1973" ht="18" customHeight="1" s="7">
      <c r="A1973" s="144" t="inlineStr">
        <is>
          <t>ADAM HAUSE</t>
        </is>
      </c>
      <c r="B1973" s="144" t="inlineStr">
        <is>
          <t>*050196260 GA</t>
        </is>
      </c>
      <c r="C1973" s="144" t="inlineStr">
        <is>
          <t>IN CHARGE ENERGY</t>
        </is>
      </c>
      <c r="D1973" s="144" t="n">
        <v>6785882027</v>
      </c>
      <c r="E1973" s="144" t="inlineStr">
        <is>
          <t>SEDAN</t>
        </is>
      </c>
      <c r="F1973" s="144" t="inlineStr">
        <is>
          <t>SJC7124 GA</t>
        </is>
      </c>
      <c r="G1973" s="144" t="inlineStr">
        <is>
          <t>WHITE HYUNDAI</t>
        </is>
      </c>
      <c r="H1973" s="144" t="inlineStr">
        <is>
          <t>BASEWIDE</t>
        </is>
      </c>
      <c r="I1973" s="144" t="inlineStr">
        <is>
          <t>COMMERCIAL</t>
        </is>
      </c>
    </row>
    <row r="1974" ht="18" customHeight="1" s="7">
      <c r="A1974" s="144" t="inlineStr">
        <is>
          <t>DAVID PASLEY</t>
        </is>
      </c>
      <c r="B1974" s="144" t="inlineStr">
        <is>
          <t>072478667 GA</t>
        </is>
      </c>
      <c r="C1974" s="144" t="inlineStr">
        <is>
          <t>MEDIACOM</t>
        </is>
      </c>
      <c r="D1974" s="144" t="n">
        <v>3348209336</v>
      </c>
      <c r="E1974" s="144" t="inlineStr">
        <is>
          <t>SEDAN</t>
        </is>
      </c>
      <c r="F1974" s="144" t="inlineStr">
        <is>
          <t>80C0033 AL</t>
        </is>
      </c>
      <c r="G1974" s="144" t="inlineStr">
        <is>
          <t>WHITE FORD</t>
        </is>
      </c>
      <c r="H1974" s="144" t="inlineStr">
        <is>
          <t>HOUSING</t>
        </is>
      </c>
      <c r="I1974" s="144" t="inlineStr">
        <is>
          <t>COMMERCIAL</t>
        </is>
      </c>
    </row>
    <row r="1975" ht="18" customHeight="1" s="7">
      <c r="A1975" s="144" t="inlineStr">
        <is>
          <t>AARON DAVIS</t>
        </is>
      </c>
      <c r="B1975" s="144" t="inlineStr">
        <is>
          <t>D120012734030 FL</t>
        </is>
      </c>
      <c r="C1975" s="144" t="inlineStr">
        <is>
          <t>MJW CONSOLIDATED</t>
        </is>
      </c>
      <c r="D1975" s="144" t="n">
        <v>4022143263</v>
      </c>
      <c r="E1975" s="144" t="inlineStr">
        <is>
          <t>PU</t>
        </is>
      </c>
      <c r="F1975" s="144" t="inlineStr">
        <is>
          <t>IYJS60 FL</t>
        </is>
      </c>
      <c r="G1975" s="144" t="inlineStr">
        <is>
          <t>WHITE FORD</t>
        </is>
      </c>
      <c r="H1975" s="144" t="n">
        <v>1351</v>
      </c>
      <c r="I1975" s="144" t="inlineStr">
        <is>
          <t>CONTRACTOR</t>
        </is>
      </c>
    </row>
    <row r="1976" ht="18" customHeight="1" s="7">
      <c r="A1976" s="144" t="inlineStr">
        <is>
          <t>YUNIEL PEREZ</t>
        </is>
      </c>
      <c r="B1976" s="144" t="inlineStr">
        <is>
          <t>P226945662000 FL</t>
        </is>
      </c>
      <c r="C1976" s="144" t="inlineStr">
        <is>
          <t>PEREZ'S</t>
        </is>
      </c>
      <c r="D1976" s="144" t="n">
        <v>8162481557</v>
      </c>
      <c r="E1976" s="144" t="inlineStr">
        <is>
          <t>FLAT</t>
        </is>
      </c>
      <c r="F1976" s="144" t="inlineStr">
        <is>
          <t>31QR0R MI</t>
        </is>
      </c>
      <c r="G1976" s="144" t="inlineStr">
        <is>
          <t>RED FREIGHTLINER</t>
        </is>
      </c>
      <c r="H1976" s="144" t="n">
        <v>1221</v>
      </c>
      <c r="I1976" s="144" t="inlineStr">
        <is>
          <t>COMMERICAL</t>
        </is>
      </c>
    </row>
    <row r="1977" ht="18" customHeight="1" s="7">
      <c r="A1977" s="144" t="inlineStr">
        <is>
          <t>MASON ANDERSON</t>
        </is>
      </c>
      <c r="B1977" s="144" t="inlineStr">
        <is>
          <t>057913119 GA</t>
        </is>
      </c>
      <c r="C1977" s="144" t="inlineStr">
        <is>
          <t>SUMMIT FIRE SEC</t>
        </is>
      </c>
      <c r="D1977" s="144" t="n">
        <v>4789604559</v>
      </c>
      <c r="E1977" s="144" t="inlineStr">
        <is>
          <t>VAN</t>
        </is>
      </c>
      <c r="F1977" s="144" t="inlineStr">
        <is>
          <t>SHS1021 GA</t>
        </is>
      </c>
      <c r="G1977" s="144" t="inlineStr">
        <is>
          <t>WHITE CHEV</t>
        </is>
      </c>
      <c r="H1977" s="144" t="inlineStr">
        <is>
          <t>BASEWIDE</t>
        </is>
      </c>
      <c r="I1977" s="144" t="inlineStr">
        <is>
          <t>CONTRACTOR</t>
        </is>
      </c>
    </row>
    <row r="1978" ht="18" customHeight="1" s="7">
      <c r="A1978" s="144" t="inlineStr">
        <is>
          <t>RASHAE THOMAS</t>
        </is>
      </c>
      <c r="B1978" s="144" t="inlineStr">
        <is>
          <t>059746465 GA</t>
        </is>
      </c>
      <c r="C1978" s="144" t="inlineStr">
        <is>
          <t>WILLPOWER</t>
        </is>
      </c>
      <c r="D1978" s="144" t="n">
        <v>4047497731</v>
      </c>
      <c r="E1978" s="144" t="inlineStr">
        <is>
          <t>BOX</t>
        </is>
      </c>
      <c r="F1978" s="144" t="inlineStr">
        <is>
          <t>YVH088 GA</t>
        </is>
      </c>
      <c r="G1978" s="144" t="inlineStr">
        <is>
          <t>WHITE INTERNATIONAL</t>
        </is>
      </c>
      <c r="H1978" s="144" t="n">
        <v>1221</v>
      </c>
      <c r="I1978" s="144" t="inlineStr">
        <is>
          <t>CONTRACTOR</t>
        </is>
      </c>
    </row>
    <row r="1979" ht="18" customHeight="1" s="7">
      <c r="A1979" s="144" t="inlineStr">
        <is>
          <t>MICHEAL ROBERTS</t>
        </is>
      </c>
      <c r="B1979" s="144" t="inlineStr">
        <is>
          <t>037461097 GA</t>
        </is>
      </c>
      <c r="C1979" s="144" t="inlineStr">
        <is>
          <t>BEVERAGE SOUTH</t>
        </is>
      </c>
      <c r="D1979" s="144" t="n">
        <v>2292557385</v>
      </c>
      <c r="E1979" s="144" t="inlineStr">
        <is>
          <t>VAN</t>
        </is>
      </c>
      <c r="F1979" s="144" t="inlineStr">
        <is>
          <t>CMM4228 GA</t>
        </is>
      </c>
      <c r="G1979" s="144" t="inlineStr">
        <is>
          <t>WHITE DODGE</t>
        </is>
      </c>
      <c r="H1979" s="144" t="n">
        <v>7501</v>
      </c>
      <c r="I1979" s="144" t="inlineStr">
        <is>
          <t>CONTRACTOR</t>
        </is>
      </c>
    </row>
    <row r="1980" ht="18" customHeight="1" s="7">
      <c r="A1980" s="144" t="inlineStr">
        <is>
          <t>TRAVIS WRIGHT</t>
        </is>
      </c>
      <c r="B1980" s="144" t="inlineStr">
        <is>
          <t>7602145 AL</t>
        </is>
      </c>
      <c r="C1980" s="144" t="inlineStr">
        <is>
          <t>SPARTAN NASH</t>
        </is>
      </c>
      <c r="D1980" s="144" t="n">
        <v>7063329305</v>
      </c>
      <c r="E1980" s="144" t="inlineStr">
        <is>
          <t>BOX</t>
        </is>
      </c>
      <c r="F1980" s="144" t="inlineStr">
        <is>
          <t>RC47106 MI</t>
        </is>
      </c>
      <c r="G1980" s="144" t="inlineStr">
        <is>
          <t>WHITE INTER</t>
        </is>
      </c>
      <c r="H1980" s="144" t="n">
        <v>7501</v>
      </c>
      <c r="I1980" s="144" t="inlineStr">
        <is>
          <t>COMMERCIAL</t>
        </is>
      </c>
    </row>
    <row r="1981" ht="18" customHeight="1" s="7">
      <c r="A1981" s="144" t="inlineStr">
        <is>
          <t>CALIN BOONE</t>
        </is>
      </c>
      <c r="B1981" s="144" t="inlineStr">
        <is>
          <t>B500108366815 MI</t>
        </is>
      </c>
      <c r="C1981" s="144" t="inlineStr">
        <is>
          <t>ROAD EAGLE</t>
        </is>
      </c>
      <c r="D1981" s="144" t="n">
        <v>3106671975</v>
      </c>
      <c r="E1981" s="144" t="inlineStr">
        <is>
          <t>PU</t>
        </is>
      </c>
      <c r="F1981" s="144" t="inlineStr">
        <is>
          <t>BE11542 MI</t>
        </is>
      </c>
      <c r="G1981" s="144" t="inlineStr">
        <is>
          <t>WHITE DODGE</t>
        </is>
      </c>
      <c r="H1981" s="144" t="n">
        <v>1221</v>
      </c>
      <c r="I1981" s="144" t="inlineStr">
        <is>
          <t>CONTRACTOR</t>
        </is>
      </c>
    </row>
    <row r="1982" ht="18" customHeight="1" s="7">
      <c r="A1982" s="144" t="inlineStr">
        <is>
          <t>TIMOTHY WOOLARD</t>
        </is>
      </c>
      <c r="B1982" s="144" t="inlineStr">
        <is>
          <t>*000004513756 NC</t>
        </is>
      </c>
      <c r="C1982" s="144" t="inlineStr">
        <is>
          <t>LANDSTAR</t>
        </is>
      </c>
      <c r="D1982" s="144" t="n">
        <v>2522585820</v>
      </c>
      <c r="E1982" s="144" t="inlineStr">
        <is>
          <t>BOX</t>
        </is>
      </c>
      <c r="F1982" s="144" t="inlineStr">
        <is>
          <t>3842369 IN</t>
        </is>
      </c>
      <c r="G1982" s="144" t="inlineStr">
        <is>
          <t>TAN KENWORTH</t>
        </is>
      </c>
      <c r="H1982" s="144" t="n">
        <v>1221</v>
      </c>
      <c r="I1982" s="144" t="inlineStr">
        <is>
          <t>COMMERCIAL</t>
        </is>
      </c>
    </row>
    <row r="1983" ht="18" customHeight="1" s="7">
      <c r="A1983" s="144" t="inlineStr">
        <is>
          <t>VORONIN OLEKSANDR</t>
        </is>
      </c>
      <c r="B1983" s="144" t="inlineStr">
        <is>
          <t>*089940657 CT</t>
        </is>
      </c>
      <c r="C1983" s="144" t="inlineStr">
        <is>
          <t>LUXOR DRIVE</t>
        </is>
      </c>
      <c r="D1983" s="144" t="n">
        <v>8604287270</v>
      </c>
      <c r="E1983" s="144" t="inlineStr">
        <is>
          <t>BOX</t>
        </is>
      </c>
      <c r="F1983" s="144" t="inlineStr">
        <is>
          <t>P1254629 IL</t>
        </is>
      </c>
      <c r="G1983" s="144" t="inlineStr">
        <is>
          <t>WHITE FREIGHTLINER</t>
        </is>
      </c>
      <c r="H1983" s="144" t="n">
        <v>1221</v>
      </c>
      <c r="I1983" s="144" t="inlineStr">
        <is>
          <t>COMMERCIAL</t>
        </is>
      </c>
    </row>
    <row r="1984" ht="18" customHeight="1" s="7">
      <c r="A1984" s="144" t="inlineStr">
        <is>
          <t>BRANDON FRAZIER</t>
        </is>
      </c>
      <c r="B1984" s="144" t="inlineStr">
        <is>
          <t>2101370377 NV</t>
        </is>
      </c>
      <c r="C1984" s="144" t="inlineStr">
        <is>
          <t>SHARK INC</t>
        </is>
      </c>
      <c r="D1984" s="144" t="n">
        <v>7025727888</v>
      </c>
      <c r="E1984" s="144" t="inlineStr">
        <is>
          <t>BOX</t>
        </is>
      </c>
      <c r="F1984" s="144" t="inlineStr">
        <is>
          <t>P1287973 IL</t>
        </is>
      </c>
      <c r="G1984" s="144" t="inlineStr">
        <is>
          <t>BLUE KENWORTH</t>
        </is>
      </c>
      <c r="H1984" s="144" t="n">
        <v>1221</v>
      </c>
      <c r="I1984" s="144" t="inlineStr">
        <is>
          <t>COMMERCIAL</t>
        </is>
      </c>
    </row>
    <row r="1985" ht="18" customHeight="1" s="7">
      <c r="A1985" s="144" t="inlineStr">
        <is>
          <t>HUNTER WARREN</t>
        </is>
      </c>
      <c r="B1985" s="144" t="inlineStr">
        <is>
          <t>*061888124 GA</t>
        </is>
      </c>
      <c r="C1985" s="144" t="inlineStr">
        <is>
          <t>MVW</t>
        </is>
      </c>
      <c r="D1985" s="144" t="n">
        <v>2295833120</v>
      </c>
      <c r="E1985" s="144" t="inlineStr">
        <is>
          <t>PU</t>
        </is>
      </c>
      <c r="F1985" s="144" t="inlineStr">
        <is>
          <t>TFW1185 GA</t>
        </is>
      </c>
      <c r="G1985" s="144" t="inlineStr">
        <is>
          <t>BLUE FORD</t>
        </is>
      </c>
      <c r="H1985" s="144" t="n">
        <v>2200</v>
      </c>
      <c r="I1985" s="144" t="inlineStr">
        <is>
          <t>CONTRACTOR</t>
        </is>
      </c>
    </row>
    <row r="1986" ht="18" customHeight="1" s="7">
      <c r="A1986" s="144" t="inlineStr">
        <is>
          <t>FEITNER FEILD</t>
        </is>
      </c>
      <c r="B1986" s="144" t="inlineStr">
        <is>
          <t>22643164 PA</t>
        </is>
      </c>
      <c r="C1986" s="144" t="inlineStr">
        <is>
          <t>LEFT LANEHOTSHOT</t>
        </is>
      </c>
      <c r="D1986" s="144" t="n">
        <v>5709331321</v>
      </c>
      <c r="E1986" s="144" t="inlineStr">
        <is>
          <t>FLAT</t>
        </is>
      </c>
      <c r="F1986" s="144" t="inlineStr">
        <is>
          <t>AH70814 PA</t>
        </is>
      </c>
      <c r="G1986" s="144" t="inlineStr">
        <is>
          <t>WHITE FREIGHTLINER</t>
        </is>
      </c>
      <c r="H1986" s="144" t="n">
        <v>1221</v>
      </c>
      <c r="I1986" s="144" t="inlineStr">
        <is>
          <t>COMMERCIAL</t>
        </is>
      </c>
    </row>
    <row r="1987" ht="18" customHeight="1" s="7">
      <c r="A1987" s="144" t="inlineStr">
        <is>
          <t>CARLOS PENA</t>
        </is>
      </c>
      <c r="B1987" s="144" t="inlineStr">
        <is>
          <t>P552101962970 FL</t>
        </is>
      </c>
      <c r="C1987" s="144" t="inlineStr">
        <is>
          <t>CRS TRANS</t>
        </is>
      </c>
      <c r="D1987" s="144" t="n">
        <v>2292039625</v>
      </c>
      <c r="E1987" s="144" t="inlineStr">
        <is>
          <t>FLAT</t>
        </is>
      </c>
      <c r="F1987" s="144" t="inlineStr">
        <is>
          <t>DF24HA FL</t>
        </is>
      </c>
      <c r="G1987" s="144" t="inlineStr">
        <is>
          <t>WHITE PETERBILT</t>
        </is>
      </c>
      <c r="H1987" s="144" t="n">
        <v>1221</v>
      </c>
      <c r="I1987" s="144" t="inlineStr">
        <is>
          <t>COMMERCIAL</t>
        </is>
      </c>
    </row>
    <row r="1988" ht="18" customHeight="1" s="7">
      <c r="A1988" s="144" t="inlineStr">
        <is>
          <t>MARTELL FLOWERS</t>
        </is>
      </c>
      <c r="B1988" s="144" t="inlineStr">
        <is>
          <t>47998083 TX</t>
        </is>
      </c>
      <c r="C1988" s="144" t="inlineStr">
        <is>
          <t>PKD EXPRESS</t>
        </is>
      </c>
      <c r="D1988" s="144" t="n">
        <v>6823381694</v>
      </c>
      <c r="E1988" s="144" t="inlineStr">
        <is>
          <t>BOX</t>
        </is>
      </c>
      <c r="F1988" s="144" t="inlineStr">
        <is>
          <t>P1254885 IL</t>
        </is>
      </c>
      <c r="G1988" s="144" t="inlineStr">
        <is>
          <t>RED FREIGHTLINER</t>
        </is>
      </c>
      <c r="H1988" s="144" t="n">
        <v>1221</v>
      </c>
      <c r="I1988" s="144" t="inlineStr">
        <is>
          <t>COMMERCIAL</t>
        </is>
      </c>
    </row>
    <row r="1989" ht="18" customHeight="1" s="7">
      <c r="A1989" s="144" t="inlineStr">
        <is>
          <t>JAMES EDWARDS</t>
        </is>
      </c>
      <c r="B1989" s="144" t="inlineStr">
        <is>
          <t>*054299652 GA</t>
        </is>
      </c>
      <c r="C1989" s="144" t="inlineStr">
        <is>
          <t>OXFORD</t>
        </is>
      </c>
      <c r="D1989" s="144" t="n">
        <v>2294073208</v>
      </c>
      <c r="E1989" s="144" t="inlineStr">
        <is>
          <t>PU</t>
        </is>
      </c>
      <c r="F1989" s="144" t="inlineStr">
        <is>
          <t>RJE8526 GA</t>
        </is>
      </c>
      <c r="G1989" s="144" t="inlineStr">
        <is>
          <t>GREEN FORD</t>
        </is>
      </c>
      <c r="H1989" s="144" t="inlineStr">
        <is>
          <t>BASEWIDE</t>
        </is>
      </c>
      <c r="I1989" s="144" t="inlineStr">
        <is>
          <t>CONTRACTOR</t>
        </is>
      </c>
    </row>
    <row r="1990" ht="18" customHeight="1" s="7">
      <c r="A1990" s="144" t="inlineStr">
        <is>
          <t>DEVETE SCOTT</t>
        </is>
      </c>
      <c r="B1990" s="144" t="inlineStr">
        <is>
          <t>8790445 AL</t>
        </is>
      </c>
      <c r="C1990" s="144" t="inlineStr">
        <is>
          <t xml:space="preserve">MM48 </t>
        </is>
      </c>
      <c r="D1990" s="144" t="n">
        <v>2347839399</v>
      </c>
      <c r="E1990" s="144" t="inlineStr">
        <is>
          <t>FLAT</t>
        </is>
      </c>
      <c r="F1990" s="144" t="inlineStr">
        <is>
          <t>48336PF NY</t>
        </is>
      </c>
      <c r="G1990" s="144" t="inlineStr">
        <is>
          <t>RED KENWORTH</t>
        </is>
      </c>
      <c r="H1990" s="144" t="n">
        <v>1221</v>
      </c>
      <c r="I1990" s="144" t="inlineStr">
        <is>
          <t>COMMERCIAL</t>
        </is>
      </c>
    </row>
    <row r="1991" ht="18" customHeight="1" s="7">
      <c r="A1991" s="144" t="inlineStr">
        <is>
          <t>JAMES PERRY JR</t>
        </is>
      </c>
      <c r="B1991" s="144" t="inlineStr">
        <is>
          <t>*060013279 GA</t>
        </is>
      </c>
      <c r="C1991" s="144" t="inlineStr">
        <is>
          <t>SLICK</t>
        </is>
      </c>
      <c r="D1991" s="144" t="n">
        <v>7065932009</v>
      </c>
      <c r="E1991" s="144" t="inlineStr">
        <is>
          <t>BOX</t>
        </is>
      </c>
      <c r="F1991" s="144" t="inlineStr">
        <is>
          <t>C83O3Y GA</t>
        </is>
      </c>
      <c r="G1991" s="144" t="inlineStr">
        <is>
          <t>WHITE FREIGHTLINER</t>
        </is>
      </c>
      <c r="H1991" s="144" t="n">
        <v>1221</v>
      </c>
      <c r="I1991" s="144" t="inlineStr">
        <is>
          <t>COMMERCIAL</t>
        </is>
      </c>
    </row>
    <row r="1992" ht="18" customHeight="1" s="7">
      <c r="A1992" s="144" t="inlineStr">
        <is>
          <t>EDDIE TRUITT</t>
        </is>
      </c>
      <c r="B1992" s="144" t="inlineStr">
        <is>
          <t>801952617 MS</t>
        </is>
      </c>
      <c r="C1992" s="144" t="inlineStr">
        <is>
          <t>ACE</t>
        </is>
      </c>
      <c r="D1992" s="144" t="n">
        <v>2286276676</v>
      </c>
      <c r="E1992" s="144" t="inlineStr">
        <is>
          <t>FLAT</t>
        </is>
      </c>
      <c r="F1992" s="144" t="inlineStr">
        <is>
          <t>P955378 IL</t>
        </is>
      </c>
      <c r="G1992" s="144" t="inlineStr">
        <is>
          <t>RED KENWORTH</t>
        </is>
      </c>
      <c r="H1992" s="144" t="n">
        <v>1221</v>
      </c>
      <c r="I1992" s="144" t="inlineStr">
        <is>
          <t>COMMERCIAL</t>
        </is>
      </c>
    </row>
    <row r="1993" ht="18" customHeight="1" s="7">
      <c r="A1993" s="144" t="inlineStr">
        <is>
          <t>PAUL WILLIAMS</t>
        </is>
      </c>
      <c r="B1993" s="144" t="inlineStr">
        <is>
          <t>W43656190010682 NJ</t>
        </is>
      </c>
      <c r="C1993" s="144" t="inlineStr">
        <is>
          <t>TQL</t>
        </is>
      </c>
      <c r="D1993" s="144" t="n">
        <v>6093108751</v>
      </c>
      <c r="E1993" s="144" t="inlineStr">
        <is>
          <t>VAN</t>
        </is>
      </c>
      <c r="F1993" s="144" t="inlineStr">
        <is>
          <t>XRCP63 NJ</t>
        </is>
      </c>
      <c r="G1993" s="144" t="inlineStr">
        <is>
          <t>WHITE DODGE</t>
        </is>
      </c>
      <c r="H1993" s="144" t="n">
        <v>2200</v>
      </c>
      <c r="I1993" s="144" t="inlineStr">
        <is>
          <t>CONTRACTOR</t>
        </is>
      </c>
    </row>
    <row r="1994" ht="18" customHeight="1" s="7">
      <c r="A1994" s="144" t="inlineStr">
        <is>
          <t>CARMINDA BRADLEY</t>
        </is>
      </c>
      <c r="B1994" s="144" t="inlineStr">
        <is>
          <t>C6480696 CA</t>
        </is>
      </c>
      <c r="C1994" s="144" t="inlineStr">
        <is>
          <t>SAFE HANDS</t>
        </is>
      </c>
      <c r="D1994" s="144" t="n">
        <v>6612362429</v>
      </c>
      <c r="E1994" s="144" t="inlineStr">
        <is>
          <t>BOX</t>
        </is>
      </c>
      <c r="F1994" s="144" t="inlineStr">
        <is>
          <t>ZP31389 CA</t>
        </is>
      </c>
      <c r="G1994" s="144" t="inlineStr">
        <is>
          <t>WHITE FREIGHTLINER</t>
        </is>
      </c>
      <c r="H1994" s="144" t="n">
        <v>1221</v>
      </c>
      <c r="I1994" s="144" t="inlineStr">
        <is>
          <t>COMMERCIAL</t>
        </is>
      </c>
    </row>
    <row r="1995" ht="18" customHeight="1" s="7">
      <c r="A1995" s="144" t="inlineStr">
        <is>
          <t>NATHANIEL THOMPSON</t>
        </is>
      </c>
      <c r="B1995" s="144" t="inlineStr">
        <is>
          <t>*062007367 GA</t>
        </is>
      </c>
      <c r="C1995" s="144" t="inlineStr">
        <is>
          <t>POOL GEEKS</t>
        </is>
      </c>
      <c r="D1995" s="144" t="n">
        <v>2294990820</v>
      </c>
      <c r="E1995" s="144" t="inlineStr">
        <is>
          <t>VAN</t>
        </is>
      </c>
      <c r="F1995" s="144" t="inlineStr">
        <is>
          <t>SFZ8110 GA</t>
        </is>
      </c>
      <c r="G1995" s="144" t="inlineStr">
        <is>
          <t>WHITE CHEVY</t>
        </is>
      </c>
      <c r="H1995" s="144" t="inlineStr">
        <is>
          <t>POOL</t>
        </is>
      </c>
      <c r="I1995" s="144" t="inlineStr">
        <is>
          <t>CONTRACTOR</t>
        </is>
      </c>
    </row>
    <row r="1996" ht="18" customHeight="1" s="7">
      <c r="A1996" s="144" t="inlineStr">
        <is>
          <t>YARVIS WILLIAMS</t>
        </is>
      </c>
      <c r="B1996" s="144" t="inlineStr">
        <is>
          <t>*049604319 GA</t>
        </is>
      </c>
      <c r="C1996" s="144" t="inlineStr">
        <is>
          <t>SENTINELS</t>
        </is>
      </c>
      <c r="D1996" s="144" t="n">
        <v>4782583193</v>
      </c>
      <c r="E1996" s="144" t="inlineStr">
        <is>
          <t>PU</t>
        </is>
      </c>
      <c r="F1996" s="144" t="inlineStr">
        <is>
          <t>YMC810 GA</t>
        </is>
      </c>
      <c r="G1996" s="144" t="inlineStr">
        <is>
          <t>WHITE DODGE</t>
        </is>
      </c>
      <c r="H1996" s="144" t="n">
        <v>1221</v>
      </c>
      <c r="I1996" s="144" t="inlineStr">
        <is>
          <t>CONTRACTOR</t>
        </is>
      </c>
    </row>
    <row r="1997" ht="18" customHeight="1" s="7">
      <c r="A1997" s="144" t="inlineStr">
        <is>
          <t>MURATOV YULDASHOVICH</t>
        </is>
      </c>
      <c r="B1997" s="144" t="inlineStr">
        <is>
          <t>UT101756 OH</t>
        </is>
      </c>
      <c r="C1997" s="144" t="inlineStr">
        <is>
          <t>UK CARGO</t>
        </is>
      </c>
      <c r="D1997" s="144" t="n">
        <v>8040038798</v>
      </c>
      <c r="E1997" s="144" t="inlineStr">
        <is>
          <t>BOX</t>
        </is>
      </c>
      <c r="F1997" s="144" t="inlineStr">
        <is>
          <t>PWZ3600 OH</t>
        </is>
      </c>
      <c r="G1997" s="144" t="inlineStr">
        <is>
          <t>WHITE FREIGHTLINER</t>
        </is>
      </c>
      <c r="H1997" s="144" t="n">
        <v>1221</v>
      </c>
      <c r="I1997" s="144" t="inlineStr">
        <is>
          <t>COMMERCIAL</t>
        </is>
      </c>
    </row>
    <row r="1998" ht="18" customHeight="1" s="7">
      <c r="A1998" s="144" t="inlineStr">
        <is>
          <t>JON LESIEUR</t>
        </is>
      </c>
      <c r="B1998" s="144" t="inlineStr">
        <is>
          <t>*054130617 GA</t>
        </is>
      </c>
      <c r="C1998" s="144" t="inlineStr">
        <is>
          <t>ALBANY BEVRAGE</t>
        </is>
      </c>
      <c r="D1998" s="144" t="n">
        <v>2294355616</v>
      </c>
      <c r="E1998" s="144" t="inlineStr">
        <is>
          <t>VAN</t>
        </is>
      </c>
      <c r="F1998" s="144" t="inlineStr">
        <is>
          <t>CNH7273 GA</t>
        </is>
      </c>
      <c r="G1998" s="144" t="inlineStr">
        <is>
          <t>WHITE FORD</t>
        </is>
      </c>
      <c r="H1998" s="144" t="n">
        <v>7501</v>
      </c>
      <c r="I1998" s="144" t="inlineStr">
        <is>
          <t>CONTRACTOR</t>
        </is>
      </c>
    </row>
    <row r="1999" ht="18" customHeight="1" s="7">
      <c r="A1999" s="144" t="inlineStr">
        <is>
          <t>STEVEN CANNON</t>
        </is>
      </c>
      <c r="B1999" s="144" t="inlineStr">
        <is>
          <t>*053688509 GA</t>
        </is>
      </c>
      <c r="C1999" s="144" t="inlineStr">
        <is>
          <t>LOWE</t>
        </is>
      </c>
      <c r="D1999" s="144" t="n">
        <v>8667794221</v>
      </c>
      <c r="E1999" s="144" t="inlineStr">
        <is>
          <t>PU</t>
        </is>
      </c>
      <c r="F1999" s="144" t="inlineStr">
        <is>
          <t>GEE143 GA</t>
        </is>
      </c>
      <c r="G1999" s="144" t="inlineStr">
        <is>
          <t>WHITE FORD</t>
        </is>
      </c>
      <c r="H1999" s="144" t="inlineStr">
        <is>
          <t>K-9</t>
        </is>
      </c>
      <c r="I1999" s="144" t="inlineStr">
        <is>
          <t>CONTRACTOR</t>
        </is>
      </c>
    </row>
    <row r="2000" ht="18" customHeight="1" s="7">
      <c r="A2000" s="144" t="inlineStr">
        <is>
          <t>WYATT VANLANINGHAM</t>
        </is>
      </c>
      <c r="B2000" s="144" t="inlineStr">
        <is>
          <t>*070732406 GA</t>
        </is>
      </c>
      <c r="C2000" s="144" t="inlineStr">
        <is>
          <t>ROTO ROOTER</t>
        </is>
      </c>
      <c r="D2000" s="144" t="n">
        <v>2293106794</v>
      </c>
      <c r="E2000" s="144" t="inlineStr">
        <is>
          <t>VAN</t>
        </is>
      </c>
      <c r="F2000" s="144" t="inlineStr">
        <is>
          <t>SHC2647 GA</t>
        </is>
      </c>
      <c r="G2000" s="144" t="inlineStr">
        <is>
          <t>WHITE CHEVY</t>
        </is>
      </c>
      <c r="H2000" s="144" t="n">
        <v>1240</v>
      </c>
      <c r="I2000" s="144" t="inlineStr">
        <is>
          <t>CONTRACTOR</t>
        </is>
      </c>
    </row>
    <row r="2001" ht="18" customHeight="1" s="7">
      <c r="A2001" s="144" t="inlineStr">
        <is>
          <t>MERCER JIMMY</t>
        </is>
      </c>
      <c r="B2001" s="144" t="inlineStr">
        <is>
          <t>S083797055 OK</t>
        </is>
      </c>
      <c r="C2001" s="144" t="inlineStr">
        <is>
          <t>LANDSTAR</t>
        </is>
      </c>
      <c r="D2001" s="144" t="n">
        <v>9184249166</v>
      </c>
      <c r="E2001" s="144" t="inlineStr">
        <is>
          <t>BOX</t>
        </is>
      </c>
      <c r="F2001" s="144" t="inlineStr">
        <is>
          <t>3732486 IN</t>
        </is>
      </c>
      <c r="G2001" s="144" t="inlineStr">
        <is>
          <t>RED KENWORTH</t>
        </is>
      </c>
      <c r="H2001" s="144" t="n">
        <v>1221</v>
      </c>
      <c r="I2001" s="144" t="inlineStr">
        <is>
          <t>COMMERCIAL</t>
        </is>
      </c>
    </row>
    <row r="2002" ht="18" customHeight="1" s="7">
      <c r="A2002" s="144" t="inlineStr">
        <is>
          <t>KYDYRALIEV ISLAM</t>
        </is>
      </c>
      <c r="B2002" s="144" t="inlineStr">
        <is>
          <t>W8975036 CA</t>
        </is>
      </c>
      <c r="C2002" s="144" t="inlineStr">
        <is>
          <t>NEW TRANS</t>
        </is>
      </c>
      <c r="D2002" s="144" t="n">
        <v>7738994720</v>
      </c>
      <c r="E2002" s="144" t="inlineStr">
        <is>
          <t>FLAT</t>
        </is>
      </c>
      <c r="F2002" s="144" t="inlineStr">
        <is>
          <t>A1230912 IL</t>
        </is>
      </c>
      <c r="G2002" s="144" t="inlineStr">
        <is>
          <t>BLUE FREIGHTLINER</t>
        </is>
      </c>
      <c r="H2002" s="144" t="n">
        <v>1221</v>
      </c>
      <c r="I2002" s="144" t="inlineStr">
        <is>
          <t>COMMERCIAL</t>
        </is>
      </c>
    </row>
    <row r="2003" ht="18" customHeight="1" s="7">
      <c r="A2003" s="144" t="inlineStr">
        <is>
          <t>MICHEAL RICE</t>
        </is>
      </c>
      <c r="B2003" s="144" t="inlineStr">
        <is>
          <t>*054667552 GA</t>
        </is>
      </c>
      <c r="C2003" s="144" t="inlineStr">
        <is>
          <t>XTREAM</t>
        </is>
      </c>
      <c r="D2003" s="144" t="n">
        <v>2294567081</v>
      </c>
      <c r="E2003" s="144" t="inlineStr">
        <is>
          <t>VAN</t>
        </is>
      </c>
      <c r="F2003" s="144" t="inlineStr">
        <is>
          <t>SCW6733 GA</t>
        </is>
      </c>
      <c r="G2003" s="144" t="inlineStr">
        <is>
          <t>WHITE FORD</t>
        </is>
      </c>
      <c r="H2003" s="144" t="inlineStr">
        <is>
          <t>2500 BROOM</t>
        </is>
      </c>
      <c r="I2003" s="144" t="inlineStr">
        <is>
          <t>CONTRACTOR</t>
        </is>
      </c>
    </row>
    <row r="2004" ht="18" customHeight="1" s="7">
      <c r="A2004" s="144" t="inlineStr">
        <is>
          <t>JOHN GRIZZELL</t>
        </is>
      </c>
      <c r="B2004" s="144" t="inlineStr">
        <is>
          <t>7165624 AL</t>
        </is>
      </c>
      <c r="C2004" s="144" t="inlineStr">
        <is>
          <t xml:space="preserve">MUD DOGS </t>
        </is>
      </c>
      <c r="D2004" s="144" t="n">
        <v>3345139656</v>
      </c>
      <c r="E2004" s="144" t="inlineStr">
        <is>
          <t>FLAT</t>
        </is>
      </c>
      <c r="F2004" s="144" t="inlineStr">
        <is>
          <t>1206115 AL</t>
        </is>
      </c>
      <c r="G2004" s="144" t="inlineStr">
        <is>
          <t>WHITE KENWORTH</t>
        </is>
      </c>
      <c r="H2004" s="144" t="n">
        <v>1221</v>
      </c>
      <c r="I2004" s="144" t="inlineStr">
        <is>
          <t>COMMERCIAL</t>
        </is>
      </c>
    </row>
    <row r="2005" ht="18" customHeight="1" s="7">
      <c r="A2005" s="144" t="inlineStr">
        <is>
          <t>DIAZ LEANDRO</t>
        </is>
      </c>
      <c r="B2005" s="144" t="inlineStr">
        <is>
          <t>D200520762940 FL</t>
        </is>
      </c>
      <c r="C2005" s="144" t="inlineStr">
        <is>
          <t>UNTIED VAN</t>
        </is>
      </c>
      <c r="D2005" s="144" t="n">
        <v>2708898271</v>
      </c>
      <c r="E2005" s="144" t="inlineStr">
        <is>
          <t>BOX</t>
        </is>
      </c>
      <c r="F2005" s="144" t="inlineStr">
        <is>
          <t>1217291 AL</t>
        </is>
      </c>
      <c r="G2005" s="144" t="inlineStr">
        <is>
          <t>BLUE KENWORTH</t>
        </is>
      </c>
      <c r="H2005" s="144" t="inlineStr">
        <is>
          <t>HOUSING</t>
        </is>
      </c>
      <c r="I2005" s="144" t="inlineStr">
        <is>
          <t>COMMERCIAL</t>
        </is>
      </c>
    </row>
    <row r="2006" ht="18" customHeight="1" s="7">
      <c r="A2006" s="144" t="inlineStr">
        <is>
          <t>JUAN CARRILLO</t>
        </is>
      </c>
      <c r="B2006" s="144" t="inlineStr">
        <is>
          <t>37306035 TX</t>
        </is>
      </c>
      <c r="C2006" s="144" t="inlineStr">
        <is>
          <t>LANDSTAR</t>
        </is>
      </c>
      <c r="D2006" s="144" t="n">
        <v>9152049566</v>
      </c>
      <c r="E2006" s="144" t="inlineStr">
        <is>
          <t>BOX</t>
        </is>
      </c>
      <c r="F2006" s="144" t="inlineStr">
        <is>
          <t>3732360 IN</t>
        </is>
      </c>
      <c r="G2006" s="144" t="inlineStr">
        <is>
          <t>BLUE KENWORTH</t>
        </is>
      </c>
      <c r="H2006" s="144" t="n">
        <v>1221</v>
      </c>
      <c r="I2006" s="144" t="inlineStr">
        <is>
          <t>COMMERCIAL</t>
        </is>
      </c>
    </row>
    <row r="2007" ht="18" customHeight="1" s="7">
      <c r="A2007" s="144" t="inlineStr">
        <is>
          <t>TIMOTHY POOLE</t>
        </is>
      </c>
      <c r="B2007" s="144" t="inlineStr">
        <is>
          <t>P400813702480 FL</t>
        </is>
      </c>
      <c r="C2007" s="144" t="inlineStr">
        <is>
          <t>ATLANTIC FREIGHT</t>
        </is>
      </c>
      <c r="D2007" s="144" t="n">
        <v>3527271558</v>
      </c>
      <c r="E2007" s="144" t="inlineStr">
        <is>
          <t>FLAT</t>
        </is>
      </c>
      <c r="F2007" s="144" t="inlineStr">
        <is>
          <t>XC808C FL</t>
        </is>
      </c>
      <c r="G2007" s="144" t="inlineStr">
        <is>
          <t>BLACK WESTERNSTAR</t>
        </is>
      </c>
      <c r="H2007" s="144" t="n">
        <v>1221</v>
      </c>
      <c r="I2007" s="144" t="inlineStr">
        <is>
          <t>COMMERICAL</t>
        </is>
      </c>
    </row>
    <row r="2008" ht="18" customHeight="1" s="7">
      <c r="A2008" s="144" t="inlineStr">
        <is>
          <t>MICHEAL METELLUS</t>
        </is>
      </c>
      <c r="B2008" s="144" t="inlineStr">
        <is>
          <t>38812008 TX</t>
        </is>
      </c>
      <c r="C2008" s="144" t="inlineStr">
        <is>
          <t>EXTRA TRANSPORT</t>
        </is>
      </c>
      <c r="D2008" s="144" t="n">
        <v>6824381415</v>
      </c>
      <c r="E2008" s="144" t="inlineStr">
        <is>
          <t>BOX</t>
        </is>
      </c>
      <c r="F2008" s="144" t="inlineStr">
        <is>
          <t>P1278841 IL</t>
        </is>
      </c>
      <c r="G2008" s="144" t="inlineStr">
        <is>
          <t>WHITE FREIGHTLINER</t>
        </is>
      </c>
      <c r="H2008" s="144" t="n">
        <v>1221</v>
      </c>
      <c r="I2008" s="144" t="inlineStr">
        <is>
          <t>COMMERICAL</t>
        </is>
      </c>
    </row>
    <row r="2009" ht="18" customHeight="1" s="7">
      <c r="A2009" s="144" t="inlineStr">
        <is>
          <t>STEPHEN MORRISON</t>
        </is>
      </c>
      <c r="B2009" s="144" t="inlineStr">
        <is>
          <t>M625781783850 FL</t>
        </is>
      </c>
      <c r="C2009" s="144" t="inlineStr">
        <is>
          <t>YK EXPRESS</t>
        </is>
      </c>
      <c r="D2009" s="144" t="n">
        <v>5013399123</v>
      </c>
      <c r="E2009" s="144" t="inlineStr">
        <is>
          <t>FLAT</t>
        </is>
      </c>
      <c r="F2009" s="144" t="inlineStr">
        <is>
          <t>XE435V FL</t>
        </is>
      </c>
      <c r="G2009" s="144" t="inlineStr">
        <is>
          <t>WHITE FREIGHTLINER</t>
        </is>
      </c>
      <c r="H2009" s="144" t="n">
        <v>1221</v>
      </c>
      <c r="I2009" s="144" t="inlineStr">
        <is>
          <t>COMMERICAL</t>
        </is>
      </c>
    </row>
    <row r="2010" ht="18" customHeight="1" s="7">
      <c r="A2010" s="144" t="inlineStr">
        <is>
          <t>GRAHAM WELLS</t>
        </is>
      </c>
      <c r="B2010" s="144" t="inlineStr">
        <is>
          <t>050823103 GA</t>
        </is>
      </c>
      <c r="C2010" s="144" t="inlineStr">
        <is>
          <t>JBH TRANSPORT</t>
        </is>
      </c>
      <c r="D2010" s="144" t="n">
        <v>6784162382</v>
      </c>
      <c r="E2010" s="144" t="inlineStr">
        <is>
          <t>FLAT</t>
        </is>
      </c>
      <c r="F2010" s="144" t="inlineStr">
        <is>
          <t>C812EV GA</t>
        </is>
      </c>
      <c r="G2010" s="144" t="inlineStr">
        <is>
          <t>BLUE KENWORTH</t>
        </is>
      </c>
      <c r="H2010" s="144" t="n">
        <v>1221</v>
      </c>
      <c r="I2010" s="144" t="inlineStr">
        <is>
          <t>COMMERICAL</t>
        </is>
      </c>
    </row>
    <row r="2011" ht="18" customHeight="1" s="7">
      <c r="A2011" s="144" t="inlineStr">
        <is>
          <t>WARRICK PRICE</t>
        </is>
      </c>
      <c r="B2011" s="144" t="inlineStr">
        <is>
          <t>15067948 TX</t>
        </is>
      </c>
      <c r="C2011" s="144" t="inlineStr">
        <is>
          <t>CORIC</t>
        </is>
      </c>
      <c r="D2011" s="144" t="n">
        <v>8323122277</v>
      </c>
      <c r="E2011" s="144" t="inlineStr">
        <is>
          <t>BOX</t>
        </is>
      </c>
      <c r="F2011" s="144" t="inlineStr">
        <is>
          <t>R738000 TX</t>
        </is>
      </c>
      <c r="G2011" s="144" t="inlineStr">
        <is>
          <t>BLACK KENWORTH</t>
        </is>
      </c>
      <c r="H2011" s="144" t="n">
        <v>1221</v>
      </c>
      <c r="I2011" s="144" t="inlineStr">
        <is>
          <t>COMMERICAL</t>
        </is>
      </c>
    </row>
    <row r="2012" ht="18" customHeight="1" s="7">
      <c r="A2012" s="144" t="inlineStr">
        <is>
          <t>MARTIN GORDON JR</t>
        </is>
      </c>
      <c r="B2012" s="144" t="inlineStr">
        <is>
          <t>*000005924958 NC</t>
        </is>
      </c>
      <c r="C2012" s="144" t="inlineStr">
        <is>
          <t>GL MARTIN TRUCKING</t>
        </is>
      </c>
      <c r="D2012" s="144" t="n">
        <v>9103939521</v>
      </c>
      <c r="E2012" s="144" t="inlineStr">
        <is>
          <t>FLAT</t>
        </is>
      </c>
      <c r="F2012" s="144" t="inlineStr">
        <is>
          <t>NP8400 NC</t>
        </is>
      </c>
      <c r="G2012" s="144" t="inlineStr">
        <is>
          <t>ORANGE PETERBILT</t>
        </is>
      </c>
      <c r="H2012" s="144" t="n">
        <v>1221</v>
      </c>
      <c r="I2012" s="144" t="inlineStr">
        <is>
          <t>COMMERCIAL</t>
        </is>
      </c>
    </row>
    <row r="2013" ht="18" customHeight="1" s="7">
      <c r="A2013" s="144" t="inlineStr">
        <is>
          <t>LIMA NILMO</t>
        </is>
      </c>
      <c r="B2013" s="144" t="inlineStr">
        <is>
          <t>L500625644660 FL</t>
        </is>
      </c>
      <c r="C2013" s="144" t="inlineStr">
        <is>
          <t>TDC TRANS</t>
        </is>
      </c>
      <c r="D2013" s="144" t="n">
        <v>9548652163</v>
      </c>
      <c r="E2013" s="144" t="inlineStr">
        <is>
          <t>BOX</t>
        </is>
      </c>
      <c r="F2013" s="144" t="inlineStr">
        <is>
          <t>DG66BF FL</t>
        </is>
      </c>
      <c r="G2013" s="144" t="inlineStr">
        <is>
          <t>BLACK FREIGHTLINER</t>
        </is>
      </c>
      <c r="H2013" s="144" t="n">
        <v>1221</v>
      </c>
      <c r="I2013" s="144" t="inlineStr">
        <is>
          <t>COMMERCIAL</t>
        </is>
      </c>
    </row>
    <row r="2014" ht="18" customHeight="1" s="7">
      <c r="A2014" s="144" t="inlineStr">
        <is>
          <t>CHRISTOPHER CARMAN</t>
        </is>
      </c>
      <c r="B2014" s="144" t="inlineStr">
        <is>
          <t>*055916292 GA</t>
        </is>
      </c>
      <c r="C2014" s="144" t="inlineStr">
        <is>
          <t>BEVERAGE SOUTH</t>
        </is>
      </c>
      <c r="D2014" s="144" t="n">
        <v>2294493461</v>
      </c>
      <c r="E2014" s="144" t="inlineStr">
        <is>
          <t>BOX</t>
        </is>
      </c>
      <c r="F2014" s="144" t="inlineStr">
        <is>
          <t>EGK423 GA</t>
        </is>
      </c>
      <c r="G2014" s="144" t="inlineStr">
        <is>
          <t>WHITE KENWORTH</t>
        </is>
      </c>
      <c r="H2014" s="144" t="n">
        <v>7501</v>
      </c>
      <c r="I2014" s="144" t="inlineStr">
        <is>
          <t>COMMERCIAL</t>
        </is>
      </c>
    </row>
    <row r="2015" ht="18" customHeight="1" s="7">
      <c r="A2015" s="144" t="inlineStr">
        <is>
          <t>CASTILLO GRICE</t>
        </is>
      </c>
      <c r="B2015" s="144" t="inlineStr">
        <is>
          <t>*055694497 GA</t>
        </is>
      </c>
      <c r="C2015" s="144" t="inlineStr">
        <is>
          <t xml:space="preserve">CDG </t>
        </is>
      </c>
      <c r="D2015" s="144" t="n">
        <v>4045090589</v>
      </c>
      <c r="E2015" s="144" t="inlineStr">
        <is>
          <t>BOX</t>
        </is>
      </c>
      <c r="F2015" s="144" t="inlineStr">
        <is>
          <t>C345EL GA</t>
        </is>
      </c>
      <c r="G2015" s="144" t="inlineStr">
        <is>
          <t>WHITE FREIGHTLINER</t>
        </is>
      </c>
      <c r="H2015" s="144" t="n">
        <v>1221</v>
      </c>
      <c r="I2015" s="144" t="inlineStr">
        <is>
          <t>COMMERCIAL</t>
        </is>
      </c>
    </row>
    <row r="2016" ht="18" customHeight="1" s="7">
      <c r="A2016" s="144" t="inlineStr">
        <is>
          <t>JUAN ROCHA</t>
        </is>
      </c>
      <c r="B2016" s="144" t="inlineStr">
        <is>
          <t>24018097 TX</t>
        </is>
      </c>
      <c r="C2016" s="144" t="inlineStr">
        <is>
          <t>KERALY TRANS</t>
        </is>
      </c>
      <c r="D2016" s="144" t="n">
        <v>8324214459</v>
      </c>
      <c r="E2016" s="144" t="inlineStr">
        <is>
          <t>BOX</t>
        </is>
      </c>
      <c r="F2016" s="144" t="inlineStr">
        <is>
          <t>R658109 TX</t>
        </is>
      </c>
      <c r="G2016" s="144" t="inlineStr">
        <is>
          <t>WHITE VOLVO</t>
        </is>
      </c>
      <c r="H2016" s="144" t="n">
        <v>1221</v>
      </c>
      <c r="I2016" s="144" t="inlineStr">
        <is>
          <t>COMMERCIAL</t>
        </is>
      </c>
    </row>
    <row r="2017" ht="18" customHeight="1" s="7">
      <c r="A2017" s="144" t="inlineStr">
        <is>
          <t>SMITH JOEL</t>
        </is>
      </c>
      <c r="B2017" s="144" t="inlineStr">
        <is>
          <t>S530438732150 FL</t>
        </is>
      </c>
      <c r="C2017" s="144" t="inlineStr">
        <is>
          <t>FORTUNE LINES</t>
        </is>
      </c>
      <c r="D2017" s="144" t="n">
        <v>7729712565</v>
      </c>
      <c r="E2017" s="144" t="inlineStr">
        <is>
          <t>BOX</t>
        </is>
      </c>
      <c r="F2017" s="144" t="inlineStr">
        <is>
          <t>P969386 IL</t>
        </is>
      </c>
      <c r="G2017" s="144" t="inlineStr">
        <is>
          <t>WHITE VOLVO</t>
        </is>
      </c>
      <c r="H2017" s="144" t="n">
        <v>1221</v>
      </c>
      <c r="I2017" s="144" t="inlineStr">
        <is>
          <t>COMMERCIAL</t>
        </is>
      </c>
    </row>
    <row r="2018" ht="18" customHeight="1" s="7">
      <c r="A2018" s="144" t="inlineStr">
        <is>
          <t>MARTINOVIC STEVO</t>
        </is>
      </c>
      <c r="B2018" s="144" t="inlineStr">
        <is>
          <t>B14887227 AZ</t>
        </is>
      </c>
      <c r="C2018" s="144" t="inlineStr">
        <is>
          <t>INTER FREIGHT</t>
        </is>
      </c>
      <c r="D2018" s="144" t="n">
        <v>6233371289</v>
      </c>
      <c r="E2018" s="144" t="inlineStr">
        <is>
          <t>BOX</t>
        </is>
      </c>
      <c r="F2018" s="144" t="inlineStr">
        <is>
          <t>AE49983 AZ</t>
        </is>
      </c>
      <c r="G2018" s="144" t="inlineStr">
        <is>
          <t>WHITE VOLVO</t>
        </is>
      </c>
      <c r="H2018" s="144" t="n">
        <v>1221</v>
      </c>
      <c r="I2018" s="144" t="inlineStr">
        <is>
          <t>COMMERCIAL</t>
        </is>
      </c>
    </row>
    <row r="2019" ht="18" customHeight="1" s="7">
      <c r="A2019" s="144" t="inlineStr">
        <is>
          <t>JAMA SAHAL</t>
        </is>
      </c>
      <c r="B2019" s="144" t="inlineStr">
        <is>
          <t>TG801945 OH</t>
        </is>
      </c>
      <c r="C2019" s="144" t="inlineStr">
        <is>
          <t>ERI TRANS</t>
        </is>
      </c>
      <c r="D2019" s="144" t="n">
        <v>6146700203</v>
      </c>
      <c r="E2019" s="144" t="inlineStr">
        <is>
          <t>BOX</t>
        </is>
      </c>
      <c r="F2019" s="144" t="inlineStr">
        <is>
          <t>T218061 OH</t>
        </is>
      </c>
      <c r="G2019" s="144" t="inlineStr">
        <is>
          <t>RED FREIGHTLINER</t>
        </is>
      </c>
      <c r="H2019" s="144" t="n">
        <v>1221</v>
      </c>
      <c r="I2019" s="144" t="inlineStr">
        <is>
          <t>COMMERCIAL</t>
        </is>
      </c>
    </row>
    <row r="2020" ht="18" customHeight="1" s="7">
      <c r="A2020" s="144" t="inlineStr">
        <is>
          <t>CARLTON OUTLAW</t>
        </is>
      </c>
      <c r="B2020" s="144" t="inlineStr">
        <is>
          <t>7079487 AL</t>
        </is>
      </c>
      <c r="C2020" s="144" t="inlineStr">
        <is>
          <t>MCAW EXPRESS</t>
        </is>
      </c>
      <c r="D2020" s="144" t="n">
        <v>7542805965</v>
      </c>
      <c r="E2020" s="144" t="inlineStr">
        <is>
          <t>BOX</t>
        </is>
      </c>
      <c r="F2020" s="144" t="inlineStr">
        <is>
          <t>XE723R FL</t>
        </is>
      </c>
      <c r="G2020" s="144" t="inlineStr">
        <is>
          <t>BLUE VOLVO</t>
        </is>
      </c>
      <c r="H2020" s="144" t="n">
        <v>1221</v>
      </c>
      <c r="I2020" s="144" t="inlineStr">
        <is>
          <t>COMMERICAL</t>
        </is>
      </c>
    </row>
    <row r="2021" ht="18" customHeight="1" s="7">
      <c r="A2021" s="144" t="inlineStr">
        <is>
          <t>LATASHA WADE</t>
        </is>
      </c>
      <c r="B2021" s="144" t="inlineStr">
        <is>
          <t>55363965 GA</t>
        </is>
      </c>
      <c r="C2021" s="144" t="inlineStr">
        <is>
          <t>UPS</t>
        </is>
      </c>
      <c r="D2021" s="144" t="n">
        <v>2293432164</v>
      </c>
      <c r="E2021" s="144" t="inlineStr">
        <is>
          <t>BOX</t>
        </is>
      </c>
      <c r="F2021" s="144" t="inlineStr">
        <is>
          <t>WXS755 GA</t>
        </is>
      </c>
      <c r="G2021" s="144" t="inlineStr">
        <is>
          <t>BROWN FREIGHTLINER</t>
        </is>
      </c>
      <c r="H2021" s="144" t="inlineStr">
        <is>
          <t>BANK</t>
        </is>
      </c>
      <c r="I2021" s="144" t="inlineStr">
        <is>
          <t>CONTRACTOR</t>
        </is>
      </c>
    </row>
    <row r="2022" ht="18" customHeight="1" s="7">
      <c r="A2022" s="144" t="inlineStr">
        <is>
          <t>DAVID MOTT</t>
        </is>
      </c>
      <c r="B2022" s="144" t="inlineStr">
        <is>
          <t>4928915 AL</t>
        </is>
      </c>
      <c r="C2022" s="144" t="inlineStr">
        <is>
          <t>LANDSTAR</t>
        </is>
      </c>
      <c r="D2022" s="144" t="n">
        <v>2057658332</v>
      </c>
      <c r="E2022" s="144" t="inlineStr">
        <is>
          <t>BOX</t>
        </is>
      </c>
      <c r="F2022" s="144" t="inlineStr">
        <is>
          <t>3615670 IN</t>
        </is>
      </c>
      <c r="G2022" s="144" t="inlineStr">
        <is>
          <t>WHITE PETERBILT</t>
        </is>
      </c>
      <c r="H2022" s="144" t="n">
        <v>1221</v>
      </c>
      <c r="I2022" s="144" t="inlineStr">
        <is>
          <t>COMMERCIAL</t>
        </is>
      </c>
    </row>
    <row r="2023" ht="18" customHeight="1" s="7">
      <c r="A2023" s="144" t="inlineStr">
        <is>
          <t>CAMERON PEARSON</t>
        </is>
      </c>
      <c r="B2023" s="144" t="inlineStr">
        <is>
          <t>8765422 AL</t>
        </is>
      </c>
      <c r="C2023" s="144" t="inlineStr">
        <is>
          <t>J B HUNT</t>
        </is>
      </c>
      <c r="D2023" s="144" t="n">
        <v>3346559681</v>
      </c>
      <c r="E2023" s="144" t="inlineStr">
        <is>
          <t>BOX</t>
        </is>
      </c>
      <c r="F2023" s="144" t="inlineStr">
        <is>
          <t>3205121 IN</t>
        </is>
      </c>
      <c r="G2023" s="144" t="inlineStr">
        <is>
          <t>WHITE INTERNATIONAL</t>
        </is>
      </c>
      <c r="H2023" s="144" t="n">
        <v>1330</v>
      </c>
      <c r="I2023" s="144" t="inlineStr">
        <is>
          <t>CONTRACTOR</t>
        </is>
      </c>
    </row>
    <row r="2024" ht="18" customHeight="1" s="7">
      <c r="A2024" s="144" t="inlineStr">
        <is>
          <t>MATTHEW COBB</t>
        </is>
      </c>
      <c r="B2024" s="144" t="inlineStr">
        <is>
          <t>061144851 GA</t>
        </is>
      </c>
      <c r="C2024" s="144" t="inlineStr">
        <is>
          <t>METRO POWER</t>
        </is>
      </c>
      <c r="D2024" s="144" t="n">
        <v>2298862400</v>
      </c>
      <c r="E2024" s="144" t="inlineStr">
        <is>
          <t>VAN</t>
        </is>
      </c>
      <c r="F2024" s="144" t="inlineStr">
        <is>
          <t>CLM1893 GA</t>
        </is>
      </c>
      <c r="G2024" s="144" t="inlineStr">
        <is>
          <t>WHITE CHEV</t>
        </is>
      </c>
      <c r="H2024" s="144" t="n">
        <v>2215</v>
      </c>
      <c r="I2024" s="144" t="inlineStr">
        <is>
          <t>CONTRACTOR</t>
        </is>
      </c>
    </row>
    <row r="2025" ht="18" customHeight="1" s="7">
      <c r="A2025" s="144" t="inlineStr">
        <is>
          <t>DWIGHT PARKER</t>
        </is>
      </c>
      <c r="B2025" s="144" t="inlineStr">
        <is>
          <t>01655798 TX</t>
        </is>
      </c>
      <c r="C2025" s="144" t="inlineStr">
        <is>
          <t>FRANCHIZ</t>
        </is>
      </c>
      <c r="D2025" s="144" t="n">
        <v>8325942158</v>
      </c>
      <c r="E2025" s="144" t="inlineStr">
        <is>
          <t>PU</t>
        </is>
      </c>
      <c r="F2025" s="144" t="inlineStr">
        <is>
          <t>K195281 TX</t>
        </is>
      </c>
      <c r="G2025" s="144" t="inlineStr">
        <is>
          <t>GREY DODGE</t>
        </is>
      </c>
      <c r="H2025" s="144" t="n">
        <v>1221</v>
      </c>
      <c r="I2025" s="144" t="inlineStr">
        <is>
          <t>CONTRACTOR</t>
        </is>
      </c>
    </row>
    <row r="2026" ht="18" customHeight="1" s="7">
      <c r="A2026" s="144" t="inlineStr">
        <is>
          <t>ROBERT BURNS</t>
        </is>
      </c>
      <c r="B2026" s="144" t="inlineStr">
        <is>
          <t>*052749716 GA</t>
        </is>
      </c>
      <c r="C2026" s="144" t="inlineStr">
        <is>
          <t>ESS</t>
        </is>
      </c>
      <c r="D2026" s="144" t="n">
        <v>2293640268</v>
      </c>
      <c r="E2026" s="144" t="inlineStr">
        <is>
          <t>VAN</t>
        </is>
      </c>
      <c r="F2026" s="144" t="inlineStr">
        <is>
          <t>CWK7868 GA</t>
        </is>
      </c>
      <c r="G2026" s="144" t="inlineStr">
        <is>
          <t>WHITE CHEVY</t>
        </is>
      </c>
      <c r="H2026" s="144" t="n">
        <v>2215</v>
      </c>
      <c r="I2026" s="144" t="inlineStr">
        <is>
          <t>CONTRACTOR</t>
        </is>
      </c>
    </row>
    <row r="2027" ht="18" customHeight="1" s="7">
      <c r="A2027" s="144" t="inlineStr">
        <is>
          <t>LANDON CONLEY</t>
        </is>
      </c>
      <c r="B2027" s="144" t="inlineStr">
        <is>
          <t>*061244183 GA</t>
        </is>
      </c>
      <c r="C2027" s="144" t="inlineStr">
        <is>
          <t>A WEST</t>
        </is>
      </c>
      <c r="D2027" s="144" t="n">
        <v>2298888347</v>
      </c>
      <c r="E2027" s="144" t="inlineStr">
        <is>
          <t>PU</t>
        </is>
      </c>
      <c r="F2027" s="144" t="inlineStr">
        <is>
          <t>CKM5827 GA</t>
        </is>
      </c>
      <c r="G2027" s="144" t="inlineStr">
        <is>
          <t>WHITE CHEVY</t>
        </is>
      </c>
      <c r="H2027" s="144" t="n">
        <v>1330</v>
      </c>
      <c r="I2027" s="144" t="inlineStr">
        <is>
          <t>CONTRACTOR</t>
        </is>
      </c>
    </row>
    <row r="2028" ht="18" customHeight="1" s="7">
      <c r="A2028" s="144" t="inlineStr">
        <is>
          <t>CARLOS JACKSON JR</t>
        </is>
      </c>
      <c r="B2028" s="144" t="inlineStr">
        <is>
          <t>*059432424 GA</t>
        </is>
      </c>
      <c r="C2028" s="144" t="inlineStr">
        <is>
          <t>MCLANE</t>
        </is>
      </c>
      <c r="D2028" s="144" t="n">
        <v>4784420272</v>
      </c>
      <c r="E2028" s="144" t="inlineStr">
        <is>
          <t>BOX</t>
        </is>
      </c>
      <c r="F2028" s="144" t="inlineStr">
        <is>
          <t>P966246 IL</t>
        </is>
      </c>
      <c r="G2028" s="144" t="inlineStr">
        <is>
          <t>WHITE FREIGHTLINER</t>
        </is>
      </c>
      <c r="H2028" s="144" t="n">
        <v>7501</v>
      </c>
      <c r="I2028" s="144" t="inlineStr">
        <is>
          <t>COMMERCIAL</t>
        </is>
      </c>
    </row>
    <row r="2029" ht="18" customHeight="1" s="7">
      <c r="A2029" s="144" t="inlineStr">
        <is>
          <t>DANIEL CRAFT</t>
        </is>
      </c>
      <c r="B2029" s="144" t="inlineStr">
        <is>
          <t>*051811612 GA</t>
        </is>
      </c>
      <c r="C2029" s="144" t="inlineStr">
        <is>
          <t>QUAILTY</t>
        </is>
      </c>
      <c r="D2029" s="144" t="n">
        <v>2294356003</v>
      </c>
      <c r="E2029" s="144" t="inlineStr">
        <is>
          <t>CRANE</t>
        </is>
      </c>
      <c r="F2029" s="144" t="inlineStr">
        <is>
          <t>C664EU GA</t>
        </is>
      </c>
      <c r="G2029" s="144" t="inlineStr">
        <is>
          <t>YELLOW PETERBILT</t>
        </is>
      </c>
      <c r="H2029" s="144" t="n">
        <v>1322</v>
      </c>
      <c r="I2029" s="144" t="inlineStr">
        <is>
          <t>COMMERCIAL</t>
        </is>
      </c>
    </row>
    <row r="2030" ht="18" customHeight="1" s="7">
      <c r="A2030" s="144" t="inlineStr">
        <is>
          <t>ARASHEV IVO</t>
        </is>
      </c>
      <c r="B2030" s="144" t="inlineStr">
        <is>
          <t>A62140983069 IL</t>
        </is>
      </c>
      <c r="C2030" s="144" t="inlineStr">
        <is>
          <t>QUATRON</t>
        </is>
      </c>
      <c r="D2030" s="144" t="n">
        <v>7737179152</v>
      </c>
      <c r="E2030" s="144" t="inlineStr">
        <is>
          <t>BOX</t>
        </is>
      </c>
      <c r="F2030" s="144" t="inlineStr">
        <is>
          <t>P1290650 IL</t>
        </is>
      </c>
      <c r="G2030" s="144" t="inlineStr">
        <is>
          <t>WHITE FREIGHTLINER</t>
        </is>
      </c>
      <c r="H2030" s="144" t="n">
        <v>1221</v>
      </c>
      <c r="I2030" s="144" t="inlineStr">
        <is>
          <t>COMMERCIAL</t>
        </is>
      </c>
    </row>
    <row r="2031" ht="18" customHeight="1" s="7">
      <c r="A2031" s="144" t="inlineStr">
        <is>
          <t>GRAYSON SHEPARD</t>
        </is>
      </c>
      <c r="B2031" s="144" t="inlineStr">
        <is>
          <t>061536753 GA</t>
        </is>
      </c>
      <c r="C2031" s="144" t="inlineStr">
        <is>
          <t>ALBANY AIR</t>
        </is>
      </c>
      <c r="D2031" s="144" t="n">
        <v>2294360341</v>
      </c>
      <c r="E2031" s="144" t="inlineStr">
        <is>
          <t>PU</t>
        </is>
      </c>
      <c r="F2031" s="144" t="inlineStr">
        <is>
          <t>DBJ6192 GA</t>
        </is>
      </c>
      <c r="G2031" s="144" t="inlineStr">
        <is>
          <t>WHITE FORD</t>
        </is>
      </c>
      <c r="H2031" s="144" t="n">
        <v>7450</v>
      </c>
      <c r="I2031" s="144" t="inlineStr">
        <is>
          <t>CONTRACTOR</t>
        </is>
      </c>
    </row>
    <row r="2032" ht="18" customHeight="1" s="7">
      <c r="A2032" s="144" t="inlineStr">
        <is>
          <t>TORRANCE LAWRENCE</t>
        </is>
      </c>
      <c r="B2032" s="144" t="inlineStr">
        <is>
          <t>072479857 GA</t>
        </is>
      </c>
      <c r="C2032" s="144" t="inlineStr">
        <is>
          <t>SPARTAN NASH</t>
        </is>
      </c>
      <c r="D2032" s="144" t="n">
        <v>3345409441</v>
      </c>
      <c r="E2032" s="144" t="inlineStr">
        <is>
          <t>BOX</t>
        </is>
      </c>
      <c r="F2032" s="144" t="inlineStr">
        <is>
          <t>424423 NE</t>
        </is>
      </c>
      <c r="G2032" s="144" t="inlineStr">
        <is>
          <t>WHITE INTERNATIONAL</t>
        </is>
      </c>
      <c r="H2032" s="144" t="n">
        <v>7500</v>
      </c>
      <c r="I2032" s="144" t="inlineStr">
        <is>
          <t>COMMERICAL</t>
        </is>
      </c>
    </row>
    <row r="2033" ht="18" customHeight="1" s="7">
      <c r="A2033" s="144" t="inlineStr">
        <is>
          <t>LIN ZE MIN</t>
        </is>
      </c>
      <c r="B2033" s="144" t="inlineStr">
        <is>
          <t>051232840 GA</t>
        </is>
      </c>
      <c r="C2033" s="144" t="inlineStr">
        <is>
          <t>OLD PAL</t>
        </is>
      </c>
      <c r="D2033" s="144" t="n">
        <v>6788143892</v>
      </c>
      <c r="E2033" s="144" t="inlineStr">
        <is>
          <t>BOX</t>
        </is>
      </c>
      <c r="F2033" s="144" t="inlineStr">
        <is>
          <t>XP97665 CA</t>
        </is>
      </c>
      <c r="G2033" s="144" t="inlineStr">
        <is>
          <t>WHITE FREIGHTLINER</t>
        </is>
      </c>
      <c r="H2033" s="144" t="n">
        <v>1221</v>
      </c>
      <c r="I2033" s="144" t="inlineStr">
        <is>
          <t>COMMERICAL</t>
        </is>
      </c>
    </row>
    <row r="2034" ht="18" customHeight="1" s="7">
      <c r="A2034" s="144" t="inlineStr">
        <is>
          <t>CHRIS CRAWFORD</t>
        </is>
      </c>
      <c r="B2034" s="144" t="inlineStr">
        <is>
          <t>C616119854470 FL</t>
        </is>
      </c>
      <c r="C2034" s="144" t="inlineStr">
        <is>
          <t>AGILITI</t>
        </is>
      </c>
      <c r="D2034" s="144" t="n">
        <v>9045802468</v>
      </c>
      <c r="E2034" s="144" t="inlineStr">
        <is>
          <t>VAN</t>
        </is>
      </c>
      <c r="F2034" s="144" t="inlineStr">
        <is>
          <t>GJPX53 FL</t>
        </is>
      </c>
      <c r="G2034" s="144" t="inlineStr">
        <is>
          <t>WHITE FORD</t>
        </is>
      </c>
      <c r="H2034" s="144" t="n">
        <v>7000</v>
      </c>
      <c r="I2034" s="144" t="inlineStr">
        <is>
          <t>CONTRACTOR</t>
        </is>
      </c>
    </row>
    <row r="2035" ht="18" customHeight="1" s="7">
      <c r="A2035" s="144" t="inlineStr">
        <is>
          <t>LUIS FLORES</t>
        </is>
      </c>
      <c r="B2035" s="144" t="inlineStr">
        <is>
          <t>*050292754 GA</t>
        </is>
      </c>
      <c r="C2035" s="144" t="inlineStr">
        <is>
          <t>FIG</t>
        </is>
      </c>
      <c r="D2035" s="144" t="n">
        <v>7065070155</v>
      </c>
      <c r="E2035" s="144" t="inlineStr">
        <is>
          <t>PU</t>
        </is>
      </c>
      <c r="F2035" s="144" t="inlineStr">
        <is>
          <t>CCW6596 GA</t>
        </is>
      </c>
      <c r="G2035" s="144" t="inlineStr">
        <is>
          <t>GREY TOYOTA</t>
        </is>
      </c>
      <c r="H2035" s="144" t="inlineStr">
        <is>
          <t>K9</t>
        </is>
      </c>
      <c r="I2035" s="144" t="inlineStr">
        <is>
          <t>CONTRACTOR</t>
        </is>
      </c>
    </row>
    <row r="2036" ht="18" customHeight="1" s="7">
      <c r="A2036" s="144" t="inlineStr">
        <is>
          <t xml:space="preserve">JUSTIN WRIGHT </t>
        </is>
      </c>
      <c r="B2036" s="144" t="inlineStr">
        <is>
          <t>*055432587 GA</t>
        </is>
      </c>
      <c r="C2036" s="144" t="inlineStr">
        <is>
          <t>CITY OF ALBANY</t>
        </is>
      </c>
      <c r="D2036" s="144" t="n">
        <v>2298091317</v>
      </c>
      <c r="E2036" s="144" t="inlineStr">
        <is>
          <t>PU</t>
        </is>
      </c>
      <c r="F2036" s="144" t="inlineStr">
        <is>
          <t>GV8896Q GA</t>
        </is>
      </c>
      <c r="G2036" s="144" t="inlineStr">
        <is>
          <t>WHITE FORD</t>
        </is>
      </c>
      <c r="H2036" s="144" t="inlineStr">
        <is>
          <t>TANK 1</t>
        </is>
      </c>
      <c r="I2036" s="144" t="inlineStr">
        <is>
          <t>CONTRACTOR</t>
        </is>
      </c>
    </row>
    <row r="2037" ht="18" customHeight="1" s="7">
      <c r="A2037" s="144" t="inlineStr">
        <is>
          <t xml:space="preserve">TIMOTHY HIPPS </t>
        </is>
      </c>
      <c r="B2037" s="144" t="inlineStr">
        <is>
          <t>*057523628 GA</t>
        </is>
      </c>
      <c r="C2037" s="144" t="inlineStr">
        <is>
          <t>CITY OF ALBANY</t>
        </is>
      </c>
      <c r="D2037" s="144" t="n">
        <v>2298091317</v>
      </c>
      <c r="E2037" s="144" t="inlineStr">
        <is>
          <t>PU</t>
        </is>
      </c>
      <c r="F2037" s="144" t="inlineStr">
        <is>
          <t>P6711361 GA</t>
        </is>
      </c>
      <c r="G2037" s="144" t="inlineStr">
        <is>
          <t>WHITE FORD</t>
        </is>
      </c>
      <c r="H2037" s="144" t="inlineStr">
        <is>
          <t>TANK 1</t>
        </is>
      </c>
      <c r="I2037" s="144" t="inlineStr">
        <is>
          <t>CONTRACTOR</t>
        </is>
      </c>
    </row>
    <row r="2038" ht="18" customHeight="1" s="7">
      <c r="A2038" s="144" t="inlineStr">
        <is>
          <t>RAYNER TELLY</t>
        </is>
      </c>
      <c r="B2038" s="144" t="inlineStr">
        <is>
          <t>*055506713 GA</t>
        </is>
      </c>
      <c r="C2038" s="144" t="inlineStr">
        <is>
          <t>RAYBERS TRANS</t>
        </is>
      </c>
      <c r="D2038" s="144" t="n">
        <v>2293956075</v>
      </c>
      <c r="E2038" s="144" t="inlineStr">
        <is>
          <t>PU</t>
        </is>
      </c>
      <c r="F2038" s="144" t="inlineStr">
        <is>
          <t>ETJ233 GA</t>
        </is>
      </c>
      <c r="G2038" s="144" t="inlineStr">
        <is>
          <t>RED FORD</t>
        </is>
      </c>
      <c r="H2038" s="144" t="n">
        <v>1221</v>
      </c>
      <c r="I2038" s="144" t="inlineStr">
        <is>
          <t>CONTRACTOR</t>
        </is>
      </c>
    </row>
    <row r="2039" ht="18" customHeight="1" s="7">
      <c r="A2039" s="144" t="inlineStr">
        <is>
          <t>STEVEN STAFFORD</t>
        </is>
      </c>
      <c r="B2039" s="144" t="inlineStr">
        <is>
          <t>*051498832 GA</t>
        </is>
      </c>
      <c r="C2039" s="144" t="inlineStr">
        <is>
          <t>AVERITT EXPRESS</t>
        </is>
      </c>
      <c r="D2039" s="144" t="n">
        <v>2292889190</v>
      </c>
      <c r="E2039" s="144" t="inlineStr">
        <is>
          <t>BOX</t>
        </is>
      </c>
      <c r="F2039" s="144" t="inlineStr">
        <is>
          <t>R5871HY TN</t>
        </is>
      </c>
      <c r="G2039" s="144" t="inlineStr">
        <is>
          <t>RED VOLVO</t>
        </is>
      </c>
      <c r="H2039" s="144" t="inlineStr">
        <is>
          <t>POWERWORKS</t>
        </is>
      </c>
      <c r="I2039" s="144" t="inlineStr">
        <is>
          <t>COMMERCIAL</t>
        </is>
      </c>
    </row>
    <row r="2040" ht="18" customHeight="1" s="7">
      <c r="A2040" s="144" t="inlineStr">
        <is>
          <t>SCOTT SHUBERT</t>
        </is>
      </c>
      <c r="B2040" s="144" t="inlineStr">
        <is>
          <t>*057626873 GA</t>
        </is>
      </c>
      <c r="C2040" s="144" t="inlineStr">
        <is>
          <t>TURNER</t>
        </is>
      </c>
      <c r="D2040" s="144" t="n">
        <v>2297335484</v>
      </c>
      <c r="E2040" s="144" t="inlineStr">
        <is>
          <t>BOX</t>
        </is>
      </c>
      <c r="F2040" s="144" t="inlineStr">
        <is>
          <t>3758425 IN</t>
        </is>
      </c>
      <c r="G2040" s="144" t="inlineStr">
        <is>
          <t>GREEN HINO</t>
        </is>
      </c>
      <c r="H2040" s="144" t="inlineStr">
        <is>
          <t>HOUSING</t>
        </is>
      </c>
      <c r="I2040" s="144" t="inlineStr">
        <is>
          <t>COMMERCIAL</t>
        </is>
      </c>
    </row>
    <row r="2041" ht="18" customHeight="1" s="7">
      <c r="A2041" s="144" t="inlineStr">
        <is>
          <t>ELDAGANY LOAY</t>
        </is>
      </c>
      <c r="B2041" s="144" t="inlineStr">
        <is>
          <t>S97590750 MA</t>
        </is>
      </c>
      <c r="C2041" s="144" t="inlineStr">
        <is>
          <t>EMPIRE</t>
        </is>
      </c>
      <c r="D2041" s="144" t="n">
        <v>6174076112</v>
      </c>
      <c r="E2041" s="144" t="inlineStr">
        <is>
          <t>VAN</t>
        </is>
      </c>
      <c r="F2041" s="144" t="inlineStr">
        <is>
          <t>W51581 MA</t>
        </is>
      </c>
      <c r="G2041" s="144" t="inlineStr">
        <is>
          <t>BLUE MERCEDES</t>
        </is>
      </c>
      <c r="H2041" s="144" t="n">
        <v>1351</v>
      </c>
      <c r="I2041" s="144" t="inlineStr">
        <is>
          <t>CONTRACTOR</t>
        </is>
      </c>
    </row>
    <row r="2042" ht="18" customHeight="1" s="7">
      <c r="A2042" s="144" t="inlineStr">
        <is>
          <t>WOODROW LYTTON</t>
        </is>
      </c>
      <c r="B2042" s="144" t="inlineStr">
        <is>
          <t>*0563455553 GA</t>
        </is>
      </c>
      <c r="C2042" s="144" t="inlineStr">
        <is>
          <t>BUFFALO ROCK</t>
        </is>
      </c>
      <c r="D2042" s="144" t="n">
        <v>2293858203</v>
      </c>
      <c r="E2042" s="144" t="inlineStr">
        <is>
          <t>PU</t>
        </is>
      </c>
      <c r="F2042" s="144" t="inlineStr">
        <is>
          <t>BRL4870 GA</t>
        </is>
      </c>
      <c r="G2042" s="144" t="inlineStr">
        <is>
          <t>WHITE CHEVY</t>
        </is>
      </c>
      <c r="H2042" s="144" t="n">
        <v>7501</v>
      </c>
      <c r="I2042" s="144" t="inlineStr">
        <is>
          <t>CONTRACTOR</t>
        </is>
      </c>
    </row>
    <row r="2043" ht="18" customHeight="1" s="7">
      <c r="A2043" s="144" t="inlineStr">
        <is>
          <t>KEVIN FORD</t>
        </is>
      </c>
      <c r="B2043" s="144" t="inlineStr">
        <is>
          <t>*054297931 GA</t>
        </is>
      </c>
      <c r="C2043" s="144" t="inlineStr">
        <is>
          <t>UNTIED RENTALS</t>
        </is>
      </c>
      <c r="D2043" s="144" t="n">
        <v>2299778582</v>
      </c>
      <c r="E2043" s="144" t="inlineStr">
        <is>
          <t>FLAT</t>
        </is>
      </c>
      <c r="F2043" s="144" t="inlineStr">
        <is>
          <t>3535377 IN</t>
        </is>
      </c>
      <c r="G2043" s="144" t="inlineStr">
        <is>
          <t>WHITE FREIGHTLINER</t>
        </is>
      </c>
      <c r="H2043" s="144" t="n">
        <v>3700</v>
      </c>
      <c r="I2043" s="144" t="inlineStr">
        <is>
          <t>COMMERCIAL</t>
        </is>
      </c>
    </row>
    <row r="2044" ht="18" customHeight="1" s="7">
      <c r="A2044" s="144" t="inlineStr">
        <is>
          <t>AUANCE SIDEBENNX</t>
        </is>
      </c>
      <c r="B2044" s="144" t="inlineStr">
        <is>
          <t>000000630031 NC</t>
        </is>
      </c>
      <c r="C2044" s="144" t="inlineStr">
        <is>
          <t>A&amp;E TRUCKING</t>
        </is>
      </c>
      <c r="D2044" s="144" t="n">
        <v>9102979512</v>
      </c>
      <c r="E2044" s="144" t="inlineStr">
        <is>
          <t>FLAT</t>
        </is>
      </c>
      <c r="F2044" s="144" t="inlineStr">
        <is>
          <t>NH4213 NC</t>
        </is>
      </c>
      <c r="G2044" s="144" t="inlineStr">
        <is>
          <t>BLUE INTERNATIONAL</t>
        </is>
      </c>
      <c r="H2044" s="144" t="n">
        <v>1221</v>
      </c>
      <c r="I2044" s="144" t="inlineStr">
        <is>
          <t>COMMERICAL</t>
        </is>
      </c>
    </row>
    <row r="2045" ht="18" customHeight="1" s="7">
      <c r="A2045" s="144" t="inlineStr">
        <is>
          <t>ANTONIO GIBSON</t>
        </is>
      </c>
      <c r="B2045" s="144" t="inlineStr">
        <is>
          <t>049359851 GA</t>
        </is>
      </c>
      <c r="C2045" s="144" t="inlineStr">
        <is>
          <t>ROLLING WITH GIBSON</t>
        </is>
      </c>
      <c r="D2045" s="144" t="n">
        <v>2295076947</v>
      </c>
      <c r="E2045" s="144" t="inlineStr">
        <is>
          <t>PU</t>
        </is>
      </c>
      <c r="F2045" s="144" t="inlineStr">
        <is>
          <t>ETW039 GA</t>
        </is>
      </c>
      <c r="G2045" s="144" t="inlineStr">
        <is>
          <t>RED FORD</t>
        </is>
      </c>
      <c r="H2045" s="144" t="n">
        <v>1221</v>
      </c>
      <c r="I2045" s="144" t="inlineStr">
        <is>
          <t>CONTRACTOR</t>
        </is>
      </c>
    </row>
    <row r="2046" ht="18" customHeight="1" s="7">
      <c r="A2046" s="144" t="inlineStr">
        <is>
          <t>JOSEPH WALKER</t>
        </is>
      </c>
      <c r="B2046" s="144" t="inlineStr">
        <is>
          <t>049340534 GA</t>
        </is>
      </c>
      <c r="C2046" s="144" t="inlineStr">
        <is>
          <t>FIVE STAR</t>
        </is>
      </c>
      <c r="D2046" s="144" t="n">
        <v>4702304233</v>
      </c>
      <c r="E2046" s="144" t="inlineStr">
        <is>
          <t>VAN</t>
        </is>
      </c>
      <c r="F2046" s="144" t="inlineStr">
        <is>
          <t>RGY4340 GA</t>
        </is>
      </c>
      <c r="G2046" s="144" t="inlineStr">
        <is>
          <t>WHITE CHEV</t>
        </is>
      </c>
      <c r="H2046" s="144" t="n">
        <v>7501</v>
      </c>
      <c r="I2046" s="144" t="inlineStr">
        <is>
          <t>CONTRACTOR</t>
        </is>
      </c>
    </row>
    <row r="2047" ht="18" customHeight="1" s="7">
      <c r="A2047" s="144" t="inlineStr">
        <is>
          <t>LUIS FLORES</t>
        </is>
      </c>
      <c r="B2047" s="144" t="inlineStr">
        <is>
          <t>050292754 GA</t>
        </is>
      </c>
      <c r="C2047" s="144" t="inlineStr">
        <is>
          <t>FIG</t>
        </is>
      </c>
      <c r="D2047" s="144" t="n">
        <v>7066049143</v>
      </c>
      <c r="E2047" s="144" t="inlineStr">
        <is>
          <t>PU</t>
        </is>
      </c>
      <c r="F2047" s="144" t="inlineStr">
        <is>
          <t>CCW6596 GA</t>
        </is>
      </c>
      <c r="G2047" s="144" t="inlineStr">
        <is>
          <t>GREY TOYOTA</t>
        </is>
      </c>
      <c r="H2047" s="144" t="inlineStr">
        <is>
          <t>K9</t>
        </is>
      </c>
      <c r="I2047" s="144" t="inlineStr">
        <is>
          <t>CONTRACTOR</t>
        </is>
      </c>
    </row>
    <row r="2048" ht="18" customHeight="1" s="7">
      <c r="A2048" s="144" t="inlineStr">
        <is>
          <t>BENJAMIN KENDALL</t>
        </is>
      </c>
      <c r="B2048" s="144" t="inlineStr">
        <is>
          <t>B227617562000 FL</t>
        </is>
      </c>
      <c r="C2048" s="144" t="inlineStr">
        <is>
          <t>VERITIV</t>
        </is>
      </c>
      <c r="D2048" s="144" t="n">
        <v>9044325039</v>
      </c>
      <c r="E2048" s="144" t="inlineStr">
        <is>
          <t>BOX</t>
        </is>
      </c>
      <c r="F2048" s="144" t="inlineStr">
        <is>
          <t>98305X WI</t>
        </is>
      </c>
      <c r="G2048" s="144" t="inlineStr">
        <is>
          <t>WHITE INTERNATIONAL</t>
        </is>
      </c>
      <c r="H2048" s="144" t="n">
        <v>1221</v>
      </c>
      <c r="I2048" s="144" t="inlineStr">
        <is>
          <t>COMMERICAL</t>
        </is>
      </c>
    </row>
    <row r="2049" ht="18" customHeight="1" s="7">
      <c r="A2049" s="144" t="inlineStr">
        <is>
          <t>SHAWN WILSON</t>
        </is>
      </c>
      <c r="B2049" s="144" t="inlineStr">
        <is>
          <t>8713256 AL</t>
        </is>
      </c>
      <c r="C2049" s="144" t="inlineStr">
        <is>
          <t>BUFFALO ROCK</t>
        </is>
      </c>
      <c r="D2049" s="144" t="n">
        <v>2057045378</v>
      </c>
      <c r="E2049" s="144" t="inlineStr">
        <is>
          <t>VAN</t>
        </is>
      </c>
      <c r="F2049" s="144" t="inlineStr">
        <is>
          <t>RMN6020 GA</t>
        </is>
      </c>
      <c r="G2049" s="144" t="inlineStr">
        <is>
          <t>WHITE CHEV</t>
        </is>
      </c>
      <c r="H2049" s="144" t="n">
        <v>7501</v>
      </c>
      <c r="I2049" s="144" t="inlineStr">
        <is>
          <t>CONTRACTOR</t>
        </is>
      </c>
    </row>
    <row r="2050" ht="18" customHeight="1" s="7">
      <c r="A2050" s="144" t="inlineStr">
        <is>
          <t>ERP JACKSON</t>
        </is>
      </c>
      <c r="B2050" s="144" t="inlineStr">
        <is>
          <t>6447849 AL</t>
        </is>
      </c>
      <c r="C2050" s="144" t="inlineStr">
        <is>
          <t>MCCLANE</t>
        </is>
      </c>
      <c r="D2050" s="144" t="n">
        <v>3347919444</v>
      </c>
      <c r="E2050" s="144" t="inlineStr">
        <is>
          <t>BOX</t>
        </is>
      </c>
      <c r="F2050" s="144" t="inlineStr">
        <is>
          <t>P935942 IL</t>
        </is>
      </c>
      <c r="G2050" s="144" t="inlineStr">
        <is>
          <t>WHITE FREIGHTLINER</t>
        </is>
      </c>
      <c r="H2050" s="144" t="n">
        <v>7501</v>
      </c>
      <c r="I2050" s="144" t="inlineStr">
        <is>
          <t>COMMERICAL</t>
        </is>
      </c>
    </row>
    <row r="2051" ht="18" customHeight="1" s="7">
      <c r="A2051" s="144" t="inlineStr">
        <is>
          <t>ACEVEDO PEDRO</t>
        </is>
      </c>
      <c r="B2051" s="144" t="inlineStr">
        <is>
          <t>14160303 TX</t>
        </is>
      </c>
      <c r="C2051" s="144" t="inlineStr">
        <is>
          <t>NUNEZ LOGISTIC</t>
        </is>
      </c>
      <c r="D2051" s="144" t="n">
        <v>9569523429</v>
      </c>
      <c r="E2051" s="144" t="inlineStr">
        <is>
          <t>PU</t>
        </is>
      </c>
      <c r="F2051" s="144" t="inlineStr">
        <is>
          <t>TPW9935 TX</t>
        </is>
      </c>
      <c r="G2051" s="144" t="inlineStr">
        <is>
          <t>WHITE DODGE</t>
        </is>
      </c>
      <c r="H2051" s="144" t="n">
        <v>1221</v>
      </c>
      <c r="I2051" s="144" t="inlineStr">
        <is>
          <t>CONTRACTOR</t>
        </is>
      </c>
    </row>
    <row r="2052" ht="18" customHeight="1" s="7">
      <c r="A2052" s="144" t="inlineStr">
        <is>
          <t>JASON MATHIS</t>
        </is>
      </c>
      <c r="B2052" s="144" t="inlineStr">
        <is>
          <t>054301883 GA</t>
        </is>
      </c>
      <c r="C2052" s="144" t="inlineStr">
        <is>
          <t>SEPTIC SOLUTIONS</t>
        </is>
      </c>
      <c r="D2052" s="144" t="n">
        <v>2293173443</v>
      </c>
      <c r="E2052" s="144" t="inlineStr">
        <is>
          <t>PU</t>
        </is>
      </c>
      <c r="F2052" s="144" t="inlineStr">
        <is>
          <t>CWB7130 GA</t>
        </is>
      </c>
      <c r="G2052" s="144" t="inlineStr">
        <is>
          <t>WHITE GMC</t>
        </is>
      </c>
      <c r="H2052" s="144" t="n">
        <v>5500</v>
      </c>
      <c r="I2052" s="144" t="inlineStr">
        <is>
          <t>CONTRACTOR</t>
        </is>
      </c>
    </row>
    <row r="2053" ht="18" customHeight="1" s="7">
      <c r="A2053" s="144" t="inlineStr">
        <is>
          <t>ANDREW ARMSTRONG</t>
        </is>
      </c>
      <c r="B2053" s="144" t="inlineStr">
        <is>
          <t>007889294 LA</t>
        </is>
      </c>
      <c r="C2053" s="144" t="inlineStr">
        <is>
          <t>SUPERIOR TRANS</t>
        </is>
      </c>
      <c r="D2053" s="144" t="n">
        <v>5047827731</v>
      </c>
      <c r="E2053" s="144" t="inlineStr">
        <is>
          <t>PU</t>
        </is>
      </c>
      <c r="F2053" s="144" t="inlineStr">
        <is>
          <t>VV7621 NC</t>
        </is>
      </c>
      <c r="G2053" s="144" t="inlineStr">
        <is>
          <t>MAROON DODGE</t>
        </is>
      </c>
      <c r="H2053" s="144" t="n">
        <v>1351</v>
      </c>
      <c r="I2053" s="144" t="inlineStr">
        <is>
          <t>CONTRACTOR</t>
        </is>
      </c>
    </row>
    <row r="2054" ht="18" customHeight="1" s="7">
      <c r="A2054" s="144" t="inlineStr">
        <is>
          <t>DIAZ GUILLERMO</t>
        </is>
      </c>
      <c r="B2054" s="144" t="inlineStr">
        <is>
          <t>D252280621320 FL</t>
        </is>
      </c>
      <c r="C2054" s="144" t="inlineStr">
        <is>
          <t>PROFESIAL TRANS</t>
        </is>
      </c>
      <c r="D2054" s="144" t="n">
        <v>3054507648</v>
      </c>
      <c r="E2054" s="144" t="inlineStr">
        <is>
          <t>BOX</t>
        </is>
      </c>
      <c r="F2054" s="144" t="inlineStr">
        <is>
          <t>XE609H FL</t>
        </is>
      </c>
      <c r="G2054" s="144" t="inlineStr">
        <is>
          <t>BLUE VOLVO</t>
        </is>
      </c>
      <c r="H2054" s="144" t="n">
        <v>1221</v>
      </c>
      <c r="I2054" s="144" t="inlineStr">
        <is>
          <t>COMMERICAL</t>
        </is>
      </c>
    </row>
    <row r="2055" ht="18" customHeight="1" s="7">
      <c r="A2055" s="144" t="inlineStr">
        <is>
          <t>DARREN CHAMBERS</t>
        </is>
      </c>
      <c r="B2055" s="144" t="inlineStr">
        <is>
          <t>43256868 TX</t>
        </is>
      </c>
      <c r="C2055" s="144" t="inlineStr">
        <is>
          <t>RELOAD TRANS</t>
        </is>
      </c>
      <c r="D2055" s="144" t="n">
        <v>2145181235</v>
      </c>
      <c r="E2055" s="144" t="inlineStr">
        <is>
          <t>BOX</t>
        </is>
      </c>
      <c r="F2055" s="144" t="inlineStr">
        <is>
          <t>P1250708 IL</t>
        </is>
      </c>
      <c r="G2055" s="144" t="inlineStr">
        <is>
          <t>WHITE FREIGHTLINER</t>
        </is>
      </c>
      <c r="H2055" s="144" t="n">
        <v>1221</v>
      </c>
      <c r="I2055" s="144" t="inlineStr">
        <is>
          <t>COMMERICAL</t>
        </is>
      </c>
    </row>
    <row r="2056" ht="18" customHeight="1" s="7">
      <c r="A2056" s="144" t="inlineStr">
        <is>
          <t>CATANO SANTIAGO</t>
        </is>
      </c>
      <c r="B2056" s="144" t="inlineStr">
        <is>
          <t>056552654 GA</t>
        </is>
      </c>
      <c r="C2056" s="144" t="inlineStr">
        <is>
          <t>EXPEDITE</t>
        </is>
      </c>
      <c r="D2056" s="144" t="n">
        <v>4049014122</v>
      </c>
      <c r="E2056" s="144" t="inlineStr">
        <is>
          <t>PU</t>
        </is>
      </c>
      <c r="F2056" s="144" t="inlineStr">
        <is>
          <t>CZY6699 GA</t>
        </is>
      </c>
      <c r="G2056" s="144" t="inlineStr">
        <is>
          <t>BLACK DODGE</t>
        </is>
      </c>
      <c r="H2056" s="144" t="n">
        <v>1221</v>
      </c>
      <c r="I2056" s="144" t="inlineStr">
        <is>
          <t>CONTRACTOR</t>
        </is>
      </c>
    </row>
    <row r="2057" ht="18" customHeight="1" s="7">
      <c r="A2057" s="144" t="inlineStr">
        <is>
          <t>TRAVIS STALKER</t>
        </is>
      </c>
      <c r="B2057" s="144" t="inlineStr">
        <is>
          <t>342802367668 MI</t>
        </is>
      </c>
      <c r="C2057" s="144" t="inlineStr">
        <is>
          <t>ROAD LEGENDS</t>
        </is>
      </c>
      <c r="D2057" s="144" t="n">
        <v>5178999570</v>
      </c>
      <c r="E2057" s="144" t="inlineStr">
        <is>
          <t>BOX</t>
        </is>
      </c>
      <c r="F2057" s="144" t="inlineStr">
        <is>
          <t>P1248100 IL</t>
        </is>
      </c>
      <c r="G2057" s="144" t="inlineStr">
        <is>
          <t>BLUE KENWORTH</t>
        </is>
      </c>
      <c r="H2057" s="144" t="n">
        <v>1221</v>
      </c>
      <c r="I2057" s="144" t="inlineStr">
        <is>
          <t>COMMERICAL</t>
        </is>
      </c>
    </row>
    <row r="2058" ht="18" customHeight="1" s="7">
      <c r="A2058" s="144" t="inlineStr">
        <is>
          <t>CLEVELAND SIMMONS</t>
        </is>
      </c>
      <c r="B2058" s="144" t="inlineStr">
        <is>
          <t>000004629242 NC</t>
        </is>
      </c>
      <c r="C2058" s="144" t="inlineStr">
        <is>
          <t>MEDALLIO</t>
        </is>
      </c>
      <c r="D2058" s="144" t="n">
        <v>9105089676</v>
      </c>
      <c r="E2058" s="144" t="inlineStr">
        <is>
          <t>FLAT</t>
        </is>
      </c>
      <c r="F2058" s="144" t="inlineStr">
        <is>
          <t>2583389 IN</t>
        </is>
      </c>
      <c r="G2058" s="144" t="inlineStr">
        <is>
          <t>RED PETERBILT</t>
        </is>
      </c>
      <c r="H2058" s="144" t="n">
        <v>1221</v>
      </c>
      <c r="I2058" s="144" t="inlineStr">
        <is>
          <t>COMMERICAL</t>
        </is>
      </c>
    </row>
    <row r="2059" ht="18" customHeight="1" s="7">
      <c r="A2059" s="144" t="inlineStr">
        <is>
          <t>REGINALD WARD</t>
        </is>
      </c>
      <c r="B2059" s="144" t="inlineStr">
        <is>
          <t>054021893 GA</t>
        </is>
      </c>
      <c r="C2059" s="144" t="inlineStr">
        <is>
          <t>EXPRESS TRUCKING</t>
        </is>
      </c>
      <c r="D2059" s="144" t="n">
        <v>2293524300</v>
      </c>
      <c r="E2059" s="144" t="inlineStr">
        <is>
          <t>DUMP</t>
        </is>
      </c>
      <c r="F2059" s="144" t="inlineStr">
        <is>
          <t>EPQ815 GA</t>
        </is>
      </c>
      <c r="G2059" s="144" t="inlineStr">
        <is>
          <t>GREEN PETERBILT</t>
        </is>
      </c>
      <c r="H2059" s="144" t="inlineStr">
        <is>
          <t>BASEWIDE</t>
        </is>
      </c>
      <c r="I2059" s="144" t="inlineStr">
        <is>
          <t>CONTRACTOR</t>
        </is>
      </c>
    </row>
    <row r="2060" ht="18" customHeight="1" s="7">
      <c r="A2060" s="144" t="inlineStr">
        <is>
          <t>WILLIAM RUTLEDGE</t>
        </is>
      </c>
      <c r="B2060" s="144" t="inlineStr">
        <is>
          <t>071742040 GA</t>
        </is>
      </c>
      <c r="C2060" s="144" t="inlineStr">
        <is>
          <t xml:space="preserve">SOWEGA </t>
        </is>
      </c>
      <c r="D2060" s="144" t="n">
        <v>2297330750</v>
      </c>
      <c r="E2060" s="144" t="inlineStr">
        <is>
          <t>FLAT</t>
        </is>
      </c>
      <c r="F2060" s="144" t="inlineStr">
        <is>
          <t>GLA967 GA</t>
        </is>
      </c>
      <c r="G2060" s="144" t="inlineStr">
        <is>
          <t xml:space="preserve"> WHITE FORD</t>
        </is>
      </c>
      <c r="H2060" s="144" t="n">
        <v>1260</v>
      </c>
      <c r="I2060" s="144" t="inlineStr">
        <is>
          <t>CONTRACTOR</t>
        </is>
      </c>
    </row>
    <row r="2061" ht="18" customHeight="1" s="7">
      <c r="A2061" s="144" t="inlineStr">
        <is>
          <t>RICARDO COBHAM</t>
        </is>
      </c>
      <c r="B2061" s="144" t="inlineStr">
        <is>
          <t>C150726823270 FL</t>
        </is>
      </c>
      <c r="C2061" s="144" t="inlineStr">
        <is>
          <t>ATLANTIC FREIGHT</t>
        </is>
      </c>
      <c r="D2061" s="144" t="n">
        <v>9047626058</v>
      </c>
      <c r="E2061" s="144" t="inlineStr">
        <is>
          <t>FLAT</t>
        </is>
      </c>
      <c r="F2061" s="144" t="inlineStr">
        <is>
          <t>XCB14C FL</t>
        </is>
      </c>
      <c r="G2061" s="144" t="inlineStr">
        <is>
          <t>BLACK KENWORTH</t>
        </is>
      </c>
      <c r="H2061" s="144" t="n">
        <v>1221</v>
      </c>
      <c r="I2061" s="144" t="inlineStr">
        <is>
          <t>COMMERICAL</t>
        </is>
      </c>
    </row>
    <row r="2062" ht="18" customHeight="1" s="7">
      <c r="A2062" s="144" t="inlineStr">
        <is>
          <t>JEVON WORRELL</t>
        </is>
      </c>
      <c r="B2062" s="144" t="inlineStr">
        <is>
          <t>W640424811610 FL</t>
        </is>
      </c>
      <c r="C2062" s="144" t="inlineStr">
        <is>
          <t>ROBBIE D WOOD</t>
        </is>
      </c>
      <c r="D2062" s="144" t="n">
        <v>3526722313</v>
      </c>
      <c r="E2062" s="144" t="inlineStr">
        <is>
          <t>FLAT</t>
        </is>
      </c>
      <c r="F2062" s="144" t="inlineStr">
        <is>
          <t>XE448W FL</t>
        </is>
      </c>
      <c r="G2062" s="144" t="inlineStr">
        <is>
          <t>RED PETERBILT</t>
        </is>
      </c>
      <c r="H2062" s="144" t="n">
        <v>1221</v>
      </c>
      <c r="I2062" s="144" t="inlineStr">
        <is>
          <t>COMMERICAL</t>
        </is>
      </c>
    </row>
    <row r="2063" ht="18" customHeight="1" s="7">
      <c r="A2063" s="144" t="inlineStr">
        <is>
          <t>CALEB OWENS</t>
        </is>
      </c>
      <c r="B2063" s="144" t="inlineStr">
        <is>
          <t>053842250 GA</t>
        </is>
      </c>
      <c r="C2063" s="144" t="inlineStr">
        <is>
          <t>METRO POWER</t>
        </is>
      </c>
      <c r="D2063" s="144" t="n">
        <v>2294128514</v>
      </c>
      <c r="E2063" s="144" t="inlineStr">
        <is>
          <t>BOX</t>
        </is>
      </c>
      <c r="F2063" s="144" t="inlineStr">
        <is>
          <t>SKD1495 GA</t>
        </is>
      </c>
      <c r="G2063" s="144" t="inlineStr">
        <is>
          <t>RED FORD</t>
        </is>
      </c>
      <c r="H2063" s="144" t="n">
        <v>1406</v>
      </c>
      <c r="I2063" s="144" t="inlineStr">
        <is>
          <t>CONTRACTOR</t>
        </is>
      </c>
    </row>
    <row r="2064" ht="18" customHeight="1" s="7">
      <c r="A2064" s="144" t="inlineStr">
        <is>
          <t>JOEL VERNON</t>
        </is>
      </c>
      <c r="B2064" s="144" t="inlineStr">
        <is>
          <t>058776068 GA</t>
        </is>
      </c>
      <c r="C2064" s="144" t="inlineStr">
        <is>
          <t>WHEATON</t>
        </is>
      </c>
      <c r="D2064" s="144" t="n">
        <v>7067481407</v>
      </c>
      <c r="E2064" s="144" t="inlineStr">
        <is>
          <t>BOX</t>
        </is>
      </c>
      <c r="F2064" s="144" t="inlineStr">
        <is>
          <t>GLL117 GA</t>
        </is>
      </c>
      <c r="G2064" s="144" t="inlineStr">
        <is>
          <t>WHITE FREIGHTLINER</t>
        </is>
      </c>
      <c r="H2064" s="144" t="inlineStr">
        <is>
          <t>HOUSING</t>
        </is>
      </c>
      <c r="I2064" s="144" t="inlineStr">
        <is>
          <t>CONTRACTOR</t>
        </is>
      </c>
    </row>
    <row r="2065" ht="18" customHeight="1" s="7">
      <c r="A2065" s="144" t="inlineStr">
        <is>
          <t>SHAKAI JINTIACH</t>
        </is>
      </c>
      <c r="B2065" s="144" t="inlineStr">
        <is>
          <t>32943579 PA</t>
        </is>
      </c>
      <c r="C2065" s="144" t="inlineStr">
        <is>
          <t>CONCORD EAST</t>
        </is>
      </c>
      <c r="D2065" s="144" t="n">
        <v>5703165033</v>
      </c>
      <c r="E2065" s="144" t="inlineStr">
        <is>
          <t>BOX</t>
        </is>
      </c>
      <c r="F2065" s="144" t="inlineStr">
        <is>
          <t>P1284442 IL</t>
        </is>
      </c>
      <c r="G2065" s="144" t="inlineStr">
        <is>
          <t>WHITE FREIGHTLINER</t>
        </is>
      </c>
      <c r="H2065" s="144" t="n">
        <v>1221</v>
      </c>
      <c r="I2065" s="144" t="inlineStr">
        <is>
          <t>COMMERICAL</t>
        </is>
      </c>
    </row>
    <row r="2066" ht="18" customHeight="1" s="7">
      <c r="A2066" s="144" t="inlineStr">
        <is>
          <t>HROMKY OLEKSANDR</t>
        </is>
      </c>
      <c r="B2066" s="144" t="inlineStr">
        <is>
          <t>33647917 PA</t>
        </is>
      </c>
      <c r="C2066" s="144" t="inlineStr">
        <is>
          <t>HOMELAND</t>
        </is>
      </c>
      <c r="D2066" s="144" t="n">
        <v>8147226094</v>
      </c>
      <c r="E2066" s="144" t="inlineStr">
        <is>
          <t>BOX</t>
        </is>
      </c>
      <c r="F2066" s="144" t="inlineStr">
        <is>
          <t>206887 IL</t>
        </is>
      </c>
      <c r="G2066" s="144" t="inlineStr">
        <is>
          <t xml:space="preserve">WHITE DODGE </t>
        </is>
      </c>
      <c r="H2066" s="144" t="n">
        <v>1221</v>
      </c>
      <c r="I2066" s="144" t="inlineStr">
        <is>
          <t>CONTRACTOR</t>
        </is>
      </c>
    </row>
    <row r="2067" ht="18" customHeight="1" s="7">
      <c r="A2067" s="144" t="inlineStr">
        <is>
          <t>REZENE BEREKET</t>
        </is>
      </c>
      <c r="B2067" s="144" t="inlineStr">
        <is>
          <t>40708650 TX</t>
        </is>
      </c>
      <c r="C2067" s="144" t="inlineStr">
        <is>
          <t>A&amp;M TRUCKING</t>
        </is>
      </c>
      <c r="D2067" s="144" t="n">
        <v>2025007838</v>
      </c>
      <c r="E2067" s="144" t="inlineStr">
        <is>
          <t>BOX</t>
        </is>
      </c>
      <c r="F2067" s="144" t="inlineStr">
        <is>
          <t>R231008 TX</t>
        </is>
      </c>
      <c r="G2067" s="144" t="inlineStr">
        <is>
          <t>WHITE FREIGHTLINER</t>
        </is>
      </c>
      <c r="H2067" s="144" t="n">
        <v>1221</v>
      </c>
      <c r="I2067" s="144" t="inlineStr">
        <is>
          <t>COMMERICAL</t>
        </is>
      </c>
    </row>
    <row r="2068" ht="18" customHeight="1" s="7">
      <c r="A2068" s="144" t="inlineStr">
        <is>
          <t>EDDIE DYKES</t>
        </is>
      </c>
      <c r="B2068" s="144" t="inlineStr">
        <is>
          <t>D22021690069 IL</t>
        </is>
      </c>
      <c r="C2068" s="144" t="inlineStr">
        <is>
          <t>EMR EXPRESS</t>
        </is>
      </c>
      <c r="D2068" s="144" t="n">
        <v>7733183423</v>
      </c>
      <c r="E2068" s="144" t="inlineStr">
        <is>
          <t>BOX</t>
        </is>
      </c>
      <c r="F2068" s="144" t="inlineStr">
        <is>
          <t>P1084636 IL</t>
        </is>
      </c>
      <c r="G2068" s="144" t="inlineStr">
        <is>
          <t>RED FREIGHTLINER</t>
        </is>
      </c>
      <c r="H2068" s="144" t="n">
        <v>1221</v>
      </c>
      <c r="I2068" s="144" t="inlineStr">
        <is>
          <t>COMMERICAL</t>
        </is>
      </c>
    </row>
    <row r="2069" ht="18" customHeight="1" s="7">
      <c r="A2069" s="144" t="inlineStr">
        <is>
          <t>DARIUS HOLMES</t>
        </is>
      </c>
      <c r="B2069" s="144" t="inlineStr">
        <is>
          <t>000026475675 NC</t>
        </is>
      </c>
      <c r="C2069" s="144" t="inlineStr">
        <is>
          <t>TRANSFORWARD</t>
        </is>
      </c>
      <c r="D2069" s="144" t="n">
        <v>910357365</v>
      </c>
      <c r="E2069" s="144" t="inlineStr">
        <is>
          <t>FLAT</t>
        </is>
      </c>
      <c r="F2069" s="144" t="inlineStr">
        <is>
          <t>VV1123 NC</t>
        </is>
      </c>
      <c r="G2069" s="144" t="inlineStr">
        <is>
          <t>BURGUNDY FREIGHTLINER</t>
        </is>
      </c>
      <c r="H2069" s="144" t="n">
        <v>1221</v>
      </c>
      <c r="I2069" s="144" t="inlineStr">
        <is>
          <t>COMMERICAL</t>
        </is>
      </c>
    </row>
    <row r="2070" ht="18" customHeight="1" s="7">
      <c r="A2070" s="144" t="inlineStr">
        <is>
          <t>ALJUNDI MOHAMMAD</t>
        </is>
      </c>
      <c r="B2070" s="144" t="inlineStr">
        <is>
          <t>068342233 GA</t>
        </is>
      </c>
      <c r="C2070" s="144" t="inlineStr">
        <is>
          <t>ALJUNDI EXPRESS</t>
        </is>
      </c>
      <c r="D2070" s="144" t="n">
        <v>4044145151</v>
      </c>
      <c r="E2070" s="144" t="inlineStr">
        <is>
          <t>BOX</t>
        </is>
      </c>
      <c r="F2070" s="144" t="inlineStr">
        <is>
          <t>C078DX GA</t>
        </is>
      </c>
      <c r="G2070" s="144" t="inlineStr">
        <is>
          <t>WHITE FREIGHTLINER</t>
        </is>
      </c>
      <c r="H2070" s="144" t="n">
        <v>1221</v>
      </c>
      <c r="I2070" s="144" t="inlineStr">
        <is>
          <t>COMMERICAL</t>
        </is>
      </c>
    </row>
    <row r="2071" ht="18" customHeight="1" s="7">
      <c r="A2071" s="144" t="inlineStr">
        <is>
          <t>DONALD SINARD</t>
        </is>
      </c>
      <c r="B2071" s="144" t="inlineStr">
        <is>
          <t>051921478 GA</t>
        </is>
      </c>
      <c r="C2071" s="144" t="inlineStr">
        <is>
          <t>S&amp;S CONCRETE</t>
        </is>
      </c>
      <c r="D2071" s="144" t="n">
        <v>2293928514</v>
      </c>
      <c r="E2071" s="144" t="inlineStr">
        <is>
          <t>PU</t>
        </is>
      </c>
      <c r="F2071" s="144" t="inlineStr">
        <is>
          <t>TCV7128 GA</t>
        </is>
      </c>
      <c r="G2071" s="144" t="inlineStr">
        <is>
          <t>WHITE FORD</t>
        </is>
      </c>
      <c r="H2071" s="144" t="inlineStr">
        <is>
          <t>GYM</t>
        </is>
      </c>
      <c r="I2071" s="144" t="inlineStr">
        <is>
          <t>CONTRACTOR</t>
        </is>
      </c>
    </row>
    <row r="2072" ht="18" customHeight="1" s="7">
      <c r="A2072" s="144" t="inlineStr">
        <is>
          <t>MATKARIMOV SHARIFBOY</t>
        </is>
      </c>
      <c r="B2072" s="144" t="inlineStr">
        <is>
          <t>Y7997069 CA</t>
        </is>
      </c>
      <c r="C2072" s="144" t="inlineStr">
        <is>
          <t>COVENANT TRANS</t>
        </is>
      </c>
      <c r="D2072" s="144" t="n">
        <v>4156569056</v>
      </c>
      <c r="E2072" s="144" t="inlineStr">
        <is>
          <t xml:space="preserve">BOX </t>
        </is>
      </c>
      <c r="F2072" s="144" t="inlineStr">
        <is>
          <t>91991Z WS</t>
        </is>
      </c>
      <c r="G2072" s="144" t="inlineStr">
        <is>
          <t>WHITE FREIGHTLINER</t>
        </is>
      </c>
      <c r="H2072" s="144" t="n">
        <v>1221</v>
      </c>
      <c r="I2072" s="144" t="inlineStr">
        <is>
          <t>COMMERICAL</t>
        </is>
      </c>
    </row>
    <row r="2073" ht="18" customHeight="1" s="7">
      <c r="A2073" s="144" t="inlineStr">
        <is>
          <t>ACIDO PHILIP</t>
        </is>
      </c>
      <c r="B2073" s="144" t="inlineStr">
        <is>
          <t>D5670865 CA</t>
        </is>
      </c>
      <c r="C2073" s="144" t="inlineStr">
        <is>
          <t>LUXTON LOGISTICS</t>
        </is>
      </c>
      <c r="D2073" s="144" t="n">
        <v>9163894971</v>
      </c>
      <c r="E2073" s="144" t="inlineStr">
        <is>
          <t>BOX</t>
        </is>
      </c>
      <c r="F2073" s="144" t="inlineStr">
        <is>
          <t>AH71408 PA</t>
        </is>
      </c>
      <c r="G2073" s="144" t="inlineStr">
        <is>
          <t>WHITE VOLVO</t>
        </is>
      </c>
      <c r="H2073" s="144" t="n">
        <v>1221</v>
      </c>
      <c r="I2073" s="144" t="inlineStr">
        <is>
          <t>COMMERCIAL</t>
        </is>
      </c>
    </row>
    <row r="2074" ht="18" customHeight="1" s="7">
      <c r="A2074" s="144" t="inlineStr">
        <is>
          <t>PITTMAN GRANT</t>
        </is>
      </c>
      <c r="B2074" s="144" t="inlineStr">
        <is>
          <t>UZ67591 OH</t>
        </is>
      </c>
      <c r="C2074" s="144" t="inlineStr">
        <is>
          <t>MARBADA</t>
        </is>
      </c>
      <c r="D2074" s="144" t="n">
        <v>5138051581</v>
      </c>
      <c r="E2074" s="144" t="inlineStr">
        <is>
          <t>BOX</t>
        </is>
      </c>
      <c r="F2074" s="144" t="inlineStr">
        <is>
          <t>PLT5890 OH</t>
        </is>
      </c>
      <c r="G2074" s="144" t="inlineStr">
        <is>
          <t>WHITE HINO</t>
        </is>
      </c>
      <c r="H2074" s="144" t="n">
        <v>1221</v>
      </c>
      <c r="I2074" s="144" t="inlineStr">
        <is>
          <t>COMMERCIAL</t>
        </is>
      </c>
    </row>
    <row r="2075" ht="18" customHeight="1" s="7">
      <c r="A2075" s="144" t="inlineStr">
        <is>
          <t xml:space="preserve">YOSEPH BOGALE </t>
        </is>
      </c>
      <c r="B2075" s="144" t="inlineStr">
        <is>
          <t xml:space="preserve">*054991471 GA </t>
        </is>
      </c>
      <c r="C2075" s="144" t="inlineStr">
        <is>
          <t xml:space="preserve">MMD EXPRESS </t>
        </is>
      </c>
      <c r="D2075" s="144" t="n">
        <v>7706559093</v>
      </c>
      <c r="E2075" s="144" t="inlineStr">
        <is>
          <t>BOX</t>
        </is>
      </c>
      <c r="F2075" s="144" t="inlineStr">
        <is>
          <t>C891AA GA</t>
        </is>
      </c>
      <c r="G2075" s="144" t="inlineStr">
        <is>
          <t>YELLOW FREIGHTLINER</t>
        </is>
      </c>
      <c r="H2075" s="144" t="n">
        <v>1221</v>
      </c>
      <c r="I2075" s="144" t="inlineStr">
        <is>
          <t>COMMERCIAL</t>
        </is>
      </c>
    </row>
    <row r="2076" ht="18" customHeight="1" s="7">
      <c r="A2076" s="144" t="inlineStr">
        <is>
          <t>RODERICK GERVIN</t>
        </is>
      </c>
      <c r="B2076" s="144" t="inlineStr">
        <is>
          <t>*049151652 GA</t>
        </is>
      </c>
      <c r="C2076" s="144" t="inlineStr">
        <is>
          <t>ZOOM IN TRUCKING</t>
        </is>
      </c>
      <c r="D2076" s="144" t="n">
        <v>2292961187</v>
      </c>
      <c r="E2076" s="144" t="inlineStr">
        <is>
          <t>BOX</t>
        </is>
      </c>
      <c r="F2076" s="144" t="inlineStr">
        <is>
          <t>C284EK GA</t>
        </is>
      </c>
      <c r="G2076" s="144" t="inlineStr">
        <is>
          <t>WHITE FREIGHTLINER</t>
        </is>
      </c>
      <c r="H2076" s="144" t="n">
        <v>1221</v>
      </c>
      <c r="I2076" s="144" t="inlineStr">
        <is>
          <t>COMMERCIAL</t>
        </is>
      </c>
    </row>
    <row r="2077" ht="18" customHeight="1" s="7">
      <c r="A2077" s="144" t="inlineStr">
        <is>
          <t>DAVEON SANDERS</t>
        </is>
      </c>
      <c r="B2077" s="144" t="inlineStr">
        <is>
          <t>9465676 AL</t>
        </is>
      </c>
      <c r="C2077" s="144" t="inlineStr">
        <is>
          <t xml:space="preserve">MIDSOUTH PRODUCE </t>
        </is>
      </c>
      <c r="D2077" s="144" t="n">
        <v>2056452033</v>
      </c>
      <c r="E2077" s="144" t="inlineStr">
        <is>
          <t>BOX</t>
        </is>
      </c>
      <c r="F2077" s="144" t="inlineStr">
        <is>
          <t>3521604 IN</t>
        </is>
      </c>
      <c r="G2077" s="144" t="inlineStr">
        <is>
          <t>WHITE FREIGHTLINER</t>
        </is>
      </c>
      <c r="H2077" s="144" t="n">
        <v>1221</v>
      </c>
      <c r="I2077" s="144" t="inlineStr">
        <is>
          <t>COMMERCIAL</t>
        </is>
      </c>
    </row>
    <row r="2078" ht="18" customHeight="1" s="7">
      <c r="A2078" s="144" t="inlineStr">
        <is>
          <t>MAZUR TODD WARD</t>
        </is>
      </c>
      <c r="B2078" s="144" t="inlineStr">
        <is>
          <t>36259927 TX</t>
        </is>
      </c>
      <c r="C2078" s="144" t="inlineStr">
        <is>
          <t>ADVANCED TRUCKING</t>
        </is>
      </c>
      <c r="D2078" s="144" t="n">
        <v>2542200360</v>
      </c>
      <c r="E2078" s="144" t="inlineStr">
        <is>
          <t>BOX</t>
        </is>
      </c>
      <c r="F2078" s="144" t="inlineStr">
        <is>
          <t>3468615 IN</t>
        </is>
      </c>
      <c r="G2078" s="144" t="inlineStr">
        <is>
          <t>GREEN FREIGHTLINER</t>
        </is>
      </c>
      <c r="H2078" s="144" t="n">
        <v>1221</v>
      </c>
      <c r="I2078" s="144" t="inlineStr">
        <is>
          <t>COMMERCIAL</t>
        </is>
      </c>
    </row>
    <row r="2079" ht="18" customHeight="1" s="7">
      <c r="A2079" s="144" t="inlineStr">
        <is>
          <t>ABDI IDIRIS</t>
        </is>
      </c>
      <c r="B2079" s="144" t="inlineStr">
        <is>
          <t>D2009043 CAL</t>
        </is>
      </c>
      <c r="C2079" s="144" t="inlineStr">
        <is>
          <t>Y&amp;Y TRANS</t>
        </is>
      </c>
      <c r="D2079" s="144" t="n">
        <v>6192749159</v>
      </c>
      <c r="E2079" s="144" t="inlineStr">
        <is>
          <t>BOX</t>
        </is>
      </c>
      <c r="F2079" s="144" t="inlineStr">
        <is>
          <t>PZB0374 MN</t>
        </is>
      </c>
      <c r="G2079" s="144" t="inlineStr">
        <is>
          <t>GREY VOLVO</t>
        </is>
      </c>
      <c r="H2079" s="144" t="n">
        <v>1221</v>
      </c>
      <c r="I2079" s="144" t="inlineStr">
        <is>
          <t>COMMERCIAL</t>
        </is>
      </c>
    </row>
    <row r="2080" ht="18" customHeight="1" s="7">
      <c r="A2080" s="144" t="inlineStr">
        <is>
          <t>SAMUEL ADEPOJU</t>
        </is>
      </c>
      <c r="B2080" s="144" t="inlineStr">
        <is>
          <t>*071896907 GA</t>
        </is>
      </c>
      <c r="C2080" s="144" t="inlineStr">
        <is>
          <t>SAMNITZ LOGISTIC</t>
        </is>
      </c>
      <c r="D2080" s="144" t="n">
        <v>9729223823</v>
      </c>
      <c r="E2080" s="144" t="inlineStr">
        <is>
          <t>BOX</t>
        </is>
      </c>
      <c r="F2080" s="144" t="inlineStr">
        <is>
          <t>R718300 TX</t>
        </is>
      </c>
      <c r="G2080" s="144" t="inlineStr">
        <is>
          <t>WHITE FREIGHTLINER</t>
        </is>
      </c>
      <c r="H2080" s="144" t="n">
        <v>1221</v>
      </c>
      <c r="I2080" s="144" t="inlineStr">
        <is>
          <t>COMMERCIAL</t>
        </is>
      </c>
    </row>
    <row r="2081" ht="18" customHeight="1" s="7">
      <c r="A2081" s="144" t="inlineStr">
        <is>
          <t>MATTHEW COX</t>
        </is>
      </c>
      <c r="B2081" s="144" t="inlineStr">
        <is>
          <t>*055603105 GA</t>
        </is>
      </c>
      <c r="C2081" s="144" t="inlineStr">
        <is>
          <t>SEPTIC SOLUTIONS</t>
        </is>
      </c>
      <c r="D2081" s="144" t="n">
        <v>2293641587</v>
      </c>
      <c r="E2081" s="144" t="inlineStr">
        <is>
          <t>PU</t>
        </is>
      </c>
      <c r="F2081" s="144" t="inlineStr">
        <is>
          <t>DBI2551 GA</t>
        </is>
      </c>
      <c r="G2081" s="144" t="inlineStr">
        <is>
          <t>WHITE RAM</t>
        </is>
      </c>
      <c r="H2081" s="144" t="inlineStr">
        <is>
          <t>5500 B</t>
        </is>
      </c>
      <c r="I2081" s="144" t="inlineStr">
        <is>
          <t>CONTRACTOR</t>
        </is>
      </c>
    </row>
    <row r="2082" ht="18" customHeight="1" s="7">
      <c r="A2082" s="144" t="inlineStr">
        <is>
          <t>TORRES SANTIAGO</t>
        </is>
      </c>
      <c r="B2082" s="144" t="inlineStr">
        <is>
          <t>178473305 CT</t>
        </is>
      </c>
      <c r="C2082" s="144" t="inlineStr">
        <is>
          <t>MATRIX EXPRESS</t>
        </is>
      </c>
      <c r="D2082" s="144" t="n">
        <v>8609856889</v>
      </c>
      <c r="E2082" s="144" t="inlineStr">
        <is>
          <t>BOX</t>
        </is>
      </c>
      <c r="F2082" s="144" t="inlineStr">
        <is>
          <t>73783A CT</t>
        </is>
      </c>
      <c r="G2082" s="144" t="inlineStr">
        <is>
          <t>WHITE FREIGHTLINER</t>
        </is>
      </c>
      <c r="H2082" s="144" t="n">
        <v>1351</v>
      </c>
      <c r="I2082" s="144" t="inlineStr">
        <is>
          <t>COMMERCIAL</t>
        </is>
      </c>
    </row>
    <row r="2083" ht="18" customHeight="1" s="7">
      <c r="A2083" s="144" t="inlineStr">
        <is>
          <t>YAMEOGO ALEXANDRE</t>
        </is>
      </c>
      <c r="B2083" s="144" t="inlineStr">
        <is>
          <t>27088345 PA</t>
        </is>
      </c>
      <c r="C2083" s="144" t="inlineStr">
        <is>
          <t>M2M EXPRESS</t>
        </is>
      </c>
      <c r="D2083" s="144" t="n">
        <v>2232516784</v>
      </c>
      <c r="E2083" s="144" t="inlineStr">
        <is>
          <t>BOX</t>
        </is>
      </c>
      <c r="F2083" s="144" t="inlineStr">
        <is>
          <t>AH70722 PA</t>
        </is>
      </c>
      <c r="G2083" s="144" t="inlineStr">
        <is>
          <t>WHITE VOLVO</t>
        </is>
      </c>
      <c r="H2083" s="144" t="n">
        <v>1221</v>
      </c>
      <c r="I2083" s="144" t="inlineStr">
        <is>
          <t>COMMERCIAL</t>
        </is>
      </c>
    </row>
    <row r="2084" ht="18" customHeight="1" s="7">
      <c r="A2084" s="144" t="inlineStr">
        <is>
          <t>SINGH MANINDER</t>
        </is>
      </c>
      <c r="B2084" s="144" t="inlineStr">
        <is>
          <t>F1873575 CAL</t>
        </is>
      </c>
      <c r="C2084" s="144" t="inlineStr">
        <is>
          <t>ULCM TRUCKING</t>
        </is>
      </c>
      <c r="D2084" s="144" t="n">
        <v>5592880955</v>
      </c>
      <c r="E2084" s="144" t="inlineStr">
        <is>
          <t>BOX</t>
        </is>
      </c>
      <c r="F2084" s="144" t="inlineStr">
        <is>
          <t>XPO4250 CAL</t>
        </is>
      </c>
      <c r="G2084" s="144" t="inlineStr">
        <is>
          <t>WHITE FREIGHTLINER</t>
        </is>
      </c>
      <c r="H2084" s="144" t="n">
        <v>1221</v>
      </c>
      <c r="I2084" s="144" t="inlineStr">
        <is>
          <t>COMMERCIAL</t>
        </is>
      </c>
    </row>
    <row r="2085" ht="18" customHeight="1" s="7">
      <c r="A2085" s="144" t="inlineStr">
        <is>
          <t>JERRY MIDDLETON JR</t>
        </is>
      </c>
      <c r="B2085" s="144" t="inlineStr">
        <is>
          <t>7583629 AL</t>
        </is>
      </c>
      <c r="C2085" s="144" t="inlineStr">
        <is>
          <t>RIVER REGION</t>
        </is>
      </c>
      <c r="D2085" s="144" t="n">
        <v>3342676897</v>
      </c>
      <c r="E2085" s="144" t="inlineStr">
        <is>
          <t>FLAT</t>
        </is>
      </c>
      <c r="F2085" s="144" t="inlineStr">
        <is>
          <t>1199317 AL</t>
        </is>
      </c>
      <c r="G2085" s="144" t="inlineStr">
        <is>
          <t>WHITE FREIGHTLINER</t>
        </is>
      </c>
      <c r="H2085" s="144" t="n">
        <v>1231</v>
      </c>
      <c r="I2085" s="144" t="inlineStr">
        <is>
          <t>COMMERCIAL</t>
        </is>
      </c>
    </row>
    <row r="2086" ht="18" customHeight="1" s="7">
      <c r="A2086" s="144" t="inlineStr">
        <is>
          <t>DARREN GOFF</t>
        </is>
      </c>
      <c r="B2086" s="144" t="inlineStr">
        <is>
          <t>*057038664</t>
        </is>
      </c>
      <c r="C2086" s="144" t="inlineStr">
        <is>
          <t>C&amp;D INDUSTRIAL</t>
        </is>
      </c>
      <c r="D2086" s="144" t="inlineStr">
        <is>
          <t>229-237-4555</t>
        </is>
      </c>
      <c r="E2086" s="144" t="inlineStr">
        <is>
          <t>PU</t>
        </is>
      </c>
      <c r="F2086" s="144" t="inlineStr">
        <is>
          <t>NXFB99 FL</t>
        </is>
      </c>
      <c r="G2086" s="144" t="inlineStr">
        <is>
          <t>WHT FORD</t>
        </is>
      </c>
      <c r="H2086" s="144" t="n">
        <v>7501</v>
      </c>
      <c r="I2086" s="144" t="inlineStr">
        <is>
          <t>CONTRACTOR</t>
        </is>
      </c>
    </row>
    <row r="2087" ht="18" customHeight="1" s="7">
      <c r="A2087" s="144" t="inlineStr">
        <is>
          <t>NATHAN MORRIS</t>
        </is>
      </c>
      <c r="B2087" s="144" t="inlineStr">
        <is>
          <t>M214507283000 FL</t>
        </is>
      </c>
      <c r="C2087" s="144" t="inlineStr">
        <is>
          <t>NAM TRANSPORT</t>
        </is>
      </c>
      <c r="D2087" s="144" t="n">
        <v>3527891871</v>
      </c>
      <c r="E2087" s="144" t="inlineStr">
        <is>
          <t>FLAT</t>
        </is>
      </c>
      <c r="F2087" s="144" t="inlineStr">
        <is>
          <t>DF46AU FL</t>
        </is>
      </c>
      <c r="G2087" s="144" t="inlineStr">
        <is>
          <t>WHITE PETERBILT</t>
        </is>
      </c>
      <c r="H2087" s="144" t="n">
        <v>1221</v>
      </c>
      <c r="I2087" s="144" t="inlineStr">
        <is>
          <t>COMMERCIAL</t>
        </is>
      </c>
    </row>
    <row r="2088" ht="18" customHeight="1" s="7">
      <c r="A2088" s="144" t="inlineStr">
        <is>
          <t>JOSEPH THOMAS</t>
        </is>
      </c>
      <c r="B2088" s="144" t="inlineStr">
        <is>
          <t>*051715625 GA</t>
        </is>
      </c>
      <c r="C2088" s="144" t="inlineStr">
        <is>
          <t>JETLINE LOGISTICS</t>
        </is>
      </c>
      <c r="D2088" s="144" t="n">
        <v>2293443132</v>
      </c>
      <c r="E2088" s="144" t="inlineStr">
        <is>
          <t>FLAT</t>
        </is>
      </c>
      <c r="F2088" s="144" t="inlineStr">
        <is>
          <t>C8051A GA</t>
        </is>
      </c>
      <c r="G2088" s="144" t="inlineStr">
        <is>
          <t>BLUE KW</t>
        </is>
      </c>
      <c r="H2088" s="144" t="inlineStr">
        <is>
          <t>GOV PLANET</t>
        </is>
      </c>
      <c r="I2088" s="144" t="inlineStr">
        <is>
          <t>COMMERCIAL</t>
        </is>
      </c>
    </row>
    <row r="2089" ht="18" customHeight="1" s="7">
      <c r="A2089" s="144" t="inlineStr">
        <is>
          <t>KEY MERCEDES</t>
        </is>
      </c>
      <c r="B2089" s="144" t="inlineStr">
        <is>
          <t>44214173 TX</t>
        </is>
      </c>
      <c r="C2089" s="144" t="inlineStr">
        <is>
          <t>MK CARRIERS</t>
        </is>
      </c>
      <c r="D2089" s="144" t="n">
        <v>8329653450</v>
      </c>
      <c r="E2089" s="144" t="inlineStr">
        <is>
          <t>VAN</t>
        </is>
      </c>
      <c r="F2089" s="144" t="inlineStr">
        <is>
          <t>TRM3757 TX</t>
        </is>
      </c>
      <c r="G2089" s="144" t="inlineStr">
        <is>
          <t>WHITE DODGE</t>
        </is>
      </c>
      <c r="H2089" s="144" t="n">
        <v>7500</v>
      </c>
      <c r="I2089" s="144" t="inlineStr">
        <is>
          <t>CONTRACTOR</t>
        </is>
      </c>
    </row>
    <row r="2090" ht="18" customHeight="1" s="7">
      <c r="A2090" s="144" t="inlineStr">
        <is>
          <t>TYTIANNA COOPER</t>
        </is>
      </c>
      <c r="B2090" s="144" t="inlineStr">
        <is>
          <t>*058901197 GA</t>
        </is>
      </c>
      <c r="C2090" s="144" t="inlineStr">
        <is>
          <t>ESTES</t>
        </is>
      </c>
      <c r="D2090" s="144" t="n">
        <v>2299776167</v>
      </c>
      <c r="E2090" s="144" t="inlineStr">
        <is>
          <t>BOX</t>
        </is>
      </c>
      <c r="F2090" s="144" t="inlineStr">
        <is>
          <t>3589211 IN</t>
        </is>
      </c>
      <c r="G2090" s="144" t="inlineStr">
        <is>
          <t>YELLOW KW</t>
        </is>
      </c>
      <c r="H2090" s="144" t="n">
        <v>1221</v>
      </c>
      <c r="I2090" s="144" t="inlineStr">
        <is>
          <t>COMMERCIAL</t>
        </is>
      </c>
    </row>
    <row r="2091" ht="18" customHeight="1" s="7">
      <c r="A2091" s="144" t="inlineStr">
        <is>
          <t>CUI YONGGAO</t>
        </is>
      </c>
      <c r="B2091" s="144" t="inlineStr">
        <is>
          <t>822139451 NY</t>
        </is>
      </c>
      <c r="C2091" s="144" t="inlineStr">
        <is>
          <t>YUANS TRANSPORT</t>
        </is>
      </c>
      <c r="D2091" s="144" t="n">
        <v>3124046557</v>
      </c>
      <c r="E2091" s="144" t="inlineStr">
        <is>
          <t>BOX</t>
        </is>
      </c>
      <c r="F2091" s="144" t="inlineStr">
        <is>
          <t>XP66079 CA</t>
        </is>
      </c>
      <c r="G2091" s="144" t="inlineStr">
        <is>
          <t>WHITE FREIGHTLINER</t>
        </is>
      </c>
      <c r="H2091" s="144" t="n">
        <v>1221</v>
      </c>
      <c r="I2091" s="144" t="inlineStr">
        <is>
          <t>COMMERCIAL</t>
        </is>
      </c>
    </row>
    <row r="2092" ht="18" customHeight="1" s="7">
      <c r="A2092" s="144" t="inlineStr">
        <is>
          <t>MATTHEW LITTLETON</t>
        </is>
      </c>
      <c r="B2092" s="144" t="inlineStr">
        <is>
          <t>*058377620 GA</t>
        </is>
      </c>
      <c r="C2092" s="144" t="inlineStr">
        <is>
          <t>DEP</t>
        </is>
      </c>
      <c r="D2092" s="144" t="n">
        <v>2299952762</v>
      </c>
      <c r="E2092" s="144" t="inlineStr">
        <is>
          <t>PU</t>
        </is>
      </c>
      <c r="F2092" s="144" t="inlineStr">
        <is>
          <t>RVV1904 GA</t>
        </is>
      </c>
      <c r="G2092" s="144" t="inlineStr">
        <is>
          <t>WHITE FORD</t>
        </is>
      </c>
      <c r="H2092" s="144" t="n">
        <v>7501</v>
      </c>
      <c r="I2092" s="144" t="inlineStr">
        <is>
          <t>CONTRACTOR</t>
        </is>
      </c>
    </row>
    <row r="2093" ht="18" customHeight="1" s="7">
      <c r="A2093" s="144" t="inlineStr">
        <is>
          <t>DAVID FRANKS</t>
        </is>
      </c>
      <c r="B2093" s="144" t="inlineStr">
        <is>
          <t>9479271 AL</t>
        </is>
      </c>
      <c r="C2093" s="144" t="inlineStr">
        <is>
          <t>C &amp; S</t>
        </is>
      </c>
      <c r="D2093" s="144" t="n">
        <v>2052152353</v>
      </c>
      <c r="E2093" s="144" t="inlineStr">
        <is>
          <t>PU</t>
        </is>
      </c>
      <c r="F2093" s="144" t="inlineStr">
        <is>
          <t>8380BF6 AL</t>
        </is>
      </c>
      <c r="G2093" s="144" t="inlineStr">
        <is>
          <t>WHITE CHEVY</t>
        </is>
      </c>
      <c r="H2093" s="144" t="n">
        <v>7501</v>
      </c>
      <c r="I2093" s="144" t="inlineStr">
        <is>
          <t>CONTRACTOR</t>
        </is>
      </c>
    </row>
    <row r="2094" ht="18" customHeight="1" s="7">
      <c r="A2094" s="144" t="inlineStr">
        <is>
          <t>ADCOX HULON</t>
        </is>
      </c>
      <c r="B2094" s="144" t="inlineStr">
        <is>
          <t>801534006 MS</t>
        </is>
      </c>
      <c r="C2094" s="144" t="inlineStr">
        <is>
          <t>CREEL ENTERPRISE</t>
        </is>
      </c>
      <c r="D2094" s="144" t="n">
        <v>9857072799</v>
      </c>
      <c r="E2094" s="144" t="inlineStr">
        <is>
          <t>FLAT</t>
        </is>
      </c>
      <c r="F2094" s="144" t="inlineStr">
        <is>
          <t>A544848 MS</t>
        </is>
      </c>
      <c r="G2094" s="144" t="inlineStr">
        <is>
          <t>RED PETERBILT</t>
        </is>
      </c>
      <c r="H2094" s="144" t="inlineStr">
        <is>
          <t>GATE 15</t>
        </is>
      </c>
      <c r="I2094" s="144" t="inlineStr">
        <is>
          <t>COMMERCIAL</t>
        </is>
      </c>
    </row>
    <row r="2095" ht="18" customHeight="1" s="7">
      <c r="A2095" s="144" t="inlineStr">
        <is>
          <t>WILLIAM STONE</t>
        </is>
      </c>
      <c r="B2095" s="144" t="inlineStr">
        <is>
          <t>*054818461 GA</t>
        </is>
      </c>
      <c r="C2095" s="144" t="inlineStr">
        <is>
          <t>GEA</t>
        </is>
      </c>
      <c r="D2095" s="144" t="n">
        <v>9122783058</v>
      </c>
      <c r="E2095" s="144" t="inlineStr">
        <is>
          <t>PU</t>
        </is>
      </c>
      <c r="F2095" s="144" t="inlineStr">
        <is>
          <t>TGP9065 GA</t>
        </is>
      </c>
      <c r="G2095" s="144" t="inlineStr">
        <is>
          <t>WHITE FORD</t>
        </is>
      </c>
      <c r="H2095" s="144" t="n">
        <v>7500</v>
      </c>
      <c r="I2095" s="144" t="inlineStr">
        <is>
          <t>CONTRACTOR</t>
        </is>
      </c>
    </row>
    <row r="2096" ht="18" customHeight="1" s="7">
      <c r="A2096" s="144" t="inlineStr">
        <is>
          <t>PROSTRAN PREDRAG</t>
        </is>
      </c>
      <c r="B2096" s="144" t="inlineStr">
        <is>
          <t>P6236607721502 WI</t>
        </is>
      </c>
      <c r="C2096" s="144" t="inlineStr">
        <is>
          <t>NEW RAM</t>
        </is>
      </c>
      <c r="D2096" s="144" t="n">
        <v>4144127480</v>
      </c>
      <c r="E2096" s="144" t="inlineStr">
        <is>
          <t>BOX</t>
        </is>
      </c>
      <c r="F2096" s="144" t="inlineStr">
        <is>
          <t>62616X WI</t>
        </is>
      </c>
      <c r="G2096" s="144" t="inlineStr">
        <is>
          <t>BLUE FREIGHTLINER</t>
        </is>
      </c>
      <c r="H2096" s="144" t="n">
        <v>1221</v>
      </c>
      <c r="I2096" s="144" t="inlineStr">
        <is>
          <t>COMMERCIAL</t>
        </is>
      </c>
    </row>
    <row r="2097" ht="18" customHeight="1" s="7">
      <c r="A2097" s="144" t="inlineStr">
        <is>
          <t>ROBERT MCALLISTER</t>
        </is>
      </c>
      <c r="B2097" s="144" t="inlineStr">
        <is>
          <t>*055914255 GA</t>
        </is>
      </c>
      <c r="C2097" s="144" t="inlineStr">
        <is>
          <t>B &amp; T FENCING</t>
        </is>
      </c>
      <c r="D2097" s="144" t="n">
        <v>8509421003</v>
      </c>
      <c r="E2097" s="144" t="inlineStr">
        <is>
          <t>PU</t>
        </is>
      </c>
      <c r="F2097" s="144" t="inlineStr">
        <is>
          <t>66ADTV FL</t>
        </is>
      </c>
      <c r="G2097" s="144" t="inlineStr">
        <is>
          <t>WHITE DODGE</t>
        </is>
      </c>
      <c r="H2097" s="144" t="inlineStr">
        <is>
          <t>K9</t>
        </is>
      </c>
      <c r="I2097" s="144" t="inlineStr">
        <is>
          <t>CONTRACTOR</t>
        </is>
      </c>
    </row>
    <row r="2098" ht="18" customHeight="1" s="7">
      <c r="A2098" s="144" t="inlineStr">
        <is>
          <t>JEFFERY WEAVER</t>
        </is>
      </c>
      <c r="B2098" s="144" t="inlineStr">
        <is>
          <t>W160430054490 FL</t>
        </is>
      </c>
      <c r="C2098" s="144" t="inlineStr">
        <is>
          <t>B &amp; T FENCING</t>
        </is>
      </c>
      <c r="D2098" s="144" t="n">
        <v>8509421003</v>
      </c>
      <c r="E2098" s="144" t="inlineStr">
        <is>
          <t>PU</t>
        </is>
      </c>
      <c r="F2098" s="144" t="inlineStr">
        <is>
          <t>34EZWY FL</t>
        </is>
      </c>
      <c r="G2098" s="144" t="inlineStr">
        <is>
          <t>WHITE FORD</t>
        </is>
      </c>
      <c r="H2098" s="144" t="inlineStr">
        <is>
          <t>K9</t>
        </is>
      </c>
      <c r="I2098" s="144" t="inlineStr">
        <is>
          <t>CONTRACTOR</t>
        </is>
      </c>
    </row>
    <row r="2099" ht="18" customHeight="1" s="7">
      <c r="A2099" s="144" t="inlineStr">
        <is>
          <t>RODNEY MCINTOSH</t>
        </is>
      </c>
      <c r="B2099" s="144" t="inlineStr">
        <is>
          <t>M394630160000 FL</t>
        </is>
      </c>
      <c r="C2099" s="144" t="inlineStr">
        <is>
          <t>R &amp; T TRANSPORT</t>
        </is>
      </c>
      <c r="D2099" s="144" t="n">
        <v>8133693769</v>
      </c>
      <c r="E2099" s="144" t="inlineStr">
        <is>
          <t>FLAT</t>
        </is>
      </c>
      <c r="F2099" s="144" t="inlineStr">
        <is>
          <t>DF55CL FL</t>
        </is>
      </c>
      <c r="G2099" s="144" t="inlineStr">
        <is>
          <t>WHITE FREIGHTLINER</t>
        </is>
      </c>
      <c r="H2099" s="144" t="n">
        <v>1221</v>
      </c>
      <c r="I2099" s="144" t="inlineStr">
        <is>
          <t>COMMERCIAL</t>
        </is>
      </c>
    </row>
    <row r="2100" ht="18" customHeight="1" s="7">
      <c r="A2100" s="144" t="inlineStr">
        <is>
          <t>DAVID STRAYER</t>
        </is>
      </c>
      <c r="B2100" s="144" t="inlineStr">
        <is>
          <t>*054305986 GA</t>
        </is>
      </c>
      <c r="C2100" s="144" t="inlineStr">
        <is>
          <t>XPO</t>
        </is>
      </c>
      <c r="D2100" s="144" t="n">
        <v>2293193398</v>
      </c>
      <c r="E2100" s="144" t="inlineStr">
        <is>
          <t>BOX</t>
        </is>
      </c>
      <c r="F2100" s="144" t="inlineStr">
        <is>
          <t>3647328 IN</t>
        </is>
      </c>
      <c r="G2100" s="144" t="inlineStr">
        <is>
          <t>WHITE FREIGHTLINER</t>
        </is>
      </c>
      <c r="H2100" s="144" t="inlineStr">
        <is>
          <t>POWERWORKS</t>
        </is>
      </c>
      <c r="I2100" s="144" t="inlineStr">
        <is>
          <t>COMMERCIAL</t>
        </is>
      </c>
    </row>
    <row r="2101" ht="18" customHeight="1" s="7">
      <c r="A2101" s="144" t="inlineStr">
        <is>
          <t>JEAN DANEL</t>
        </is>
      </c>
      <c r="B2101" s="144" t="inlineStr">
        <is>
          <t>*049823586 GA</t>
        </is>
      </c>
      <c r="C2101" s="144" t="inlineStr">
        <is>
          <t>SAW TRANSIT</t>
        </is>
      </c>
      <c r="D2101" s="144" t="n">
        <v>6785232320</v>
      </c>
      <c r="E2101" s="144" t="inlineStr">
        <is>
          <t>BOX</t>
        </is>
      </c>
      <c r="F2101" s="144" t="inlineStr">
        <is>
          <t>C986DT GA</t>
        </is>
      </c>
      <c r="G2101" s="144" t="inlineStr">
        <is>
          <t>WHITE FREIGHTLINER</t>
        </is>
      </c>
      <c r="H2101" s="144" t="n">
        <v>1221</v>
      </c>
      <c r="I2101" s="144" t="inlineStr">
        <is>
          <t>COMMERCIAL</t>
        </is>
      </c>
    </row>
    <row r="2102" ht="18" customHeight="1" s="7">
      <c r="A2102" s="144" t="inlineStr">
        <is>
          <t>RAY DAWKINS</t>
        </is>
      </c>
      <c r="B2102" s="144" t="inlineStr">
        <is>
          <t>D215394181000 FL</t>
        </is>
      </c>
      <c r="C2102" s="144" t="inlineStr">
        <is>
          <t>RNK EXPRESS</t>
        </is>
      </c>
      <c r="D2102" s="144" t="n">
        <v>7543309116</v>
      </c>
      <c r="E2102" s="144" t="inlineStr">
        <is>
          <t>PU</t>
        </is>
      </c>
      <c r="F2102" s="144" t="inlineStr">
        <is>
          <t>DD24GN FL</t>
        </is>
      </c>
      <c r="G2102" s="144" t="inlineStr">
        <is>
          <t>BLACK DODGE</t>
        </is>
      </c>
      <c r="H2102" s="144" t="n">
        <v>1221</v>
      </c>
      <c r="I2102" s="144" t="inlineStr">
        <is>
          <t>CONTRACTOR</t>
        </is>
      </c>
    </row>
    <row r="2103" ht="18" customHeight="1" s="7">
      <c r="A2103" s="144" t="inlineStr">
        <is>
          <t>VAD FERENC GERGO</t>
        </is>
      </c>
      <c r="B2103" s="144" t="inlineStr">
        <is>
          <t>V300247781891 FL</t>
        </is>
      </c>
      <c r="C2103" s="144" t="inlineStr">
        <is>
          <t>ATLANTIC FREIGHT</t>
        </is>
      </c>
      <c r="D2103" s="144" t="n">
        <v>3863076640</v>
      </c>
      <c r="E2103" s="144" t="inlineStr">
        <is>
          <t>FLAT</t>
        </is>
      </c>
      <c r="F2103" s="144" t="inlineStr">
        <is>
          <t>XC812C FL</t>
        </is>
      </c>
      <c r="G2103" s="144" t="inlineStr">
        <is>
          <t>RED FREIGHTLINER</t>
        </is>
      </c>
      <c r="H2103" s="144" t="n">
        <v>1221</v>
      </c>
      <c r="I2103" s="144" t="inlineStr">
        <is>
          <t>COMMERCIAL</t>
        </is>
      </c>
    </row>
    <row r="2104" ht="18" customHeight="1" s="7">
      <c r="A2104" s="144" t="inlineStr">
        <is>
          <t>COREA MUNOZ</t>
        </is>
      </c>
      <c r="B2104" s="144" t="inlineStr">
        <is>
          <t>C2088904000 FL</t>
        </is>
      </c>
      <c r="C2104" s="144" t="inlineStr">
        <is>
          <t>JJM CONSTRUCTION</t>
        </is>
      </c>
      <c r="D2104" s="144" t="n">
        <v>5615666293</v>
      </c>
      <c r="E2104" s="144" t="inlineStr">
        <is>
          <t>PU</t>
        </is>
      </c>
      <c r="F2104" s="144" t="inlineStr">
        <is>
          <t>RBGJ05 FL</t>
        </is>
      </c>
      <c r="G2104" s="144" t="inlineStr">
        <is>
          <t>WHITE FORD</t>
        </is>
      </c>
      <c r="H2104" s="144" t="n">
        <v>7500</v>
      </c>
      <c r="I2104" s="144" t="inlineStr">
        <is>
          <t>CONTRACTOR</t>
        </is>
      </c>
    </row>
    <row r="2105" ht="18" customHeight="1" s="7">
      <c r="A2105" s="144" t="inlineStr">
        <is>
          <t>DONELL BUTLER</t>
        </is>
      </c>
      <c r="B2105" s="144" t="inlineStr">
        <is>
          <t>*059907665 GA</t>
        </is>
      </c>
      <c r="C2105" s="144" t="inlineStr">
        <is>
          <t>AT &amp; T</t>
        </is>
      </c>
      <c r="D2105" s="144" t="n">
        <v>2297338346</v>
      </c>
      <c r="E2105" s="144" t="inlineStr">
        <is>
          <t>PU</t>
        </is>
      </c>
      <c r="F2105" s="144" t="inlineStr">
        <is>
          <t>SGZ4802 GA</t>
        </is>
      </c>
      <c r="G2105" s="144" t="inlineStr">
        <is>
          <t>BLUE JEEP</t>
        </is>
      </c>
      <c r="H2105" s="144" t="inlineStr">
        <is>
          <t>HOUSING</t>
        </is>
      </c>
      <c r="I2105" s="144" t="inlineStr">
        <is>
          <t>CONTRACTOR</t>
        </is>
      </c>
    </row>
    <row r="2106" ht="18" customHeight="1" s="7">
      <c r="A2106" s="144" t="inlineStr">
        <is>
          <t>RANDY NUNEZ</t>
        </is>
      </c>
      <c r="B2106" s="144" t="inlineStr">
        <is>
          <t>32614298 PA</t>
        </is>
      </c>
      <c r="C2106" s="144" t="inlineStr">
        <is>
          <t>EMPIRE NATIONAL</t>
        </is>
      </c>
      <c r="D2106" s="144" t="n">
        <v>2672469369</v>
      </c>
      <c r="E2106" s="144" t="inlineStr">
        <is>
          <t>VAN</t>
        </is>
      </c>
      <c r="F2106" s="144" t="inlineStr">
        <is>
          <t>MPE2150 PA</t>
        </is>
      </c>
      <c r="G2106" s="144" t="inlineStr">
        <is>
          <t>WHITE MERCEDES</t>
        </is>
      </c>
      <c r="H2106" s="144" t="n">
        <v>1351</v>
      </c>
      <c r="I2106" s="144" t="inlineStr">
        <is>
          <t>CONTRACTOR</t>
        </is>
      </c>
    </row>
    <row r="2107" ht="18" customHeight="1" s="7">
      <c r="A2107" s="144" t="inlineStr">
        <is>
          <t>KEITH PHILLIPS</t>
        </is>
      </c>
      <c r="B2107" s="144" t="inlineStr">
        <is>
          <t>9675173 AL</t>
        </is>
      </c>
      <c r="C2107" s="144" t="inlineStr">
        <is>
          <t>AMBICA</t>
        </is>
      </c>
      <c r="D2107" s="144" t="n">
        <v>3347151524</v>
      </c>
      <c r="E2107" s="144" t="inlineStr">
        <is>
          <t>POV</t>
        </is>
      </c>
      <c r="F2107" s="144" t="inlineStr">
        <is>
          <t>38A3671 AL</t>
        </is>
      </c>
      <c r="G2107" s="144" t="inlineStr">
        <is>
          <t>BLACK CHEVY</t>
        </is>
      </c>
      <c r="H2107" s="144" t="n">
        <v>7450</v>
      </c>
      <c r="I2107" s="144" t="inlineStr">
        <is>
          <t>CONTRACTOR</t>
        </is>
      </c>
    </row>
    <row r="2108" ht="18" customHeight="1" s="7">
      <c r="A2108" s="144" t="inlineStr">
        <is>
          <t>KEAVON SYLLA</t>
        </is>
      </c>
      <c r="B2108" s="144" t="inlineStr">
        <is>
          <t>S238217944000 FL</t>
        </is>
      </c>
      <c r="C2108" s="144" t="inlineStr">
        <is>
          <t>AMBICA</t>
        </is>
      </c>
      <c r="D2108" s="144" t="n">
        <v>7542454171</v>
      </c>
      <c r="E2108" s="144" t="inlineStr">
        <is>
          <t>PU</t>
        </is>
      </c>
      <c r="F2108" s="144" t="inlineStr">
        <is>
          <t>D96625F WA</t>
        </is>
      </c>
      <c r="G2108" s="144" t="inlineStr">
        <is>
          <t>WHITE CHEVY</t>
        </is>
      </c>
      <c r="H2108" s="144" t="n">
        <v>7450</v>
      </c>
      <c r="I2108" s="144" t="inlineStr">
        <is>
          <t>CONTRACTOR</t>
        </is>
      </c>
    </row>
    <row r="2109" ht="18" customHeight="1" s="7">
      <c r="A2109" s="144" t="inlineStr">
        <is>
          <t>JEREMIAH MERCER</t>
        </is>
      </c>
      <c r="B2109" s="144" t="inlineStr">
        <is>
          <t>*058032195 GA</t>
        </is>
      </c>
      <c r="C2109" s="144" t="inlineStr">
        <is>
          <t>AMBICA</t>
        </is>
      </c>
      <c r="D2109" s="144" t="n">
        <v>9124610161</v>
      </c>
      <c r="E2109" s="144" t="inlineStr">
        <is>
          <t>PU</t>
        </is>
      </c>
      <c r="F2109" s="144" t="inlineStr">
        <is>
          <t>GKV477 GA</t>
        </is>
      </c>
      <c r="G2109" s="144" t="inlineStr">
        <is>
          <t>GRAY CHEVY</t>
        </is>
      </c>
      <c r="H2109" s="144" t="n">
        <v>7450</v>
      </c>
      <c r="I2109" s="144" t="inlineStr">
        <is>
          <t>CONTRACTOR</t>
        </is>
      </c>
    </row>
    <row r="2110" ht="18" customHeight="1" s="7">
      <c r="A2110" s="144" t="inlineStr">
        <is>
          <t>AMOS BATES</t>
        </is>
      </c>
      <c r="B2110" s="144" t="inlineStr">
        <is>
          <t>*019369448 GA</t>
        </is>
      </c>
      <c r="C2110" s="144" t="inlineStr">
        <is>
          <t>MHS</t>
        </is>
      </c>
      <c r="D2110" s="144" t="n">
        <v>8884246478</v>
      </c>
      <c r="E2110" s="144" t="inlineStr">
        <is>
          <t>PU</t>
        </is>
      </c>
      <c r="F2110" s="144" t="inlineStr">
        <is>
          <t>CMR1342 GA</t>
        </is>
      </c>
      <c r="G2110" s="144" t="inlineStr">
        <is>
          <t>WHITE RAM</t>
        </is>
      </c>
      <c r="H2110" s="144" t="n">
        <v>3010</v>
      </c>
      <c r="I2110" s="144" t="inlineStr">
        <is>
          <t>CONTRACTOR</t>
        </is>
      </c>
    </row>
    <row r="2111" ht="18" customHeight="1" s="7">
      <c r="A2111" s="144" t="inlineStr">
        <is>
          <t>JOEY MOORE</t>
        </is>
      </c>
      <c r="B2111" s="144" t="inlineStr">
        <is>
          <t>M600430840050 FL</t>
        </is>
      </c>
      <c r="C2111" s="144" t="inlineStr">
        <is>
          <t>EVERETT DIST</t>
        </is>
      </c>
      <c r="D2111" s="144" t="n">
        <v>8506619232</v>
      </c>
      <c r="E2111" s="144" t="inlineStr">
        <is>
          <t>FLAT</t>
        </is>
      </c>
      <c r="F2111" s="144" t="inlineStr">
        <is>
          <t>XE417P FL</t>
        </is>
      </c>
      <c r="G2111" s="144" t="inlineStr">
        <is>
          <t>BLACK PETERBILT</t>
        </is>
      </c>
      <c r="H2111" s="144" t="n">
        <v>1301</v>
      </c>
      <c r="I2111" s="144" t="inlineStr">
        <is>
          <t>COMMERCIAL</t>
        </is>
      </c>
    </row>
    <row r="2112" ht="18" customHeight="1" s="7">
      <c r="A2112" s="144" t="inlineStr">
        <is>
          <t>LUIS GRUBER</t>
        </is>
      </c>
      <c r="B2112" s="144" t="inlineStr">
        <is>
          <t>50572257 TX</t>
        </is>
      </c>
      <c r="C2112" s="144" t="inlineStr">
        <is>
          <t>FIBRATERRA LLC</t>
        </is>
      </c>
      <c r="D2112" s="144" t="n">
        <v>7864680604</v>
      </c>
      <c r="E2112" s="144" t="inlineStr">
        <is>
          <t>PU</t>
        </is>
      </c>
      <c r="F2112" s="144" t="inlineStr">
        <is>
          <t>TMP6012 TX</t>
        </is>
      </c>
      <c r="G2112" s="144" t="inlineStr">
        <is>
          <t>WHITE DODGE</t>
        </is>
      </c>
      <c r="H2112" s="144" t="n">
        <v>1221</v>
      </c>
      <c r="I2112" s="144" t="inlineStr">
        <is>
          <t>CONTRACTOR</t>
        </is>
      </c>
    </row>
    <row r="2113" ht="18" customHeight="1" s="7">
      <c r="A2113" s="144" t="inlineStr">
        <is>
          <t>EMORY RICHTER</t>
        </is>
      </c>
      <c r="B2113" s="144" t="inlineStr">
        <is>
          <t>*051472040 GA</t>
        </is>
      </c>
      <c r="C2113" s="144" t="inlineStr">
        <is>
          <t>BUZZ FUZZ</t>
        </is>
      </c>
      <c r="D2113" s="144" t="n">
        <v>2298867663</v>
      </c>
      <c r="E2113" s="144" t="inlineStr">
        <is>
          <t>PU</t>
        </is>
      </c>
      <c r="F2113" s="144" t="inlineStr">
        <is>
          <t>BKEEPA GA</t>
        </is>
      </c>
      <c r="G2113" s="144" t="inlineStr">
        <is>
          <t>BLACK FORD</t>
        </is>
      </c>
      <c r="H2113" s="144" t="n">
        <v>1340</v>
      </c>
      <c r="I2113" s="144" t="inlineStr">
        <is>
          <t>CONTRACTOR</t>
        </is>
      </c>
    </row>
    <row r="2114" ht="18" customHeight="1" s="7">
      <c r="A2114" s="144" t="inlineStr">
        <is>
          <t>JACOB SAUCEDA</t>
        </is>
      </c>
      <c r="B2114" s="144" t="inlineStr">
        <is>
          <t>*058109934 GA</t>
        </is>
      </c>
      <c r="C2114" s="144" t="inlineStr">
        <is>
          <t>MHS</t>
        </is>
      </c>
      <c r="D2114" s="144" t="n">
        <v>8884246478</v>
      </c>
      <c r="E2114" s="144" t="inlineStr">
        <is>
          <t>PU</t>
        </is>
      </c>
      <c r="F2114" s="144" t="inlineStr">
        <is>
          <t>CYF6100 GA</t>
        </is>
      </c>
      <c r="G2114" s="144" t="inlineStr">
        <is>
          <t>WHITE CHEVY</t>
        </is>
      </c>
      <c r="H2114" s="144" t="n">
        <v>2200</v>
      </c>
      <c r="I2114" s="144" t="inlineStr">
        <is>
          <t>CONTRACTOR</t>
        </is>
      </c>
    </row>
    <row r="2115" ht="18" customHeight="1" s="7">
      <c r="A2115" s="144" t="inlineStr">
        <is>
          <t>TONY MCCLAIN</t>
        </is>
      </c>
      <c r="B2115" s="144" t="inlineStr">
        <is>
          <t>*056732349 GA</t>
        </is>
      </c>
      <c r="C2115" s="144" t="inlineStr">
        <is>
          <t>MHS</t>
        </is>
      </c>
      <c r="D2115" s="144" t="n">
        <v>6789992199</v>
      </c>
      <c r="E2115" s="144" t="inlineStr">
        <is>
          <t>PU</t>
        </is>
      </c>
      <c r="F2115" s="144" t="inlineStr">
        <is>
          <t>RBY5796 GA</t>
        </is>
      </c>
      <c r="G2115" s="144" t="inlineStr">
        <is>
          <t>GRAY DODGE</t>
        </is>
      </c>
      <c r="H2115" s="144" t="n">
        <v>2200</v>
      </c>
      <c r="I2115" s="144" t="inlineStr">
        <is>
          <t>CONTRACTOR</t>
        </is>
      </c>
    </row>
    <row r="2116" ht="18" customHeight="1" s="7">
      <c r="A2116" s="144" t="inlineStr">
        <is>
          <t>SOEUN TING</t>
        </is>
      </c>
      <c r="B2116" s="144" t="inlineStr">
        <is>
          <t>B3728018 CA</t>
        </is>
      </c>
      <c r="C2116" s="144" t="inlineStr">
        <is>
          <t>ORANGE COAST</t>
        </is>
      </c>
      <c r="D2116" s="144" t="n">
        <v>7608504948</v>
      </c>
      <c r="E2116" s="144" t="inlineStr">
        <is>
          <t>BOX</t>
        </is>
      </c>
      <c r="F2116" s="144" t="inlineStr">
        <is>
          <t>XP62280 CA</t>
        </is>
      </c>
      <c r="G2116" s="144" t="inlineStr">
        <is>
          <t>WHITE FREIGHTLINER</t>
        </is>
      </c>
      <c r="H2116" s="144" t="n">
        <v>1351</v>
      </c>
      <c r="I2116" s="144" t="inlineStr">
        <is>
          <t>COMMERCIAL</t>
        </is>
      </c>
    </row>
    <row r="2117" ht="18" customHeight="1" s="7">
      <c r="A2117" s="144" t="inlineStr">
        <is>
          <t>CARRILLO ROBERTO</t>
        </is>
      </c>
      <c r="B2117" s="144" t="inlineStr">
        <is>
          <t>29310039 TX</t>
        </is>
      </c>
      <c r="C2117" s="144" t="inlineStr">
        <is>
          <t>LANDSTAR</t>
        </is>
      </c>
      <c r="D2117" s="144" t="n">
        <v>9152386366</v>
      </c>
      <c r="E2117" s="144" t="inlineStr">
        <is>
          <t>BOX</t>
        </is>
      </c>
      <c r="F2117" s="144" t="inlineStr">
        <is>
          <t>3732360 IN</t>
        </is>
      </c>
      <c r="G2117" s="144" t="inlineStr">
        <is>
          <t>BLUE KENWORTH</t>
        </is>
      </c>
      <c r="H2117" s="144" t="n">
        <v>1221</v>
      </c>
      <c r="I2117" s="144" t="inlineStr">
        <is>
          <t>COMMERICAL</t>
        </is>
      </c>
    </row>
    <row r="2118" ht="18" customHeight="1" s="7">
      <c r="A2118" s="144" t="inlineStr">
        <is>
          <t>MAT UKA</t>
        </is>
      </c>
      <c r="B2118" s="144" t="inlineStr">
        <is>
          <t>U200540673760</t>
        </is>
      </c>
      <c r="C2118" s="144" t="inlineStr">
        <is>
          <t>EMPIRE NATIONAL</t>
        </is>
      </c>
      <c r="D2118" s="144" t="n">
        <v>9043459712</v>
      </c>
      <c r="E2118" s="144" t="inlineStr">
        <is>
          <t>VAN</t>
        </is>
      </c>
      <c r="F2118" s="144" t="inlineStr">
        <is>
          <t>01BMPL FL</t>
        </is>
      </c>
      <c r="G2118" s="144" t="inlineStr">
        <is>
          <t>RED DODGE</t>
        </is>
      </c>
      <c r="H2118" s="144" t="n">
        <v>1351</v>
      </c>
      <c r="I2118" s="144" t="inlineStr">
        <is>
          <t>CONTRACTOR</t>
        </is>
      </c>
    </row>
    <row r="2119" ht="18" customHeight="1" s="7">
      <c r="A2119" s="144" t="inlineStr">
        <is>
          <t>ROBERT SLAPPY</t>
        </is>
      </c>
      <c r="B2119" s="144" t="inlineStr">
        <is>
          <t>057994290 GA</t>
        </is>
      </c>
      <c r="C2119" s="144" t="inlineStr">
        <is>
          <t xml:space="preserve">WETHERALD </t>
        </is>
      </c>
      <c r="D2119" s="144" t="n">
        <v>2293490663</v>
      </c>
      <c r="E2119" s="144" t="inlineStr">
        <is>
          <t>PU</t>
        </is>
      </c>
      <c r="F2119" s="144" t="inlineStr">
        <is>
          <t>WRQ150 GA</t>
        </is>
      </c>
      <c r="G2119" s="144" t="inlineStr">
        <is>
          <t>WHITE CHEV</t>
        </is>
      </c>
      <c r="H2119" s="144" t="n">
        <v>7500</v>
      </c>
      <c r="I2119" s="144" t="inlineStr">
        <is>
          <t>CONTRACTOR</t>
        </is>
      </c>
    </row>
    <row r="2120" ht="18" customHeight="1" s="7">
      <c r="A2120" s="144" t="inlineStr">
        <is>
          <t>JON CONE</t>
        </is>
      </c>
      <c r="B2120" s="144" t="inlineStr">
        <is>
          <t>060143484 GA</t>
        </is>
      </c>
      <c r="C2120" s="144" t="inlineStr">
        <is>
          <t>SAFEAIR</t>
        </is>
      </c>
      <c r="D2120" s="144" t="n">
        <v>2298835100</v>
      </c>
      <c r="E2120" s="144" t="inlineStr">
        <is>
          <t>PU</t>
        </is>
      </c>
      <c r="F2120" s="144" t="inlineStr">
        <is>
          <t>CQF4642 GA</t>
        </is>
      </c>
      <c r="G2120" s="144" t="inlineStr">
        <is>
          <t>WHITE CHEV</t>
        </is>
      </c>
      <c r="H2120" s="144" t="n">
        <v>2200</v>
      </c>
      <c r="I2120" s="144" t="inlineStr">
        <is>
          <t>CONTRACTOR</t>
        </is>
      </c>
    </row>
    <row r="2121" ht="18" customHeight="1" s="7">
      <c r="A2121" s="144" t="inlineStr">
        <is>
          <t>ALLEN WILLENDRIC</t>
        </is>
      </c>
      <c r="B2121" s="144" t="inlineStr">
        <is>
          <t>800961196 MS</t>
        </is>
      </c>
      <c r="C2121" s="144" t="inlineStr">
        <is>
          <t>PANTHER</t>
        </is>
      </c>
      <c r="D2121" s="144" t="n">
        <v>6019512604</v>
      </c>
      <c r="E2121" s="144" t="inlineStr">
        <is>
          <t>BOX</t>
        </is>
      </c>
      <c r="F2121" s="144" t="inlineStr">
        <is>
          <t>3423331 IN</t>
        </is>
      </c>
      <c r="G2121" s="144" t="inlineStr">
        <is>
          <t>WHITE FREIGHTLINER</t>
        </is>
      </c>
      <c r="H2121" s="144" t="n">
        <v>1221</v>
      </c>
      <c r="I2121" s="144" t="inlineStr">
        <is>
          <t>COMMERICAL</t>
        </is>
      </c>
    </row>
    <row r="2122" ht="18" customHeight="1" s="7">
      <c r="A2122" s="144" t="inlineStr">
        <is>
          <t>JAMES ROBINSON</t>
        </is>
      </c>
      <c r="B2122" s="144" t="inlineStr">
        <is>
          <t>R152447652180</t>
        </is>
      </c>
      <c r="C2122" s="144" t="inlineStr">
        <is>
          <t>MARDANT</t>
        </is>
      </c>
      <c r="D2122" s="144" t="n">
        <v>9043296471</v>
      </c>
      <c r="E2122" s="144" t="inlineStr">
        <is>
          <t>PU</t>
        </is>
      </c>
      <c r="F2122" s="144" t="inlineStr">
        <is>
          <t>78DMYD FL</t>
        </is>
      </c>
      <c r="G2122" s="144" t="inlineStr">
        <is>
          <t>WHITE CHEV</t>
        </is>
      </c>
      <c r="H2122" s="144" t="inlineStr">
        <is>
          <t>GATE15</t>
        </is>
      </c>
      <c r="I2122" s="144" t="inlineStr">
        <is>
          <t>CONTRACTOR</t>
        </is>
      </c>
    </row>
    <row r="2123" ht="18" customHeight="1" s="7">
      <c r="A2123" s="144" t="inlineStr">
        <is>
          <t>GARY ROYCE</t>
        </is>
      </c>
      <c r="B2123" s="144" t="inlineStr">
        <is>
          <t>R200285661300</t>
        </is>
      </c>
      <c r="C2123" s="144" t="inlineStr">
        <is>
          <t>MARDANT</t>
        </is>
      </c>
      <c r="D2123" s="144" t="n">
        <v>9044633593</v>
      </c>
      <c r="E2123" s="144" t="inlineStr">
        <is>
          <t>CRANE</t>
        </is>
      </c>
      <c r="F2123" s="144" t="inlineStr">
        <is>
          <t>D74671 FL</t>
        </is>
      </c>
      <c r="G2123" s="144" t="inlineStr">
        <is>
          <t>WHITE FRIEGHTLINER</t>
        </is>
      </c>
      <c r="H2123" s="144" t="inlineStr">
        <is>
          <t>GATE 15</t>
        </is>
      </c>
      <c r="I2123" s="144" t="inlineStr">
        <is>
          <t>CONTRACTOR</t>
        </is>
      </c>
    </row>
    <row r="2124" ht="18" customHeight="1" s="7">
      <c r="A2124" s="144" t="inlineStr">
        <is>
          <t>MARDANT BLAKE</t>
        </is>
      </c>
      <c r="B2124" s="144" t="inlineStr">
        <is>
          <t>M233237190000</t>
        </is>
      </c>
      <c r="C2124" s="144" t="inlineStr">
        <is>
          <t>MARDANT</t>
        </is>
      </c>
      <c r="D2124" s="144" t="n">
        <v>9046571254</v>
      </c>
      <c r="E2124" s="144" t="inlineStr">
        <is>
          <t>CFANE</t>
        </is>
      </c>
      <c r="F2124" s="144" t="inlineStr">
        <is>
          <t>P69771 FL</t>
        </is>
      </c>
      <c r="G2124" s="144" t="inlineStr">
        <is>
          <t>WHITE FREIGHTLINER</t>
        </is>
      </c>
      <c r="H2124" s="144" t="inlineStr">
        <is>
          <t>GATE 15</t>
        </is>
      </c>
      <c r="I2124" s="144" t="inlineStr">
        <is>
          <t>CONTRACTOR</t>
        </is>
      </c>
    </row>
    <row r="2125" ht="18" customHeight="1" s="7">
      <c r="A2125" s="144" t="inlineStr">
        <is>
          <t>HUNTER RUDD</t>
        </is>
      </c>
      <c r="B2125" s="144" t="inlineStr">
        <is>
          <t>061720410 GA</t>
        </is>
      </c>
      <c r="C2125" s="144" t="inlineStr">
        <is>
          <t>MIDSOUTH FENCE</t>
        </is>
      </c>
      <c r="D2125" s="144" t="n">
        <v>2298860925</v>
      </c>
      <c r="E2125" s="144" t="inlineStr">
        <is>
          <t>PU</t>
        </is>
      </c>
      <c r="F2125" s="144" t="inlineStr">
        <is>
          <t>AYN7924 GA</t>
        </is>
      </c>
      <c r="G2125" s="144" t="inlineStr">
        <is>
          <t>WHITE FORD</t>
        </is>
      </c>
      <c r="H2125" s="144" t="inlineStr">
        <is>
          <t>GATE 15</t>
        </is>
      </c>
      <c r="I2125" s="144" t="inlineStr">
        <is>
          <t>CONTRACTOR</t>
        </is>
      </c>
    </row>
    <row r="2126" ht="18" customHeight="1" s="7">
      <c r="A2126" s="144" t="inlineStr">
        <is>
          <t>MORRIS PEARCE</t>
        </is>
      </c>
      <c r="B2126" s="144" t="inlineStr">
        <is>
          <t>049815541 GA</t>
        </is>
      </c>
      <c r="C2126" s="144" t="inlineStr">
        <is>
          <t>MIDSOUTH FENCE</t>
        </is>
      </c>
      <c r="D2126" s="144" t="n">
        <v>2298880877</v>
      </c>
      <c r="E2126" s="144" t="inlineStr">
        <is>
          <t>PU</t>
        </is>
      </c>
      <c r="F2126" s="144" t="inlineStr">
        <is>
          <t>QFL3096 GA</t>
        </is>
      </c>
      <c r="G2126" s="144" t="inlineStr">
        <is>
          <t>WHITE FORD</t>
        </is>
      </c>
      <c r="H2126" s="144" t="inlineStr">
        <is>
          <t>GATE 15</t>
        </is>
      </c>
      <c r="I2126" s="144" t="inlineStr">
        <is>
          <t>CONTRACTOR</t>
        </is>
      </c>
    </row>
    <row r="2127" ht="18" customHeight="1" s="7">
      <c r="A2127" s="144" t="inlineStr">
        <is>
          <t>JOSE CASTANEDA</t>
        </is>
      </c>
      <c r="B2127" s="144" t="inlineStr">
        <is>
          <t>B7387215 CA</t>
        </is>
      </c>
      <c r="C2127" s="144" t="inlineStr">
        <is>
          <t>CASTANEDA</t>
        </is>
      </c>
      <c r="D2127" s="144" t="n">
        <v>9095739992</v>
      </c>
      <c r="E2127" s="144" t="inlineStr">
        <is>
          <t>BOX</t>
        </is>
      </c>
      <c r="F2127" s="144" t="inlineStr">
        <is>
          <t>YP69707 CA</t>
        </is>
      </c>
      <c r="G2127" s="144" t="inlineStr">
        <is>
          <t>RED PETERBILT</t>
        </is>
      </c>
      <c r="H2127" s="144" t="n">
        <v>1221</v>
      </c>
      <c r="I2127" s="144" t="inlineStr">
        <is>
          <t>COMMERICAL</t>
        </is>
      </c>
    </row>
    <row r="2128" ht="18" customHeight="1" s="7">
      <c r="A2128" s="144" t="inlineStr">
        <is>
          <t>DUANE FISHER</t>
        </is>
      </c>
      <c r="B2128" s="144" t="inlineStr">
        <is>
          <t>20874886 PA</t>
        </is>
      </c>
      <c r="C2128" s="144" t="inlineStr">
        <is>
          <t>REINSFELDER</t>
        </is>
      </c>
      <c r="D2128" s="144" t="n">
        <v>7177047987</v>
      </c>
      <c r="E2128" s="144" t="inlineStr">
        <is>
          <t>FLAT</t>
        </is>
      </c>
      <c r="F2128" s="144" t="inlineStr">
        <is>
          <t>AH20650 PA</t>
        </is>
      </c>
      <c r="G2128" s="144" t="inlineStr">
        <is>
          <t>GREY PETERBILT</t>
        </is>
      </c>
      <c r="H2128" s="144" t="n">
        <v>1221</v>
      </c>
      <c r="I2128" s="144" t="inlineStr">
        <is>
          <t>COMMERICAL</t>
        </is>
      </c>
    </row>
    <row r="2129" ht="18" customHeight="1" s="7">
      <c r="A2129" s="144" t="inlineStr">
        <is>
          <t>NATHAN NIELSEN</t>
        </is>
      </c>
      <c r="B2129" s="144" t="inlineStr">
        <is>
          <t>*051401989 GA</t>
        </is>
      </c>
      <c r="C2129" s="144" t="inlineStr">
        <is>
          <t>NJN</t>
        </is>
      </c>
      <c r="D2129" s="144" t="n">
        <v>4706292984</v>
      </c>
      <c r="E2129" s="144" t="inlineStr">
        <is>
          <t>PU</t>
        </is>
      </c>
      <c r="F2129" s="144" t="inlineStr">
        <is>
          <t>C219EW GA</t>
        </is>
      </c>
      <c r="G2129" s="144" t="inlineStr">
        <is>
          <t>RED RAM</t>
        </is>
      </c>
      <c r="H2129" s="144" t="n">
        <v>1351</v>
      </c>
      <c r="I2129" s="144" t="inlineStr">
        <is>
          <t>CONTRACTOR</t>
        </is>
      </c>
    </row>
    <row r="2130" ht="18" customHeight="1" s="7">
      <c r="A2130" s="144" t="inlineStr">
        <is>
          <t>MARTIN OKAKA</t>
        </is>
      </c>
      <c r="B2130" s="144" t="inlineStr">
        <is>
          <t>*061672540 GA</t>
        </is>
      </c>
      <c r="C2130" s="144" t="inlineStr">
        <is>
          <t>OKAKA LOGISTICS</t>
        </is>
      </c>
      <c r="D2130" s="144" t="n">
        <v>7064155842</v>
      </c>
      <c r="E2130" s="144" t="inlineStr">
        <is>
          <t>FLAT</t>
        </is>
      </c>
      <c r="F2130" s="144" t="inlineStr">
        <is>
          <t>C553EG GA</t>
        </is>
      </c>
      <c r="G2130" s="144" t="inlineStr">
        <is>
          <t>PURPLE FREIGHTLINER</t>
        </is>
      </c>
      <c r="H2130" s="144" t="n">
        <v>1221</v>
      </c>
      <c r="I2130" s="144" t="inlineStr">
        <is>
          <t>COMMERCIAL</t>
        </is>
      </c>
    </row>
    <row r="2131" ht="18" customHeight="1" s="7">
      <c r="A2131" s="144" t="inlineStr">
        <is>
          <t>JAMES SUGGS</t>
        </is>
      </c>
      <c r="B2131" s="144" t="inlineStr">
        <is>
          <t>*070945786 GA</t>
        </is>
      </c>
      <c r="C2131" s="144" t="inlineStr">
        <is>
          <t>ALBANY AIR</t>
        </is>
      </c>
      <c r="D2131" s="144" t="n">
        <v>2294360341</v>
      </c>
      <c r="E2131" s="144" t="inlineStr">
        <is>
          <t>PU</t>
        </is>
      </c>
      <c r="F2131" s="144" t="inlineStr">
        <is>
          <t xml:space="preserve">RGQ1649 GA </t>
        </is>
      </c>
      <c r="G2131" s="144" t="inlineStr">
        <is>
          <t>WHITE FORD</t>
        </is>
      </c>
      <c r="H2131" s="144" t="n">
        <v>2200</v>
      </c>
      <c r="I2131" s="144" t="inlineStr">
        <is>
          <t>CONTRACTOR</t>
        </is>
      </c>
    </row>
    <row r="2132" ht="18" customHeight="1" s="7">
      <c r="A2132" s="144" t="inlineStr">
        <is>
          <t>ZAVALA ALONSO</t>
        </is>
      </c>
      <c r="B2132" s="144" t="inlineStr">
        <is>
          <t>*00002497637 NC</t>
        </is>
      </c>
      <c r="C2132" s="144" t="inlineStr">
        <is>
          <t>HIGHWAY EXPRESS</t>
        </is>
      </c>
      <c r="D2132" s="144" t="n">
        <v>7048197751</v>
      </c>
      <c r="E2132" s="144" t="inlineStr">
        <is>
          <t>VAN</t>
        </is>
      </c>
      <c r="F2132" s="144" t="inlineStr">
        <is>
          <t>VJ2034 NC</t>
        </is>
      </c>
      <c r="G2132" s="144" t="inlineStr">
        <is>
          <t>GREY MERCEDES</t>
        </is>
      </c>
      <c r="H2132" s="144" t="n">
        <v>1351</v>
      </c>
      <c r="I2132" s="144" t="inlineStr">
        <is>
          <t>CONTRACTOR</t>
        </is>
      </c>
    </row>
    <row r="2133" ht="18" customHeight="1" s="7">
      <c r="A2133" s="144" t="inlineStr">
        <is>
          <t>HELMSTETTETTER ALCE</t>
        </is>
      </c>
      <c r="B2133" s="144" t="inlineStr">
        <is>
          <t>*005600639 LA</t>
        </is>
      </c>
      <c r="C2133" s="144" t="inlineStr">
        <is>
          <t xml:space="preserve">MODENA FREIGHT </t>
        </is>
      </c>
      <c r="D2133" s="144" t="n">
        <v>5044194536</v>
      </c>
      <c r="E2133" s="144" t="inlineStr">
        <is>
          <t>BOX</t>
        </is>
      </c>
      <c r="F2133" s="144" t="inlineStr">
        <is>
          <t>P1274486 IL</t>
        </is>
      </c>
      <c r="G2133" s="144" t="inlineStr">
        <is>
          <t>RED PETERBILT</t>
        </is>
      </c>
      <c r="H2133" s="144" t="n">
        <v>1221</v>
      </c>
      <c r="I2133" s="144" t="inlineStr">
        <is>
          <t>COMMERCIAL</t>
        </is>
      </c>
    </row>
    <row r="2134" ht="18" customHeight="1" s="7">
      <c r="A2134" s="144" t="inlineStr">
        <is>
          <t>CZARNECKI TOLIVER</t>
        </is>
      </c>
      <c r="B2134" s="144" t="inlineStr">
        <is>
          <t>*071042828 GA</t>
        </is>
      </c>
      <c r="C2134" s="144" t="inlineStr">
        <is>
          <t>SPARTAN NASH</t>
        </is>
      </c>
      <c r="D2134" s="144" t="n">
        <v>3346140045</v>
      </c>
      <c r="E2134" s="144" t="inlineStr">
        <is>
          <t>BOX</t>
        </is>
      </c>
      <c r="F2134" s="144" t="inlineStr">
        <is>
          <t>220363 NE</t>
        </is>
      </c>
      <c r="G2134" s="144" t="inlineStr">
        <is>
          <t>WHITE FREIGHTLINER</t>
        </is>
      </c>
      <c r="H2134" s="144" t="n">
        <v>7501</v>
      </c>
      <c r="I2134" s="144" t="inlineStr">
        <is>
          <t>COMMERCIAL</t>
        </is>
      </c>
    </row>
    <row r="2135" ht="18" customHeight="1" s="7">
      <c r="A2135" s="144" t="inlineStr">
        <is>
          <t>GREGORY WEEKLEY</t>
        </is>
      </c>
      <c r="B2135" s="144" t="inlineStr">
        <is>
          <t>*053926547 GA</t>
        </is>
      </c>
      <c r="C2135" s="144" t="inlineStr">
        <is>
          <t>SAFE AIR</t>
        </is>
      </c>
      <c r="D2135" s="144" t="n">
        <v>2293435897</v>
      </c>
      <c r="E2135" s="144" t="inlineStr">
        <is>
          <t>PU</t>
        </is>
      </c>
      <c r="F2135" s="144" t="inlineStr">
        <is>
          <t>PJE2169 GA</t>
        </is>
      </c>
      <c r="G2135" s="144" t="inlineStr">
        <is>
          <t>WHITE CHEVY</t>
        </is>
      </c>
      <c r="H2135" s="144" t="n">
        <v>2215</v>
      </c>
      <c r="I2135" s="144" t="inlineStr">
        <is>
          <t>CONTRACTOR</t>
        </is>
      </c>
    </row>
    <row r="2136" ht="18" customHeight="1" s="7">
      <c r="A2136" s="144" t="inlineStr">
        <is>
          <t>NEDZAD TABAKOVIC</t>
        </is>
      </c>
      <c r="B2136" s="144" t="inlineStr">
        <is>
          <t xml:space="preserve">*049466658 GA </t>
        </is>
      </c>
      <c r="C2136" s="144" t="inlineStr">
        <is>
          <t>MUFTAR LLC</t>
        </is>
      </c>
      <c r="D2136" s="144" t="n">
        <v>4045143131</v>
      </c>
      <c r="E2136" s="144" t="inlineStr">
        <is>
          <t>BOX</t>
        </is>
      </c>
      <c r="F2136" s="144" t="inlineStr">
        <is>
          <t xml:space="preserve">C861E1 GA </t>
        </is>
      </c>
      <c r="G2136" s="144" t="inlineStr">
        <is>
          <t>PURPLE FREIGHTLINER</t>
        </is>
      </c>
      <c r="H2136" s="144" t="n">
        <v>1221</v>
      </c>
      <c r="I2136" s="144" t="inlineStr">
        <is>
          <t>COMMERCIAL</t>
        </is>
      </c>
    </row>
    <row r="2137" ht="18" customHeight="1" s="7">
      <c r="A2137" s="144" t="inlineStr">
        <is>
          <t>ERNEST FLEMISTER</t>
        </is>
      </c>
      <c r="B2137" s="144" t="inlineStr">
        <is>
          <t>*055242486 GA</t>
        </is>
      </c>
      <c r="C2137" s="144" t="inlineStr">
        <is>
          <t>MEI</t>
        </is>
      </c>
      <c r="D2137" s="144" t="n">
        <v>4043662511</v>
      </c>
      <c r="E2137" s="144" t="inlineStr">
        <is>
          <t>PU</t>
        </is>
      </c>
      <c r="F2137" s="144" t="inlineStr">
        <is>
          <t>XJY408 GA</t>
        </is>
      </c>
      <c r="G2137" s="144" t="inlineStr">
        <is>
          <t>WHITE DODGE</t>
        </is>
      </c>
      <c r="H2137" s="144" t="n">
        <v>2200</v>
      </c>
      <c r="I2137" s="144" t="inlineStr">
        <is>
          <t>CONTRACTOR</t>
        </is>
      </c>
    </row>
    <row r="2138" ht="18" customHeight="1" s="7">
      <c r="A2138" s="144" t="inlineStr">
        <is>
          <t>MANQUEL MCKINNES</t>
        </is>
      </c>
      <c r="B2138" s="144" t="inlineStr">
        <is>
          <t>*056442695 GA</t>
        </is>
      </c>
      <c r="C2138" s="144" t="inlineStr">
        <is>
          <t>MEI</t>
        </is>
      </c>
      <c r="D2138" s="144" t="n">
        <v>4043662511</v>
      </c>
      <c r="E2138" s="144" t="inlineStr">
        <is>
          <t>FLAT</t>
        </is>
      </c>
      <c r="F2138" s="144" t="inlineStr">
        <is>
          <t>P116CH GA</t>
        </is>
      </c>
      <c r="G2138" s="144" t="inlineStr">
        <is>
          <t>WHITE FREIGHTLINER</t>
        </is>
      </c>
      <c r="H2138" s="144" t="n">
        <v>2200</v>
      </c>
      <c r="I2138" s="144" t="inlineStr">
        <is>
          <t>COMMERCIAL</t>
        </is>
      </c>
    </row>
    <row r="2139" ht="18" customHeight="1" s="7">
      <c r="A2139" s="144" t="inlineStr">
        <is>
          <t>DAVID TUCKER</t>
        </is>
      </c>
      <c r="B2139" s="144" t="inlineStr">
        <is>
          <t>*051376124 GA</t>
        </is>
      </c>
      <c r="C2139" s="144" t="inlineStr">
        <is>
          <t>TUCKER FARMS</t>
        </is>
      </c>
      <c r="D2139" s="144" t="n">
        <v>6784283489</v>
      </c>
      <c r="E2139" s="144" t="inlineStr">
        <is>
          <t>BOX</t>
        </is>
      </c>
      <c r="F2139" s="144" t="inlineStr">
        <is>
          <t>R666380 TX</t>
        </is>
      </c>
      <c r="G2139" s="144" t="inlineStr">
        <is>
          <t>WHITE MACK</t>
        </is>
      </c>
      <c r="H2139" s="144" t="n">
        <v>1221</v>
      </c>
      <c r="I2139" s="144" t="inlineStr">
        <is>
          <t>COMMERCIAL</t>
        </is>
      </c>
    </row>
    <row r="2140" ht="18" customHeight="1" s="7">
      <c r="A2140" s="144" t="inlineStr">
        <is>
          <t>CLAYRON ROBERSTON</t>
        </is>
      </c>
      <c r="B2140" s="144" t="inlineStr">
        <is>
          <t>*054145959 GA</t>
        </is>
      </c>
      <c r="C2140" s="144" t="inlineStr">
        <is>
          <t>MEI</t>
        </is>
      </c>
      <c r="D2140" s="144" t="n">
        <v>4043662511</v>
      </c>
      <c r="E2140" s="144" t="inlineStr">
        <is>
          <t>BOX</t>
        </is>
      </c>
      <c r="F2140" s="144" t="inlineStr">
        <is>
          <t>P766CR GA</t>
        </is>
      </c>
      <c r="G2140" s="144" t="inlineStr">
        <is>
          <t>WHITE WESTERN STAR</t>
        </is>
      </c>
      <c r="H2140" s="144" t="n">
        <v>2200</v>
      </c>
      <c r="I2140" s="144" t="inlineStr">
        <is>
          <t>COMMERCIAL</t>
        </is>
      </c>
    </row>
    <row r="2141" ht="18" customHeight="1" s="7">
      <c r="A2141" s="144" t="inlineStr">
        <is>
          <t>KAREMERA LIONEL</t>
        </is>
      </c>
      <c r="B2141" s="144" t="inlineStr">
        <is>
          <t>MD10273661738 MD</t>
        </is>
      </c>
      <c r="C2141" s="144" t="inlineStr">
        <is>
          <t>PHOENIX CARGO</t>
        </is>
      </c>
      <c r="D2141" s="144" t="n">
        <v>2026428195</v>
      </c>
      <c r="E2141" s="144" t="inlineStr">
        <is>
          <t>BOX</t>
        </is>
      </c>
      <c r="F2141" s="144" t="inlineStr">
        <is>
          <t>PXB0162 OH</t>
        </is>
      </c>
      <c r="G2141" s="144" t="inlineStr">
        <is>
          <t>WHITE FREIGHTLINER</t>
        </is>
      </c>
      <c r="H2141" s="144" t="n">
        <v>1221</v>
      </c>
      <c r="I2141" s="144" t="inlineStr">
        <is>
          <t>COMMERCIAL</t>
        </is>
      </c>
    </row>
    <row r="2142" ht="18" customHeight="1" s="7">
      <c r="A2142" s="144" t="inlineStr">
        <is>
          <t>ANONIEO MARREESE</t>
        </is>
      </c>
      <c r="B2142" s="144" t="inlineStr">
        <is>
          <t>*055710172 GA</t>
        </is>
      </c>
      <c r="C2142" s="144" t="inlineStr">
        <is>
          <t>MAG</t>
        </is>
      </c>
      <c r="D2142" s="144" t="n">
        <v>7708462527</v>
      </c>
      <c r="E2142" s="144" t="inlineStr">
        <is>
          <t>BOX</t>
        </is>
      </c>
      <c r="F2142" s="144" t="inlineStr">
        <is>
          <t>C567E3 GA</t>
        </is>
      </c>
      <c r="G2142" s="144" t="inlineStr">
        <is>
          <t>WHITE FREIGHTLINER</t>
        </is>
      </c>
      <c r="H2142" s="144" t="n">
        <v>1221</v>
      </c>
      <c r="I2142" s="144" t="inlineStr">
        <is>
          <t>COMMERCIAL</t>
        </is>
      </c>
    </row>
    <row r="2143" ht="18" customHeight="1" s="7">
      <c r="A2143" s="144" t="inlineStr">
        <is>
          <t>COLLINS EDWARDS</t>
        </is>
      </c>
      <c r="B2143" s="144" t="inlineStr">
        <is>
          <t>903115062 AR</t>
        </is>
      </c>
      <c r="C2143" s="144" t="inlineStr">
        <is>
          <t>ROAD LEGENDS</t>
        </is>
      </c>
      <c r="D2143" s="144" t="n">
        <v>8707236142</v>
      </c>
      <c r="E2143" s="144" t="inlineStr">
        <is>
          <t>BOX</t>
        </is>
      </c>
      <c r="F2143" s="144" t="inlineStr">
        <is>
          <t>P1287988 IL</t>
        </is>
      </c>
      <c r="G2143" s="144" t="inlineStr">
        <is>
          <t>BLUE KENWORTH</t>
        </is>
      </c>
      <c r="H2143" s="144" t="n">
        <v>1221</v>
      </c>
      <c r="I2143" s="144" t="inlineStr">
        <is>
          <t>COMMERCIAL</t>
        </is>
      </c>
    </row>
    <row r="2144" ht="18" customHeight="1" s="7">
      <c r="A2144" s="144" t="inlineStr">
        <is>
          <t>GERALD SANDERS</t>
        </is>
      </c>
      <c r="B2144" s="144" t="inlineStr">
        <is>
          <t>*054179944 GA</t>
        </is>
      </c>
      <c r="C2144" s="144" t="inlineStr">
        <is>
          <t>PRO TRANS</t>
        </is>
      </c>
      <c r="D2144" s="144" t="n">
        <v>9126315594</v>
      </c>
      <c r="E2144" s="144" t="inlineStr">
        <is>
          <t>BOX</t>
        </is>
      </c>
      <c r="F2144" s="144" t="inlineStr">
        <is>
          <t>XE289B FL</t>
        </is>
      </c>
      <c r="G2144" s="144" t="inlineStr">
        <is>
          <t>WHITE INTER</t>
        </is>
      </c>
      <c r="H2144" s="144" t="n">
        <v>1221</v>
      </c>
      <c r="I2144" s="144" t="inlineStr">
        <is>
          <t>COMMERCIAL</t>
        </is>
      </c>
    </row>
    <row r="2145" ht="18" customHeight="1" s="7">
      <c r="A2145" s="144" t="inlineStr">
        <is>
          <t>PHILIP BALSAM</t>
        </is>
      </c>
      <c r="B2145" s="144" t="inlineStr">
        <is>
          <t>6479410 AL</t>
        </is>
      </c>
      <c r="C2145" s="144" t="inlineStr">
        <is>
          <t>BAREFOOT</t>
        </is>
      </c>
      <c r="D2145" s="144" t="n">
        <v>2073139595</v>
      </c>
      <c r="E2145" s="144" t="inlineStr">
        <is>
          <t>FLAT</t>
        </is>
      </c>
      <c r="F2145" s="144" t="inlineStr">
        <is>
          <t>1209161 AL</t>
        </is>
      </c>
      <c r="G2145" s="144" t="inlineStr">
        <is>
          <t>BLACK PETERBILT</t>
        </is>
      </c>
      <c r="H2145" s="144" t="n">
        <v>1221</v>
      </c>
      <c r="I2145" s="144" t="inlineStr">
        <is>
          <t>COMMERCIAL</t>
        </is>
      </c>
    </row>
    <row r="2146" ht="18" customHeight="1" s="7">
      <c r="A2146" s="144" t="inlineStr">
        <is>
          <t>JIMMIE COOPER</t>
        </is>
      </c>
      <c r="B2146" s="144" t="inlineStr">
        <is>
          <t>*056091132 GA</t>
        </is>
      </c>
      <c r="C2146" s="144" t="inlineStr">
        <is>
          <t xml:space="preserve">INDUSTRIAL </t>
        </is>
      </c>
      <c r="D2146" s="144" t="n">
        <v>2294364694</v>
      </c>
      <c r="E2146" s="144" t="inlineStr">
        <is>
          <t>PU</t>
        </is>
      </c>
      <c r="F2146" s="144" t="inlineStr">
        <is>
          <t>CLT1257 GA</t>
        </is>
      </c>
      <c r="G2146" s="144" t="inlineStr">
        <is>
          <t>WHITE CHEVY</t>
        </is>
      </c>
      <c r="H2146" s="144" t="n">
        <v>2215</v>
      </c>
      <c r="I2146" s="144" t="inlineStr">
        <is>
          <t>CONTRACTOR</t>
        </is>
      </c>
    </row>
    <row r="2147" ht="18" customHeight="1" s="7">
      <c r="A2147" s="144" t="inlineStr">
        <is>
          <t>JEFFERY GRENIER</t>
        </is>
      </c>
      <c r="B2147" s="144" t="inlineStr">
        <is>
          <t>214137093 CT</t>
        </is>
      </c>
      <c r="C2147" s="144" t="inlineStr">
        <is>
          <t>LANDSTAR</t>
        </is>
      </c>
      <c r="D2147" s="144" t="n">
        <v>8604286446</v>
      </c>
      <c r="E2147" s="144" t="inlineStr">
        <is>
          <t>BOX</t>
        </is>
      </c>
      <c r="F2147" s="144" t="inlineStr">
        <is>
          <t>2629750 IN</t>
        </is>
      </c>
      <c r="G2147" s="144" t="inlineStr">
        <is>
          <t>WHITE FREIGHTLINER</t>
        </is>
      </c>
      <c r="H2147" s="144" t="n">
        <v>1221</v>
      </c>
      <c r="I2147" s="144" t="inlineStr">
        <is>
          <t>COMMERCIAL</t>
        </is>
      </c>
    </row>
    <row r="2148" ht="18" customHeight="1" s="7">
      <c r="A2148" s="144" t="inlineStr">
        <is>
          <t>LANZO ROBERTSON</t>
        </is>
      </c>
      <c r="B2148" s="144" t="inlineStr">
        <is>
          <t>*055252465 GA</t>
        </is>
      </c>
      <c r="C2148" s="144" t="inlineStr">
        <is>
          <t>PRO TRANS</t>
        </is>
      </c>
      <c r="D2148" s="144" t="n">
        <v>4782304246</v>
      </c>
      <c r="E2148" s="144" t="inlineStr">
        <is>
          <t>BOX</t>
        </is>
      </c>
      <c r="F2148" s="144" t="inlineStr">
        <is>
          <t>XE968B FL</t>
        </is>
      </c>
      <c r="G2148" s="144" t="inlineStr">
        <is>
          <t>WHITE INTER</t>
        </is>
      </c>
      <c r="H2148" s="144" t="n">
        <v>1221</v>
      </c>
      <c r="I2148" s="144" t="inlineStr">
        <is>
          <t>COMMERCIAL</t>
        </is>
      </c>
    </row>
    <row r="2149" ht="18" customHeight="1" s="7">
      <c r="A2149" s="144" t="inlineStr">
        <is>
          <t>JIMMY DAVIS</t>
        </is>
      </c>
      <c r="B2149" s="144" t="inlineStr">
        <is>
          <t>*071009217 GA</t>
        </is>
      </c>
      <c r="C2149" s="144" t="inlineStr">
        <is>
          <t>EMR EXPRESS</t>
        </is>
      </c>
      <c r="D2149" s="144" t="n">
        <v>3155595608</v>
      </c>
      <c r="E2149" s="144" t="inlineStr">
        <is>
          <t>BOX</t>
        </is>
      </c>
      <c r="F2149" s="144" t="inlineStr">
        <is>
          <t>P1242551 IL</t>
        </is>
      </c>
      <c r="G2149" s="144" t="inlineStr">
        <is>
          <t>RED FREIGHTLINER</t>
        </is>
      </c>
      <c r="H2149" s="144" t="n">
        <v>1221</v>
      </c>
      <c r="I2149" s="144" t="inlineStr">
        <is>
          <t>COMMERCIAL</t>
        </is>
      </c>
    </row>
    <row r="2150" ht="18" customHeight="1" s="7">
      <c r="A2150" s="144" t="inlineStr">
        <is>
          <t>DEARDEN IAN</t>
        </is>
      </c>
      <c r="B2150" s="144" t="inlineStr">
        <is>
          <t>*007741696 SC</t>
        </is>
      </c>
      <c r="C2150" s="144" t="inlineStr">
        <is>
          <t>STATE OF SOUTH CAROLINA</t>
        </is>
      </c>
      <c r="D2150" s="144" t="n">
        <v>8038966351</v>
      </c>
      <c r="E2150" s="144" t="inlineStr">
        <is>
          <t>FLAT</t>
        </is>
      </c>
      <c r="F2150" s="144" t="inlineStr">
        <is>
          <t>23967SG SC</t>
        </is>
      </c>
      <c r="G2150" s="144" t="inlineStr">
        <is>
          <t>BLUE FORD</t>
        </is>
      </c>
      <c r="H2150" s="144" t="n">
        <v>1360</v>
      </c>
      <c r="I2150" s="144" t="inlineStr">
        <is>
          <t>COMMERCIAL</t>
        </is>
      </c>
    </row>
    <row r="2151" ht="18" customHeight="1" s="7">
      <c r="A2151" s="144" t="inlineStr">
        <is>
          <t>BEZGUNOV ABBIKIR</t>
        </is>
      </c>
      <c r="B2151" s="144" t="inlineStr">
        <is>
          <t>G524423722630 FL</t>
        </is>
      </c>
      <c r="C2151" s="144" t="inlineStr">
        <is>
          <t>CLASS GLOBAL LOGISTIC</t>
        </is>
      </c>
      <c r="D2151" s="144" t="n">
        <v>3057646906</v>
      </c>
      <c r="E2151" s="144" t="inlineStr">
        <is>
          <t>FLAT</t>
        </is>
      </c>
      <c r="F2151" s="144" t="inlineStr">
        <is>
          <t>XE849L FL</t>
        </is>
      </c>
      <c r="G2151" s="144" t="inlineStr">
        <is>
          <t>BLUE WESTERN</t>
        </is>
      </c>
      <c r="H2151" s="144" t="n">
        <v>1221</v>
      </c>
      <c r="I2151" s="144" t="inlineStr">
        <is>
          <t>COMMERICAL</t>
        </is>
      </c>
    </row>
    <row r="2152" ht="18" customHeight="1" s="7">
      <c r="A2152" s="144" t="inlineStr">
        <is>
          <t>ABB</t>
        </is>
      </c>
      <c r="B2152" s="144" t="inlineStr">
        <is>
          <t>055897078 GA</t>
        </is>
      </c>
      <c r="C2152" s="144" t="inlineStr">
        <is>
          <t>TIGER</t>
        </is>
      </c>
      <c r="D2152" s="144" t="n">
        <v>4045792450</v>
      </c>
      <c r="E2152" s="144" t="inlineStr">
        <is>
          <t>FLAT</t>
        </is>
      </c>
      <c r="F2152" s="144" t="inlineStr">
        <is>
          <t>C256AI GA</t>
        </is>
      </c>
      <c r="G2152" s="144" t="inlineStr">
        <is>
          <t>PURPLE VOLVO</t>
        </is>
      </c>
      <c r="H2152" s="144" t="n">
        <v>1221</v>
      </c>
      <c r="I2152" s="144" t="inlineStr">
        <is>
          <t>COMMERICAL</t>
        </is>
      </c>
    </row>
    <row r="2153" ht="18" customHeight="1" s="7">
      <c r="A2153" s="144" t="inlineStr">
        <is>
          <t>BOBBY BARBER</t>
        </is>
      </c>
      <c r="B2153" s="144" t="inlineStr">
        <is>
          <t>057100245 GA</t>
        </is>
      </c>
      <c r="C2153" s="144" t="inlineStr">
        <is>
          <t>SAFE AIR</t>
        </is>
      </c>
      <c r="D2153" s="144" t="n">
        <v>2298835100</v>
      </c>
      <c r="E2153" s="144" t="inlineStr">
        <is>
          <t>PU</t>
        </is>
      </c>
      <c r="F2153" s="144" t="inlineStr">
        <is>
          <t>SEN4803 GA</t>
        </is>
      </c>
      <c r="G2153" s="144" t="inlineStr">
        <is>
          <t>WHITE CHEV</t>
        </is>
      </c>
      <c r="H2153" s="144" t="n">
        <v>2200</v>
      </c>
      <c r="I2153" s="144" t="inlineStr">
        <is>
          <t>CONTRACTOR</t>
        </is>
      </c>
    </row>
    <row r="2154" ht="18" customHeight="1" s="7">
      <c r="A2154" s="144" t="inlineStr">
        <is>
          <t>CHRISTOPHER WRIGHT</t>
        </is>
      </c>
      <c r="B2154" s="144" t="inlineStr">
        <is>
          <t>053108221 GA</t>
        </is>
      </c>
      <c r="C2154" s="144" t="inlineStr">
        <is>
          <t>GEORGIA FREIGHT</t>
        </is>
      </c>
      <c r="D2154" s="144" t="n">
        <v>4046689101</v>
      </c>
      <c r="E2154" s="144" t="inlineStr">
        <is>
          <t>BOX</t>
        </is>
      </c>
      <c r="F2154" s="144" t="inlineStr">
        <is>
          <t>C116CZ GA</t>
        </is>
      </c>
      <c r="G2154" s="144" t="inlineStr">
        <is>
          <t>VOLVO</t>
        </is>
      </c>
      <c r="H2154" s="144" t="n">
        <v>1221</v>
      </c>
      <c r="I2154" s="144" t="inlineStr">
        <is>
          <t>COMMERICAL</t>
        </is>
      </c>
    </row>
    <row r="2155" ht="18" customHeight="1" s="7">
      <c r="A2155" s="144" t="inlineStr">
        <is>
          <t>GREGORY LAVOIE</t>
        </is>
      </c>
      <c r="B2155" s="144" t="inlineStr">
        <is>
          <t>049273112 GA</t>
        </is>
      </c>
      <c r="C2155" s="144" t="inlineStr">
        <is>
          <t>GEORGIA PUBLIC</t>
        </is>
      </c>
      <c r="D2155" s="144" t="n">
        <v>7069757094</v>
      </c>
      <c r="E2155" s="144" t="inlineStr">
        <is>
          <t>FLAT</t>
        </is>
      </c>
      <c r="F2155" s="144" t="inlineStr">
        <is>
          <t>GV7345P GA</t>
        </is>
      </c>
      <c r="G2155" s="144" t="inlineStr">
        <is>
          <t>WHITE FORD</t>
        </is>
      </c>
      <c r="H2155" s="144" t="n">
        <v>1221</v>
      </c>
      <c r="I2155" s="144" t="inlineStr">
        <is>
          <t>CONTRACTOR</t>
        </is>
      </c>
    </row>
    <row r="2156" ht="18" customHeight="1" s="7">
      <c r="A2156" s="144" t="inlineStr">
        <is>
          <t>CHRISTOPHER BOWDEN</t>
        </is>
      </c>
      <c r="B2156" s="144" t="inlineStr">
        <is>
          <t>056092549 GA</t>
        </is>
      </c>
      <c r="C2156" s="144" t="inlineStr">
        <is>
          <t>GEORGIA PUBLIC</t>
        </is>
      </c>
      <c r="D2156" s="144" t="n">
        <v>7069757094</v>
      </c>
      <c r="E2156" s="144" t="inlineStr">
        <is>
          <t>FLAT</t>
        </is>
      </c>
      <c r="F2156" s="144" t="inlineStr">
        <is>
          <t>GV4190Q GA</t>
        </is>
      </c>
      <c r="G2156" s="144" t="inlineStr">
        <is>
          <t>WHITE FORD</t>
        </is>
      </c>
      <c r="H2156" s="144" t="n">
        <v>1221</v>
      </c>
      <c r="I2156" s="144" t="inlineStr">
        <is>
          <t>CONTRACTOR</t>
        </is>
      </c>
    </row>
    <row r="2157" ht="18" customHeight="1" s="7">
      <c r="A2157" s="144" t="inlineStr">
        <is>
          <t>MEIKLE BANKS-BROWN</t>
        </is>
      </c>
      <c r="B2157" s="144" t="inlineStr">
        <is>
          <t>*047295901 GA</t>
        </is>
      </c>
      <c r="C2157" s="144" t="inlineStr">
        <is>
          <t>PRO TRANS</t>
        </is>
      </c>
      <c r="D2157" s="144" t="n">
        <v>4703588360</v>
      </c>
      <c r="E2157" s="144" t="inlineStr">
        <is>
          <t>BOX</t>
        </is>
      </c>
      <c r="F2157" s="144" t="inlineStr">
        <is>
          <t>XE932B FL</t>
        </is>
      </c>
      <c r="G2157" s="144" t="inlineStr">
        <is>
          <t>BLUE INTER</t>
        </is>
      </c>
      <c r="H2157" s="144" t="n">
        <v>1221</v>
      </c>
      <c r="I2157" s="144" t="inlineStr">
        <is>
          <t>COMMERCIAL</t>
        </is>
      </c>
    </row>
    <row r="2158" ht="18" customHeight="1" s="7">
      <c r="A2158" s="144" t="inlineStr">
        <is>
          <t>JOHN LINDSEY</t>
        </is>
      </c>
      <c r="B2158" s="144" t="inlineStr">
        <is>
          <t>*060607023 GA</t>
        </is>
      </c>
      <c r="C2158" s="144" t="inlineStr">
        <is>
          <t>AAA</t>
        </is>
      </c>
      <c r="D2158" s="144" t="n">
        <v>2292725784</v>
      </c>
      <c r="E2158" s="144" t="inlineStr">
        <is>
          <t>VAN</t>
        </is>
      </c>
      <c r="F2158" s="144" t="inlineStr">
        <is>
          <t>TFZ8162 GA</t>
        </is>
      </c>
      <c r="G2158" s="144" t="inlineStr">
        <is>
          <t>GRAY FORD</t>
        </is>
      </c>
      <c r="H2158" s="144" t="n">
        <v>1331</v>
      </c>
      <c r="I2158" s="144" t="inlineStr">
        <is>
          <t>CONTRACTOR</t>
        </is>
      </c>
    </row>
    <row r="2159" ht="18" customHeight="1" s="7">
      <c r="A2159" s="144" t="inlineStr">
        <is>
          <t xml:space="preserve">JUSTIN ARMSTRONG </t>
        </is>
      </c>
      <c r="B2159" s="144" t="inlineStr">
        <is>
          <t>*054637899 GA</t>
        </is>
      </c>
      <c r="C2159" s="144" t="inlineStr">
        <is>
          <t>PRO TRANS</t>
        </is>
      </c>
      <c r="D2159" s="144" t="n">
        <v>7065648029</v>
      </c>
      <c r="E2159" s="144" t="inlineStr">
        <is>
          <t>BOX</t>
        </is>
      </c>
      <c r="F2159" s="144" t="inlineStr">
        <is>
          <t>XE921B FL</t>
        </is>
      </c>
      <c r="G2159" s="144" t="inlineStr">
        <is>
          <t>WHITE INTER</t>
        </is>
      </c>
      <c r="H2159" s="144" t="n">
        <v>1221</v>
      </c>
      <c r="I2159" s="144" t="inlineStr">
        <is>
          <t>COMMERCIAL</t>
        </is>
      </c>
    </row>
    <row r="2160" ht="18" customHeight="1" s="7">
      <c r="A2160" s="144" t="inlineStr">
        <is>
          <t>SHAQUAN WORTH</t>
        </is>
      </c>
      <c r="B2160" s="144" t="inlineStr">
        <is>
          <t>9902165 AL</t>
        </is>
      </c>
      <c r="C2160" s="144" t="inlineStr">
        <is>
          <t>MCLANE</t>
        </is>
      </c>
      <c r="D2160" s="144" t="n">
        <v>3344007127</v>
      </c>
      <c r="E2160" s="144" t="inlineStr">
        <is>
          <t>BOX</t>
        </is>
      </c>
      <c r="F2160" s="144" t="inlineStr">
        <is>
          <t>P935942 IL</t>
        </is>
      </c>
      <c r="G2160" s="144" t="inlineStr">
        <is>
          <t>WHITE FREIGHTLINER</t>
        </is>
      </c>
      <c r="H2160" s="144" t="n">
        <v>7501</v>
      </c>
      <c r="I2160" s="144" t="inlineStr">
        <is>
          <t>COMMERCIAL</t>
        </is>
      </c>
    </row>
    <row r="2161" ht="18" customHeight="1" s="7">
      <c r="A2161" s="144" t="inlineStr">
        <is>
          <t>MICHAEL SMITH</t>
        </is>
      </c>
      <c r="B2161" s="144" t="inlineStr">
        <is>
          <t>*054564376 GA</t>
        </is>
      </c>
      <c r="C2161" s="144" t="inlineStr">
        <is>
          <t>T FORCE</t>
        </is>
      </c>
      <c r="D2161" s="144" t="n">
        <v>2298810028</v>
      </c>
      <c r="E2161" s="144" t="inlineStr">
        <is>
          <t>BOX</t>
        </is>
      </c>
      <c r="F2161" s="144" t="inlineStr">
        <is>
          <t>3418610 IN</t>
        </is>
      </c>
      <c r="G2161" s="144" t="inlineStr">
        <is>
          <t>WHITE FREIGHTLINER</t>
        </is>
      </c>
      <c r="H2161" s="144" t="n">
        <v>1221</v>
      </c>
      <c r="I2161" s="144" t="inlineStr">
        <is>
          <t>COMMERCIAL</t>
        </is>
      </c>
    </row>
    <row r="2162" ht="18" customHeight="1" s="7">
      <c r="A2162" s="144" t="inlineStr">
        <is>
          <t>BRAIN GELARO</t>
        </is>
      </c>
      <c r="B2162" s="144" t="inlineStr">
        <is>
          <t>G460072000660 FL</t>
        </is>
      </c>
      <c r="C2162" s="144" t="inlineStr">
        <is>
          <t>GENERAL CONTRACT</t>
        </is>
      </c>
      <c r="D2162" s="144" t="n">
        <v>9046169092</v>
      </c>
      <c r="E2162" s="144" t="inlineStr">
        <is>
          <t>VAN</t>
        </is>
      </c>
      <c r="F2162" s="144" t="inlineStr">
        <is>
          <t>RQLY75 FL</t>
        </is>
      </c>
      <c r="G2162" s="144" t="inlineStr">
        <is>
          <t>WHITE FORD</t>
        </is>
      </c>
      <c r="H2162" s="144" t="inlineStr">
        <is>
          <t>BROOM</t>
        </is>
      </c>
      <c r="I2162" s="144" t="inlineStr">
        <is>
          <t>CONTRACTOR</t>
        </is>
      </c>
    </row>
    <row r="2163" ht="18" customHeight="1" s="7">
      <c r="A2163" s="144" t="inlineStr">
        <is>
          <t>RICHARD DEANS</t>
        </is>
      </c>
      <c r="B2163" s="144" t="inlineStr">
        <is>
          <t>D520752692541 FL</t>
        </is>
      </c>
      <c r="C2163" s="144" t="inlineStr">
        <is>
          <t>PRO TRANS</t>
        </is>
      </c>
      <c r="D2163" s="144" t="n">
        <v>9047356530</v>
      </c>
      <c r="E2163" s="144" t="inlineStr">
        <is>
          <t>BOX</t>
        </is>
      </c>
      <c r="F2163" s="144" t="inlineStr">
        <is>
          <t>XE327C FL</t>
        </is>
      </c>
      <c r="G2163" s="144" t="inlineStr">
        <is>
          <t>BLUE INTERNATIONAL</t>
        </is>
      </c>
      <c r="H2163" s="144" t="n">
        <v>1221</v>
      </c>
      <c r="I2163" s="144" t="inlineStr">
        <is>
          <t>COMMERICAL</t>
        </is>
      </c>
    </row>
    <row r="2164" ht="18" customHeight="1" s="7">
      <c r="A2164" s="144" t="inlineStr">
        <is>
          <t>GUADAD ZERE</t>
        </is>
      </c>
      <c r="B2164" s="144" t="inlineStr">
        <is>
          <t>000040439323 NC</t>
        </is>
      </c>
      <c r="C2164" s="144" t="inlineStr">
        <is>
          <t>BANA TRUCKING</t>
        </is>
      </c>
      <c r="D2164" s="144" t="n">
        <v>9802583733</v>
      </c>
      <c r="E2164" s="144" t="inlineStr">
        <is>
          <t>BOX</t>
        </is>
      </c>
      <c r="F2164" s="144" t="inlineStr">
        <is>
          <t>NP9882 NV</t>
        </is>
      </c>
      <c r="G2164" s="144" t="inlineStr">
        <is>
          <t>WHITE FREIGHTLINER</t>
        </is>
      </c>
      <c r="H2164" s="144" t="n">
        <v>1221</v>
      </c>
      <c r="I2164" s="144" t="inlineStr">
        <is>
          <t>COMMERICAL</t>
        </is>
      </c>
    </row>
    <row r="2165" ht="18" customHeight="1" s="7">
      <c r="A2165" s="144" t="inlineStr">
        <is>
          <t>WALTER KIRBY</t>
        </is>
      </c>
      <c r="B2165" s="144" t="inlineStr">
        <is>
          <t>087511600 TN</t>
        </is>
      </c>
      <c r="C2165" s="144" t="inlineStr">
        <is>
          <t>BLAVOR</t>
        </is>
      </c>
      <c r="D2165" s="144" t="n">
        <v>9319800689</v>
      </c>
      <c r="E2165" s="144" t="inlineStr">
        <is>
          <t>BOX</t>
        </is>
      </c>
      <c r="F2165" s="144" t="inlineStr">
        <is>
          <t>AY296H NJ</t>
        </is>
      </c>
      <c r="G2165" s="144" t="inlineStr">
        <is>
          <t>WHITE VOLVO</t>
        </is>
      </c>
      <c r="H2165" s="144" t="n">
        <v>1221</v>
      </c>
      <c r="I2165" s="144" t="inlineStr">
        <is>
          <t>COMMERICAL</t>
        </is>
      </c>
    </row>
    <row r="2166" ht="18" customHeight="1" s="7">
      <c r="A2166" s="144" t="inlineStr">
        <is>
          <t>JARED EDWARDS</t>
        </is>
      </c>
      <c r="B2166" s="144" t="inlineStr">
        <is>
          <t>054171480 GA</t>
        </is>
      </c>
      <c r="C2166" s="144" t="inlineStr">
        <is>
          <t>INDUSTRIAL MANUFACTURING</t>
        </is>
      </c>
      <c r="D2166" s="144" t="n">
        <v>2293649646</v>
      </c>
      <c r="E2166" s="144" t="inlineStr">
        <is>
          <t>PU</t>
        </is>
      </c>
      <c r="F2166" s="144" t="inlineStr">
        <is>
          <t>SIT3637 GA</t>
        </is>
      </c>
      <c r="G2166" s="144" t="inlineStr">
        <is>
          <t>WHITE CHEV</t>
        </is>
      </c>
      <c r="H2166" s="144" t="inlineStr">
        <is>
          <t>WASTE WATER</t>
        </is>
      </c>
      <c r="I2166" s="144" t="inlineStr">
        <is>
          <t>CONTRACTOR</t>
        </is>
      </c>
    </row>
    <row r="2167" ht="18" customHeight="1" s="7">
      <c r="A2167" s="144" t="inlineStr">
        <is>
          <t>LUIS MARTINEZ</t>
        </is>
      </c>
      <c r="B2167" s="144" t="inlineStr">
        <is>
          <t>054857802 GA</t>
        </is>
      </c>
      <c r="C2167" s="144" t="inlineStr">
        <is>
          <t>PRO TRANS</t>
        </is>
      </c>
      <c r="D2167" s="144" t="n">
        <v>4045196546</v>
      </c>
      <c r="E2167" s="144" t="inlineStr">
        <is>
          <t>BOX</t>
        </is>
      </c>
      <c r="F2167" s="144" t="inlineStr">
        <is>
          <t>XE908B FL</t>
        </is>
      </c>
      <c r="G2167" s="144" t="inlineStr">
        <is>
          <t>BLUE INTERNATIONAL</t>
        </is>
      </c>
      <c r="H2167" s="144" t="n">
        <v>1221</v>
      </c>
      <c r="I2167" s="144" t="inlineStr">
        <is>
          <t>COMMERICAL</t>
        </is>
      </c>
    </row>
    <row r="2168" ht="18" customHeight="1" s="7">
      <c r="A2168" s="144" t="inlineStr">
        <is>
          <t>KIM SUNGJIN</t>
        </is>
      </c>
      <c r="B2168" s="144" t="inlineStr">
        <is>
          <t>KIMS308R9 CAN</t>
        </is>
      </c>
      <c r="C2168" s="144" t="inlineStr">
        <is>
          <t>TEAMS</t>
        </is>
      </c>
      <c r="D2168" s="144" t="n">
        <v>8007483267</v>
      </c>
      <c r="E2168" s="144" t="inlineStr">
        <is>
          <t>BOX</t>
        </is>
      </c>
      <c r="F2168" s="144" t="inlineStr">
        <is>
          <t>CPU196 CAN</t>
        </is>
      </c>
      <c r="G2168" s="144" t="inlineStr">
        <is>
          <t>WHITE KENWORTH</t>
        </is>
      </c>
      <c r="H2168" s="144" t="n">
        <v>1221</v>
      </c>
      <c r="I2168" s="144" t="inlineStr">
        <is>
          <t>COMMERICAL</t>
        </is>
      </c>
    </row>
    <row r="2169" ht="18" customHeight="1" s="7">
      <c r="A2169" s="144" t="inlineStr">
        <is>
          <t>ALEXIS TORRES</t>
        </is>
      </c>
      <c r="B2169" s="144" t="inlineStr">
        <is>
          <t>T226149466000 FL</t>
        </is>
      </c>
      <c r="C2169" s="144" t="inlineStr">
        <is>
          <t>GASAPRO</t>
        </is>
      </c>
      <c r="D2169" s="144" t="n">
        <v>4077619393</v>
      </c>
      <c r="E2169" s="144" t="inlineStr">
        <is>
          <t>FLAT</t>
        </is>
      </c>
      <c r="F2169" s="144" t="inlineStr">
        <is>
          <t>XA372D FL</t>
        </is>
      </c>
      <c r="G2169" s="144" t="inlineStr">
        <is>
          <t>WHITE KENWORTH</t>
        </is>
      </c>
      <c r="H2169" s="144" t="n">
        <v>1221</v>
      </c>
      <c r="I2169" s="144" t="inlineStr">
        <is>
          <t>COMMERICAL</t>
        </is>
      </c>
    </row>
    <row r="2170" ht="18" customHeight="1" s="7">
      <c r="A2170" s="144" t="inlineStr">
        <is>
          <t>BRANDON RAGAN</t>
        </is>
      </c>
      <c r="B2170" s="144" t="inlineStr">
        <is>
          <t>058327424 GA</t>
        </is>
      </c>
      <c r="C2170" s="144" t="inlineStr">
        <is>
          <t>COCA COLA</t>
        </is>
      </c>
      <c r="D2170" s="144" t="n">
        <v>2295630031</v>
      </c>
      <c r="E2170" s="144" t="inlineStr">
        <is>
          <t>BOX</t>
        </is>
      </c>
      <c r="F2170" s="144" t="inlineStr">
        <is>
          <t>P680CK GA</t>
        </is>
      </c>
      <c r="G2170" s="144" t="inlineStr">
        <is>
          <t>RED FREIGHTLINER</t>
        </is>
      </c>
      <c r="H2170" s="144" t="n">
        <v>1221</v>
      </c>
      <c r="I2170" s="144" t="inlineStr">
        <is>
          <t>COMMERICAL</t>
        </is>
      </c>
    </row>
    <row r="2171" ht="18" customHeight="1" s="7">
      <c r="A2171" s="144" t="inlineStr">
        <is>
          <t>JULIAN WASHINGTON</t>
        </is>
      </c>
      <c r="B2171" s="144" t="inlineStr">
        <is>
          <t>103048840 SC</t>
        </is>
      </c>
      <c r="C2171" s="144" t="inlineStr">
        <is>
          <t>PRO TRANS</t>
        </is>
      </c>
      <c r="D2171" s="144" t="n">
        <v>8433075850</v>
      </c>
      <c r="E2171" s="144" t="inlineStr">
        <is>
          <t>BOX</t>
        </is>
      </c>
      <c r="F2171" s="144" t="inlineStr">
        <is>
          <t>XE902B FL</t>
        </is>
      </c>
      <c r="G2171" s="144" t="inlineStr">
        <is>
          <t>BLUE INTERNATIONAL</t>
        </is>
      </c>
      <c r="H2171" s="144" t="n">
        <v>1221</v>
      </c>
      <c r="I2171" s="144" t="inlineStr">
        <is>
          <t>COMMERICAL</t>
        </is>
      </c>
    </row>
    <row r="2172" ht="18" customHeight="1" s="7">
      <c r="A2172" s="144" t="inlineStr">
        <is>
          <t>LESTER JOINER</t>
        </is>
      </c>
      <c r="B2172" s="144" t="inlineStr">
        <is>
          <t>058392668 GA</t>
        </is>
      </c>
      <c r="C2172" s="144" t="inlineStr">
        <is>
          <t>PRO TRANS</t>
        </is>
      </c>
      <c r="D2172" s="144" t="n">
        <v>4785950224</v>
      </c>
      <c r="E2172" s="144" t="inlineStr">
        <is>
          <t>BOX</t>
        </is>
      </c>
      <c r="F2172" s="144" t="inlineStr">
        <is>
          <t>XE934B FL</t>
        </is>
      </c>
      <c r="G2172" s="144" t="inlineStr">
        <is>
          <t>BLUE INTERNATIONAL</t>
        </is>
      </c>
      <c r="H2172" s="144" t="n">
        <v>1221</v>
      </c>
      <c r="I2172" s="144" t="inlineStr">
        <is>
          <t>COMMERICAL</t>
        </is>
      </c>
    </row>
    <row r="2173" ht="18" customHeight="1" s="7">
      <c r="A2173" s="144" t="inlineStr">
        <is>
          <t>VINSON SHARPE</t>
        </is>
      </c>
      <c r="B2173" s="144" t="inlineStr">
        <is>
          <t>028551081 GA</t>
        </is>
      </c>
      <c r="C2173" s="144" t="inlineStr">
        <is>
          <t>PRO TRANS</t>
        </is>
      </c>
      <c r="D2173" s="144" t="n">
        <v>9126500801</v>
      </c>
      <c r="E2173" s="144" t="inlineStr">
        <is>
          <t>BOX</t>
        </is>
      </c>
      <c r="F2173" s="144" t="inlineStr">
        <is>
          <t>XE891B FL</t>
        </is>
      </c>
      <c r="G2173" s="144" t="inlineStr">
        <is>
          <t>BLUE INTERNATIONAL</t>
        </is>
      </c>
      <c r="H2173" s="144" t="n">
        <v>1221</v>
      </c>
      <c r="I2173" s="144" t="inlineStr">
        <is>
          <t>COMMERICAL</t>
        </is>
      </c>
    </row>
    <row r="2174" ht="18" customHeight="1" s="7">
      <c r="A2174" s="144" t="inlineStr">
        <is>
          <t>PHILLIP ANDREWS</t>
        </is>
      </c>
      <c r="B2174" s="144" t="inlineStr">
        <is>
          <t>054111589 GA</t>
        </is>
      </c>
      <c r="C2174" s="144" t="inlineStr">
        <is>
          <t>ANDREWS HAUL</t>
        </is>
      </c>
      <c r="D2174" s="144" t="n">
        <v>7069757953</v>
      </c>
      <c r="E2174" s="144" t="inlineStr">
        <is>
          <t>PU</t>
        </is>
      </c>
      <c r="F2174" s="144" t="inlineStr">
        <is>
          <t>SEA2390</t>
        </is>
      </c>
      <c r="G2174" s="144" t="inlineStr">
        <is>
          <t>WHITE FORD</t>
        </is>
      </c>
      <c r="H2174" s="144" t="n">
        <v>1221</v>
      </c>
      <c r="I2174" s="144" t="inlineStr">
        <is>
          <t>CONTRACTOR</t>
        </is>
      </c>
    </row>
    <row r="2175" ht="18" customHeight="1" s="7">
      <c r="A2175" s="144" t="inlineStr">
        <is>
          <t>PEDRO CRIMPIM</t>
        </is>
      </c>
      <c r="B2175" s="144" t="inlineStr">
        <is>
          <t>070632385 GA</t>
        </is>
      </c>
      <c r="C2175" s="144" t="inlineStr">
        <is>
          <t>QUICKSHIFT LLC</t>
        </is>
      </c>
      <c r="D2175" s="144" t="n">
        <v>4159337140</v>
      </c>
      <c r="E2175" s="144" t="inlineStr">
        <is>
          <t>PU</t>
        </is>
      </c>
      <c r="F2175" s="144" t="inlineStr">
        <is>
          <t>CWV3551 GA</t>
        </is>
      </c>
      <c r="G2175" s="144" t="inlineStr">
        <is>
          <t>WHITE DODGE</t>
        </is>
      </c>
      <c r="H2175" s="144" t="n">
        <v>1221</v>
      </c>
      <c r="I2175" s="144" t="inlineStr">
        <is>
          <t>CONTRACTOR</t>
        </is>
      </c>
    </row>
    <row r="2176" ht="18" customHeight="1" s="7">
      <c r="A2176" s="144" t="inlineStr">
        <is>
          <t>ANTHONY BROWN</t>
        </is>
      </c>
      <c r="B2176" s="144" t="inlineStr">
        <is>
          <t>054287165 GA</t>
        </is>
      </c>
      <c r="C2176" s="144" t="inlineStr">
        <is>
          <t>ESTES</t>
        </is>
      </c>
      <c r="D2176" s="144" t="n">
        <v>9047267699</v>
      </c>
      <c r="E2176" s="144" t="inlineStr">
        <is>
          <t>BOX</t>
        </is>
      </c>
      <c r="F2176" s="144" t="inlineStr">
        <is>
          <t>3586793 IN</t>
        </is>
      </c>
      <c r="G2176" s="144" t="inlineStr">
        <is>
          <t>YELLOW KENWORTH</t>
        </is>
      </c>
      <c r="H2176" s="144" t="n">
        <v>1221</v>
      </c>
      <c r="I2176" s="144" t="inlineStr">
        <is>
          <t>COMMERICAL</t>
        </is>
      </c>
    </row>
    <row r="2177" ht="18" customHeight="1" s="7">
      <c r="A2177" s="144" t="inlineStr">
        <is>
          <t>MCCORD LOREN</t>
        </is>
      </c>
      <c r="B2177" s="144" t="inlineStr">
        <is>
          <t>009539978 LO</t>
        </is>
      </c>
      <c r="C2177" s="144" t="inlineStr">
        <is>
          <t>LEI</t>
        </is>
      </c>
      <c r="D2177" s="144" t="n">
        <v>2299384982</v>
      </c>
      <c r="E2177" s="144" t="inlineStr">
        <is>
          <t>BOX</t>
        </is>
      </c>
      <c r="F2177" s="144" t="inlineStr">
        <is>
          <t>2986175 IN</t>
        </is>
      </c>
      <c r="G2177" s="144" t="inlineStr">
        <is>
          <t>GREY FREIGHTLINER</t>
        </is>
      </c>
      <c r="H2177" s="144" t="n">
        <v>1221</v>
      </c>
      <c r="I2177" s="144" t="inlineStr">
        <is>
          <t>COMMERCIAL</t>
        </is>
      </c>
    </row>
    <row r="2178" ht="18" customHeight="1" s="7">
      <c r="A2178" s="144" t="inlineStr">
        <is>
          <t xml:space="preserve">SHEPHERD SYNTHIA </t>
        </is>
      </c>
      <c r="B2178" s="144" t="inlineStr">
        <is>
          <t>8903620644 IN</t>
        </is>
      </c>
      <c r="C2178" s="144" t="inlineStr">
        <is>
          <t>MERCER TRANS</t>
        </is>
      </c>
      <c r="D2178" s="144" t="n">
        <v>7655780055</v>
      </c>
      <c r="E2178" s="144" t="inlineStr">
        <is>
          <t>FLAT</t>
        </is>
      </c>
      <c r="F2178" s="144" t="inlineStr">
        <is>
          <t>3010007 IN</t>
        </is>
      </c>
      <c r="G2178" s="144" t="inlineStr">
        <is>
          <t>WHITE PETERBILT</t>
        </is>
      </c>
      <c r="H2178" s="144" t="n">
        <v>1221</v>
      </c>
      <c r="I2178" s="144" t="inlineStr">
        <is>
          <t>COMMERCIAL</t>
        </is>
      </c>
    </row>
    <row r="2179" ht="18" customHeight="1" s="7">
      <c r="A2179" s="144" t="inlineStr">
        <is>
          <t>DEONDRA HICKS</t>
        </is>
      </c>
      <c r="B2179" s="144" t="inlineStr">
        <is>
          <t>6638115 AL</t>
        </is>
      </c>
      <c r="C2179" s="144" t="inlineStr">
        <is>
          <t>SLT TRANS</t>
        </is>
      </c>
      <c r="D2179" s="144" t="n">
        <v>3344259207</v>
      </c>
      <c r="E2179" s="144" t="inlineStr">
        <is>
          <t>FLAT</t>
        </is>
      </c>
      <c r="F2179" s="144" t="inlineStr">
        <is>
          <t>1222528 AL</t>
        </is>
      </c>
      <c r="G2179" s="144" t="inlineStr">
        <is>
          <t>WHITE KENWORTH</t>
        </is>
      </c>
      <c r="H2179" s="144" t="n">
        <v>1221</v>
      </c>
      <c r="I2179" s="144" t="inlineStr">
        <is>
          <t>COMMERICAL</t>
        </is>
      </c>
    </row>
    <row r="2180" ht="18" customHeight="1" s="7">
      <c r="A2180" s="144" t="inlineStr">
        <is>
          <t>DONALD BAUMAN</t>
        </is>
      </c>
      <c r="B2180" s="144" t="inlineStr">
        <is>
          <t>057586940 GA</t>
        </is>
      </c>
      <c r="C2180" s="144" t="inlineStr">
        <is>
          <t>MILES TOWING</t>
        </is>
      </c>
      <c r="D2180" s="144" t="n">
        <v>2298865442</v>
      </c>
      <c r="E2180" s="144" t="inlineStr">
        <is>
          <t>WRECKER</t>
        </is>
      </c>
      <c r="F2180" s="144" t="inlineStr">
        <is>
          <t>ETY956 GA</t>
        </is>
      </c>
      <c r="G2180" s="144" t="inlineStr">
        <is>
          <t>BLUE PETERBILT</t>
        </is>
      </c>
      <c r="H2180" s="144" t="inlineStr">
        <is>
          <t>MCX</t>
        </is>
      </c>
      <c r="I2180" s="144" t="inlineStr">
        <is>
          <t>COMMERICAL</t>
        </is>
      </c>
    </row>
    <row r="2181" ht="18" customHeight="1" s="7">
      <c r="A2181" s="144" t="inlineStr">
        <is>
          <t>GEORGE WOMACK</t>
        </is>
      </c>
      <c r="B2181" s="144" t="inlineStr">
        <is>
          <t>*056202758 GA</t>
        </is>
      </c>
      <c r="C2181" s="144" t="inlineStr">
        <is>
          <t>APPLE MOVING</t>
        </is>
      </c>
      <c r="D2181" s="144" t="n">
        <v>7065705526</v>
      </c>
      <c r="E2181" s="144" t="inlineStr">
        <is>
          <t>BOX</t>
        </is>
      </c>
      <c r="F2181" s="144" t="inlineStr">
        <is>
          <t>49561P VA</t>
        </is>
      </c>
      <c r="G2181" s="144" t="inlineStr">
        <is>
          <t>WHITE MACK</t>
        </is>
      </c>
      <c r="H2181" s="144" t="inlineStr">
        <is>
          <t>HOUSING</t>
        </is>
      </c>
      <c r="I2181" s="144" t="inlineStr">
        <is>
          <t>COMMERCIAL</t>
        </is>
      </c>
    </row>
    <row r="2182" ht="18" customHeight="1" s="7">
      <c r="A2182" s="144" t="inlineStr">
        <is>
          <t>JEAN IRIE</t>
        </is>
      </c>
      <c r="B2182" s="144" t="inlineStr">
        <is>
          <t>*065685025 GA</t>
        </is>
      </c>
      <c r="C2182" s="144" t="inlineStr">
        <is>
          <t>JRI HAULING</t>
        </is>
      </c>
      <c r="D2182" s="144" t="n">
        <v>6782410242</v>
      </c>
      <c r="E2182" s="144" t="inlineStr">
        <is>
          <t>BOX</t>
        </is>
      </c>
      <c r="F2182" s="144" t="inlineStr">
        <is>
          <t>C688EW GA</t>
        </is>
      </c>
      <c r="G2182" s="144" t="inlineStr">
        <is>
          <t>BLUE KENWORTH</t>
        </is>
      </c>
      <c r="H2182" s="144" t="n">
        <v>1221</v>
      </c>
      <c r="I2182" s="144" t="inlineStr">
        <is>
          <t>COMMERCIAL</t>
        </is>
      </c>
    </row>
    <row r="2183" ht="18" customHeight="1" s="7">
      <c r="A2183" s="144" t="inlineStr">
        <is>
          <t>CARLOS  PENA III</t>
        </is>
      </c>
      <c r="B2183" s="144" t="inlineStr">
        <is>
          <t>*04432035 TX</t>
        </is>
      </c>
      <c r="C2183" s="144" t="inlineStr">
        <is>
          <t>LANDSTAR</t>
        </is>
      </c>
      <c r="D2183" s="144" t="n">
        <v>2105693360</v>
      </c>
      <c r="E2183" s="144" t="inlineStr">
        <is>
          <t>BOX</t>
        </is>
      </c>
      <c r="F2183" s="144" t="inlineStr">
        <is>
          <t>3615947 IN</t>
        </is>
      </c>
      <c r="G2183" s="144" t="inlineStr">
        <is>
          <t>GRAY KENWORTH</t>
        </is>
      </c>
      <c r="H2183" s="144" t="n">
        <v>1221</v>
      </c>
      <c r="I2183" s="144" t="inlineStr">
        <is>
          <t>COMMERCIAL</t>
        </is>
      </c>
    </row>
    <row r="2184" ht="18" customHeight="1" s="7">
      <c r="A2184" s="144" t="inlineStr">
        <is>
          <t>THOMAS GUESLY</t>
        </is>
      </c>
      <c r="B2184" s="144" t="inlineStr">
        <is>
          <t>T520280850630 FL</t>
        </is>
      </c>
      <c r="C2184" s="144" t="inlineStr">
        <is>
          <t>LOAD MODE</t>
        </is>
      </c>
      <c r="D2184" s="144" t="n">
        <v>7542378559</v>
      </c>
      <c r="E2184" s="144" t="inlineStr">
        <is>
          <t>BOX</t>
        </is>
      </c>
      <c r="F2184" s="144" t="inlineStr">
        <is>
          <t>PXC6523 OH</t>
        </is>
      </c>
      <c r="G2184" s="144" t="inlineStr">
        <is>
          <t>WHITE FREIGHTLINER</t>
        </is>
      </c>
      <c r="H2184" s="144" t="n">
        <v>1221</v>
      </c>
      <c r="I2184" s="144" t="inlineStr">
        <is>
          <t>COMMERCIAL</t>
        </is>
      </c>
    </row>
    <row r="2185" ht="18" customHeight="1" s="7">
      <c r="A2185" s="144" t="inlineStr">
        <is>
          <t>JONES JASON</t>
        </is>
      </c>
      <c r="B2185" s="144" t="inlineStr">
        <is>
          <t>J520430911660 FL</t>
        </is>
      </c>
      <c r="C2185" s="144" t="inlineStr">
        <is>
          <t>EMR EXPRESS</t>
        </is>
      </c>
      <c r="D2185" s="144" t="n">
        <v>2398876097</v>
      </c>
      <c r="E2185" s="144" t="inlineStr">
        <is>
          <t>BOX</t>
        </is>
      </c>
      <c r="F2185" s="144" t="inlineStr">
        <is>
          <t>P1003090 IL</t>
        </is>
      </c>
      <c r="G2185" s="144" t="inlineStr">
        <is>
          <t>WHITE FREIGHTLINER</t>
        </is>
      </c>
      <c r="H2185" s="144" t="n">
        <v>1221</v>
      </c>
      <c r="I2185" s="144" t="inlineStr">
        <is>
          <t>COMMERCIAL</t>
        </is>
      </c>
    </row>
    <row r="2186" ht="18" customHeight="1" s="7">
      <c r="A2186" s="144" t="inlineStr">
        <is>
          <t>JAMES BRAY</t>
        </is>
      </c>
      <c r="B2186" s="144" t="inlineStr">
        <is>
          <t>*056440381 GA</t>
        </is>
      </c>
      <c r="C2186" s="144" t="inlineStr">
        <is>
          <t>CITY OF ALBANY</t>
        </is>
      </c>
      <c r="D2186" s="144" t="n">
        <v>2293955157</v>
      </c>
      <c r="E2186" s="144" t="inlineStr">
        <is>
          <t>PU</t>
        </is>
      </c>
      <c r="F2186" s="144" t="inlineStr">
        <is>
          <t>GV9727N GA</t>
        </is>
      </c>
      <c r="G2186" s="144" t="inlineStr">
        <is>
          <t>WHITE FORD</t>
        </is>
      </c>
      <c r="H2186" s="144" t="n">
        <v>5500</v>
      </c>
      <c r="I2186" s="144" t="inlineStr">
        <is>
          <t>CONTRACTOR</t>
        </is>
      </c>
    </row>
    <row r="2187" ht="18" customHeight="1" s="7">
      <c r="A2187" s="144" t="inlineStr">
        <is>
          <t>SHIQUAN HUNTER</t>
        </is>
      </c>
      <c r="B2187" s="144" t="inlineStr">
        <is>
          <t>*057978832 GA</t>
        </is>
      </c>
      <c r="C2187" s="144" t="inlineStr">
        <is>
          <t>COCA COLA</t>
        </is>
      </c>
      <c r="D2187" s="144" t="n">
        <v>2295398608</v>
      </c>
      <c r="E2187" s="144" t="inlineStr">
        <is>
          <t>FLAT</t>
        </is>
      </c>
      <c r="F2187" s="144" t="inlineStr">
        <is>
          <t>P792CG GA</t>
        </is>
      </c>
      <c r="G2187" s="144" t="inlineStr">
        <is>
          <t>RED INTER</t>
        </is>
      </c>
      <c r="H2187" s="144" t="n">
        <v>7501</v>
      </c>
      <c r="I2187" s="144" t="inlineStr">
        <is>
          <t>COMMERCIAL</t>
        </is>
      </c>
    </row>
    <row r="2188" ht="18" customHeight="1" s="7">
      <c r="A2188" s="144" t="inlineStr">
        <is>
          <t>ROMELL BOURNE</t>
        </is>
      </c>
      <c r="B2188" s="144" t="inlineStr">
        <is>
          <t>*053474085 GA</t>
        </is>
      </c>
      <c r="C2188" s="144" t="inlineStr">
        <is>
          <t>SPARTAN NASH</t>
        </is>
      </c>
      <c r="D2188" s="144" t="n">
        <v>8033482777</v>
      </c>
      <c r="E2188" s="144" t="inlineStr">
        <is>
          <t>BOX</t>
        </is>
      </c>
      <c r="F2188" s="144" t="inlineStr">
        <is>
          <t>220363 NE</t>
        </is>
      </c>
      <c r="G2188" s="144" t="inlineStr">
        <is>
          <t>WHITE INTER</t>
        </is>
      </c>
      <c r="H2188" s="144" t="n">
        <v>7500</v>
      </c>
      <c r="I2188" s="144" t="inlineStr">
        <is>
          <t>COMMERCIAL</t>
        </is>
      </c>
    </row>
    <row r="2189" ht="18" customHeight="1" s="7">
      <c r="A2189" s="144" t="inlineStr">
        <is>
          <t>CHRISTOPHER WIARD</t>
        </is>
      </c>
      <c r="B2189" s="144" t="inlineStr">
        <is>
          <t>*055626078 GA</t>
        </is>
      </c>
      <c r="C2189" s="144" t="inlineStr">
        <is>
          <t>SEPTIC SOLUTIONS</t>
        </is>
      </c>
      <c r="D2189" s="144" t="n">
        <v>2298949679</v>
      </c>
      <c r="E2189" s="144" t="inlineStr">
        <is>
          <t>PU</t>
        </is>
      </c>
      <c r="F2189" s="144" t="inlineStr">
        <is>
          <t>P6694452 GA</t>
        </is>
      </c>
      <c r="G2189" s="144" t="inlineStr">
        <is>
          <t>WHITE CHEVY</t>
        </is>
      </c>
      <c r="H2189" s="144" t="n">
        <v>5500</v>
      </c>
      <c r="I2189" s="144" t="inlineStr">
        <is>
          <t>CONTRACTOR</t>
        </is>
      </c>
    </row>
    <row r="2190" ht="18" customHeight="1" s="7">
      <c r="A2190" s="144" t="inlineStr">
        <is>
          <t>MIKLICA ALEN</t>
        </is>
      </c>
      <c r="B2190" s="144" t="inlineStr">
        <is>
          <t>M99328112 KY</t>
        </is>
      </c>
      <c r="C2190" s="144" t="inlineStr">
        <is>
          <t>DALMATIAN EXPRESS</t>
        </is>
      </c>
      <c r="D2190" s="144" t="n">
        <v>2707991354</v>
      </c>
      <c r="E2190" s="144" t="inlineStr">
        <is>
          <t>BOX</t>
        </is>
      </c>
      <c r="F2190" s="144" t="inlineStr">
        <is>
          <t>A69952 KY</t>
        </is>
      </c>
      <c r="G2190" s="144" t="inlineStr">
        <is>
          <t>GREEN VOLVO</t>
        </is>
      </c>
      <c r="H2190" s="144" t="n">
        <v>1221</v>
      </c>
      <c r="I2190" s="144" t="inlineStr">
        <is>
          <t>COMMERCIAL</t>
        </is>
      </c>
    </row>
    <row r="2191" ht="18" customHeight="1" s="7">
      <c r="A2191" s="144" t="inlineStr">
        <is>
          <t>MANIRAKIZA ALEX</t>
        </is>
      </c>
      <c r="B2191" s="144" t="inlineStr">
        <is>
          <t>M10997700 KY</t>
        </is>
      </c>
      <c r="C2191" s="144" t="inlineStr">
        <is>
          <t>KING EAGLE</t>
        </is>
      </c>
      <c r="D2191" s="144" t="n">
        <v>5025338029</v>
      </c>
      <c r="E2191" s="144" t="inlineStr">
        <is>
          <t>BOX</t>
        </is>
      </c>
      <c r="F2191" s="144" t="inlineStr">
        <is>
          <t>C071240 UT</t>
        </is>
      </c>
      <c r="G2191" s="144" t="inlineStr">
        <is>
          <t>RED FREIGHTLINER</t>
        </is>
      </c>
      <c r="H2191" s="144" t="n">
        <v>1221</v>
      </c>
      <c r="I2191" s="144" t="inlineStr">
        <is>
          <t>COMMERCIAL</t>
        </is>
      </c>
    </row>
    <row r="2192" ht="18" customHeight="1" s="7">
      <c r="A2192" s="144" t="inlineStr">
        <is>
          <t>ALFRED MOORE JR</t>
        </is>
      </c>
      <c r="B2192" s="144" t="inlineStr">
        <is>
          <t>*057469734 GA</t>
        </is>
      </c>
      <c r="C2192" s="144" t="inlineStr">
        <is>
          <t>ESTES</t>
        </is>
      </c>
      <c r="D2192" s="144" t="n">
        <v>2299470742</v>
      </c>
      <c r="E2192" s="144" t="inlineStr">
        <is>
          <t>BOX</t>
        </is>
      </c>
      <c r="F2192" s="144" t="inlineStr">
        <is>
          <t>3584570 IN</t>
        </is>
      </c>
      <c r="G2192" s="144" t="inlineStr">
        <is>
          <t>WHITE FREIGHTLINER</t>
        </is>
      </c>
      <c r="H2192" s="144" t="n">
        <v>1221</v>
      </c>
      <c r="I2192" s="144" t="inlineStr">
        <is>
          <t>COMMERCIAL</t>
        </is>
      </c>
    </row>
    <row r="2193" ht="18" customHeight="1" s="7">
      <c r="A2193" s="144" t="inlineStr">
        <is>
          <t>JEAN KENSON</t>
        </is>
      </c>
      <c r="B2193" s="144" t="inlineStr">
        <is>
          <t>J542500701480 FL</t>
        </is>
      </c>
      <c r="C2193" s="144" t="inlineStr">
        <is>
          <t>TAYLOR TRANS</t>
        </is>
      </c>
      <c r="D2193" s="144" t="n">
        <v>7722405813</v>
      </c>
      <c r="E2193" s="144" t="inlineStr">
        <is>
          <t>BOX</t>
        </is>
      </c>
      <c r="F2193" s="144" t="inlineStr">
        <is>
          <t>PXB5333 OH</t>
        </is>
      </c>
      <c r="G2193" s="144" t="inlineStr">
        <is>
          <t>RED FREIGHTLINER</t>
        </is>
      </c>
      <c r="H2193" s="144" t="n">
        <v>1221</v>
      </c>
      <c r="I2193" s="144" t="inlineStr">
        <is>
          <t>COMMERCIAL</t>
        </is>
      </c>
    </row>
    <row r="2194" ht="18" customHeight="1" s="7">
      <c r="A2194" s="144" t="inlineStr">
        <is>
          <t>PIMENTA FABIANO</t>
        </is>
      </c>
      <c r="B2194" s="144" t="inlineStr">
        <is>
          <t>P553240800300 FL</t>
        </is>
      </c>
      <c r="C2194" s="144" t="inlineStr">
        <is>
          <t>CONPLAST</t>
        </is>
      </c>
      <c r="D2194" s="144" t="n">
        <v>6198671672</v>
      </c>
      <c r="E2194" s="144" t="inlineStr">
        <is>
          <t>BOX</t>
        </is>
      </c>
      <c r="F2194" s="144" t="inlineStr">
        <is>
          <t>P1259174 IL</t>
        </is>
      </c>
      <c r="G2194" s="144" t="inlineStr">
        <is>
          <t>RED WESTERN</t>
        </is>
      </c>
      <c r="H2194" s="144" t="n">
        <v>1221</v>
      </c>
      <c r="I2194" s="144" t="inlineStr">
        <is>
          <t>COMMERCIAL</t>
        </is>
      </c>
    </row>
    <row r="2195" ht="18" customHeight="1" s="7">
      <c r="A2195" s="144" t="inlineStr">
        <is>
          <t>ROBINSON AMIL</t>
        </is>
      </c>
      <c r="B2195" s="144" t="inlineStr">
        <is>
          <t>R152000672170 FL</t>
        </is>
      </c>
      <c r="C2195" s="144" t="inlineStr">
        <is>
          <t>BILLOR TRANS</t>
        </is>
      </c>
      <c r="D2195" s="144" t="n">
        <v>8638525954</v>
      </c>
      <c r="E2195" s="144" t="inlineStr">
        <is>
          <t>FLAT</t>
        </is>
      </c>
      <c r="F2195" s="144" t="inlineStr">
        <is>
          <t>VV9771 NC</t>
        </is>
      </c>
      <c r="G2195" s="144" t="inlineStr">
        <is>
          <t>GRAY FREIGHT</t>
        </is>
      </c>
      <c r="H2195" s="144" t="n">
        <v>1221</v>
      </c>
      <c r="I2195" s="144" t="inlineStr">
        <is>
          <t>COMMERCIAL</t>
        </is>
      </c>
    </row>
    <row r="2196" ht="18" customHeight="1" s="7">
      <c r="A2196" s="144" t="inlineStr">
        <is>
          <t>SCOTT CREECH</t>
        </is>
      </c>
      <c r="B2196" s="144" t="inlineStr">
        <is>
          <t>802282962 MS</t>
        </is>
      </c>
      <c r="C2196" s="144" t="inlineStr">
        <is>
          <t>LANDSTAR</t>
        </is>
      </c>
      <c r="D2196" s="144" t="n">
        <v>2285960459</v>
      </c>
      <c r="E2196" s="144" t="inlineStr">
        <is>
          <t>VAN</t>
        </is>
      </c>
      <c r="F2196" s="144" t="inlineStr">
        <is>
          <t>1CX719 MS</t>
        </is>
      </c>
      <c r="G2196" s="144" t="inlineStr">
        <is>
          <t xml:space="preserve"> WHITE MERCEDES</t>
        </is>
      </c>
      <c r="H2196" s="144" t="n">
        <v>1221</v>
      </c>
      <c r="I2196" s="144" t="inlineStr">
        <is>
          <t>CONTRACTOR</t>
        </is>
      </c>
    </row>
    <row r="2197" ht="18" customHeight="1" s="7">
      <c r="A2197" s="144" t="inlineStr">
        <is>
          <t>JEFF BAJARD</t>
        </is>
      </c>
      <c r="B2197" s="144" t="inlineStr">
        <is>
          <t>*070787057 GA</t>
        </is>
      </c>
      <c r="C2197" s="144" t="inlineStr">
        <is>
          <t>MB GLOBAL</t>
        </is>
      </c>
      <c r="D2197" s="144" t="n">
        <v>4702220465</v>
      </c>
      <c r="E2197" s="144" t="inlineStr">
        <is>
          <t>BOX</t>
        </is>
      </c>
      <c r="F2197" s="144" t="inlineStr">
        <is>
          <t>3266639 IN</t>
        </is>
      </c>
      <c r="G2197" s="144" t="inlineStr">
        <is>
          <t>WHITE VOLVO</t>
        </is>
      </c>
      <c r="H2197" s="144" t="n">
        <v>1221</v>
      </c>
      <c r="I2197" s="144" t="inlineStr">
        <is>
          <t>COMMERICAL</t>
        </is>
      </c>
    </row>
    <row r="2198" ht="18" customHeight="1" s="7">
      <c r="A2198" s="144" t="inlineStr">
        <is>
          <t>CHRISTOPHER MILLER</t>
        </is>
      </c>
      <c r="B2198" s="144" t="inlineStr">
        <is>
          <t>*057914943 GA</t>
        </is>
      </c>
      <c r="C2198" s="144" t="inlineStr">
        <is>
          <t>A WEST</t>
        </is>
      </c>
      <c r="D2198" s="144" t="n">
        <v>2298888347</v>
      </c>
      <c r="E2198" s="144" t="inlineStr">
        <is>
          <t>PU</t>
        </is>
      </c>
      <c r="F2198" s="144" t="inlineStr">
        <is>
          <t>RGQ1473 GA</t>
        </is>
      </c>
      <c r="G2198" s="144" t="inlineStr">
        <is>
          <t>WHITE CHEVY</t>
        </is>
      </c>
      <c r="H2198" s="144" t="inlineStr">
        <is>
          <t>K9</t>
        </is>
      </c>
      <c r="I2198" s="144" t="inlineStr">
        <is>
          <t>CONTRACTOR</t>
        </is>
      </c>
    </row>
    <row r="2199" ht="18" customHeight="1" s="7">
      <c r="A2199" s="144" t="inlineStr">
        <is>
          <t>SEMERE GEBREMSKEL</t>
        </is>
      </c>
      <c r="B2199" s="144" t="inlineStr">
        <is>
          <t>41082013 TX</t>
        </is>
      </c>
      <c r="C2199" s="144" t="inlineStr">
        <is>
          <t>DRNG LOGISTICS</t>
        </is>
      </c>
      <c r="D2199" s="144" t="n">
        <v>2146736718</v>
      </c>
      <c r="E2199" s="144" t="inlineStr">
        <is>
          <t>BOX</t>
        </is>
      </c>
      <c r="F2199" s="144" t="inlineStr">
        <is>
          <t>R469080 TX</t>
        </is>
      </c>
      <c r="G2199" s="144" t="inlineStr">
        <is>
          <t>ORANGE PETERBILT</t>
        </is>
      </c>
      <c r="H2199" s="144" t="n">
        <v>1221</v>
      </c>
      <c r="I2199" s="144" t="inlineStr">
        <is>
          <t>COMMERCIAL</t>
        </is>
      </c>
    </row>
    <row r="2200" ht="18" customHeight="1" s="7">
      <c r="A2200" s="144" t="inlineStr">
        <is>
          <t>SINGH BALDEV</t>
        </is>
      </c>
      <c r="B2200" s="144" t="inlineStr">
        <is>
          <t>Y6568024 CA</t>
        </is>
      </c>
      <c r="C2200" s="144" t="inlineStr">
        <is>
          <t>KING SPADE</t>
        </is>
      </c>
      <c r="D2200" s="144" t="n">
        <v>6619036314</v>
      </c>
      <c r="E2200" s="144" t="inlineStr">
        <is>
          <t>BOX</t>
        </is>
      </c>
      <c r="F2200" s="144" t="inlineStr">
        <is>
          <t>XP85021 CA</t>
        </is>
      </c>
      <c r="G2200" s="144" t="inlineStr">
        <is>
          <t>WHITE VOLVO</t>
        </is>
      </c>
      <c r="H2200" s="144" t="n">
        <v>1351</v>
      </c>
      <c r="I2200" s="144" t="inlineStr">
        <is>
          <t>COMMERCIAL</t>
        </is>
      </c>
    </row>
    <row r="2201" ht="18" customHeight="1" s="7">
      <c r="A2201" s="144" t="inlineStr">
        <is>
          <t>JAMEEL ABDULRAHMAN</t>
        </is>
      </c>
      <c r="B2201" s="144" t="inlineStr">
        <is>
          <t>J13391600 KY</t>
        </is>
      </c>
      <c r="C2201" s="144" t="inlineStr">
        <is>
          <t>ON TRACK TRANS</t>
        </is>
      </c>
      <c r="D2201" s="144" t="n">
        <v>5023191937</v>
      </c>
      <c r="E2201" s="144" t="inlineStr">
        <is>
          <t>VAN</t>
        </is>
      </c>
      <c r="F2201" s="144" t="inlineStr">
        <is>
          <t>P7X373 KY</t>
        </is>
      </c>
      <c r="G2201" s="144" t="inlineStr">
        <is>
          <t>WHITE FORD</t>
        </is>
      </c>
      <c r="H2201" s="144" t="n">
        <v>1221</v>
      </c>
      <c r="I2201" s="144" t="inlineStr">
        <is>
          <t>CONTRACTOR</t>
        </is>
      </c>
    </row>
    <row r="2202" ht="18" customHeight="1" s="7">
      <c r="A2202" s="144" t="inlineStr">
        <is>
          <t>MARK GILES</t>
        </is>
      </c>
      <c r="B2202" s="144" t="inlineStr">
        <is>
          <t>11786108 TX</t>
        </is>
      </c>
      <c r="C2202" s="144" t="inlineStr">
        <is>
          <t>OCEAN FREIGHT LINES</t>
        </is>
      </c>
      <c r="D2202" s="144" t="n">
        <v>9402299915</v>
      </c>
      <c r="E2202" s="144" t="inlineStr">
        <is>
          <t>BOX</t>
        </is>
      </c>
      <c r="F2202" s="144" t="inlineStr">
        <is>
          <t>SPG515113 IL</t>
        </is>
      </c>
      <c r="G2202" s="144" t="inlineStr">
        <is>
          <t>WHITE FREIGHTLINER</t>
        </is>
      </c>
      <c r="H2202" s="144" t="n">
        <v>1221</v>
      </c>
      <c r="I2202" s="144" t="inlineStr">
        <is>
          <t>COMMERCIAL</t>
        </is>
      </c>
    </row>
    <row r="2203" ht="18" customHeight="1" s="7">
      <c r="A2203" s="144" t="inlineStr">
        <is>
          <t>BRIAN SHIPLEY</t>
        </is>
      </c>
      <c r="B2203" s="144" t="inlineStr">
        <is>
          <t>S14007659380C FL</t>
        </is>
      </c>
      <c r="C2203" s="144" t="inlineStr">
        <is>
          <t>TURNER TRANS</t>
        </is>
      </c>
      <c r="D2203" s="144" t="n">
        <v>3522661177</v>
      </c>
      <c r="E2203" s="144" t="inlineStr">
        <is>
          <t>BOX</t>
        </is>
      </c>
      <c r="F2203" s="144" t="inlineStr">
        <is>
          <t>A011065 SC</t>
        </is>
      </c>
      <c r="G2203" s="144" t="inlineStr">
        <is>
          <t>BLACK KENWORTH</t>
        </is>
      </c>
      <c r="H2203" s="144" t="n">
        <v>1221</v>
      </c>
      <c r="I2203" s="144" t="inlineStr">
        <is>
          <t>COMMERCIAL</t>
        </is>
      </c>
    </row>
    <row r="2204" ht="18" customHeight="1" s="7">
      <c r="A2204" s="144" t="inlineStr">
        <is>
          <t>CAMERON FIELDER</t>
        </is>
      </c>
      <c r="B2204" s="144" t="inlineStr">
        <is>
          <t>*052976229 GA</t>
        </is>
      </c>
      <c r="C2204" s="144" t="inlineStr">
        <is>
          <t xml:space="preserve"> SYNGERIC INDUST</t>
        </is>
      </c>
      <c r="D2204" s="144" t="n">
        <v>7068198181</v>
      </c>
      <c r="E2204" s="144" t="inlineStr">
        <is>
          <t>PU</t>
        </is>
      </c>
      <c r="F2204" s="144" t="inlineStr">
        <is>
          <t>CRG5099 GA</t>
        </is>
      </c>
      <c r="G2204" s="144" t="inlineStr">
        <is>
          <t>RED FORD</t>
        </is>
      </c>
      <c r="H2204" s="144" t="n">
        <v>1221</v>
      </c>
      <c r="I2204" s="144" t="inlineStr">
        <is>
          <t>CONTRACTOR</t>
        </is>
      </c>
    </row>
    <row r="2205" ht="18" customHeight="1" s="7">
      <c r="A2205" s="144" t="inlineStr">
        <is>
          <t>SIDNEY AVERETT</t>
        </is>
      </c>
      <c r="B2205" s="144" t="inlineStr">
        <is>
          <t>6504924 AL</t>
        </is>
      </c>
      <c r="C2205" s="144" t="inlineStr">
        <is>
          <t>NATION FREIGHT</t>
        </is>
      </c>
      <c r="D2205" s="144" t="n">
        <v>2562676714</v>
      </c>
      <c r="E2205" s="144" t="inlineStr">
        <is>
          <t>BOX</t>
        </is>
      </c>
      <c r="F2205" s="144" t="inlineStr">
        <is>
          <t>P1226660 IL</t>
        </is>
      </c>
      <c r="G2205" s="144" t="inlineStr">
        <is>
          <t>WHITE INTERNATIONAL</t>
        </is>
      </c>
      <c r="H2205" s="144" t="n">
        <v>1221</v>
      </c>
      <c r="I2205" s="144" t="inlineStr">
        <is>
          <t>COMMERCIAL</t>
        </is>
      </c>
    </row>
    <row r="2206" ht="18" customHeight="1" s="7">
      <c r="A2206" s="144" t="inlineStr">
        <is>
          <t>TOBY OPPENHEIMER</t>
        </is>
      </c>
      <c r="B2206" s="144" t="inlineStr">
        <is>
          <t>O155817743500 FL</t>
        </is>
      </c>
      <c r="C2206" s="144" t="inlineStr">
        <is>
          <t>AAT CARRIERS</t>
        </is>
      </c>
      <c r="D2206" s="144" t="n">
        <v>8506421864</v>
      </c>
      <c r="E2206" s="144" t="inlineStr">
        <is>
          <t>BOX</t>
        </is>
      </c>
      <c r="F2206" s="144" t="inlineStr">
        <is>
          <t>3762063 IN</t>
        </is>
      </c>
      <c r="G2206" s="144" t="inlineStr">
        <is>
          <t>WHITE FREIGHTLINER</t>
        </is>
      </c>
      <c r="H2206" s="144" t="n">
        <v>1221</v>
      </c>
      <c r="I2206" s="144" t="inlineStr">
        <is>
          <t>COMMERCIAL</t>
        </is>
      </c>
    </row>
    <row r="2207" ht="18" customHeight="1" s="7">
      <c r="A2207" s="144" t="inlineStr">
        <is>
          <t>PHILIP NGUYEN</t>
        </is>
      </c>
      <c r="B2207" s="144" t="inlineStr">
        <is>
          <t>A8797106 CA</t>
        </is>
      </c>
      <c r="C2207" s="144" t="inlineStr">
        <is>
          <t>BODHI TRANZ</t>
        </is>
      </c>
      <c r="D2207" s="144" t="n">
        <v>7148236766</v>
      </c>
      <c r="E2207" s="144" t="inlineStr">
        <is>
          <t>BOX</t>
        </is>
      </c>
      <c r="F2207" s="144" t="inlineStr">
        <is>
          <t>YP11581 CA</t>
        </is>
      </c>
      <c r="G2207" s="144" t="inlineStr">
        <is>
          <t>WHITE KENWORTH</t>
        </is>
      </c>
      <c r="H2207" s="144" t="n">
        <v>1221</v>
      </c>
      <c r="I2207" s="144" t="inlineStr">
        <is>
          <t>COMMERCIAL</t>
        </is>
      </c>
    </row>
    <row r="2208" ht="18" customHeight="1" s="7">
      <c r="A2208" s="144" t="inlineStr">
        <is>
          <t>MORENO RENIERY</t>
        </is>
      </c>
      <c r="B2208" s="144" t="inlineStr">
        <is>
          <t xml:space="preserve">*051678952 GA </t>
        </is>
      </c>
      <c r="C2208" s="144" t="inlineStr">
        <is>
          <t>ICLF TRUCKING</t>
        </is>
      </c>
      <c r="D2208" s="144" t="n">
        <v>7703986311</v>
      </c>
      <c r="E2208" s="144" t="inlineStr">
        <is>
          <t>BOX</t>
        </is>
      </c>
      <c r="F2208" s="144" t="inlineStr">
        <is>
          <t>C245EJ GA</t>
        </is>
      </c>
      <c r="G2208" s="144" t="inlineStr">
        <is>
          <t>WHITE VOLVO</t>
        </is>
      </c>
      <c r="H2208" s="144" t="n">
        <v>1340</v>
      </c>
      <c r="I2208" s="144" t="inlineStr">
        <is>
          <t>COMMERCIAL</t>
        </is>
      </c>
    </row>
    <row r="2209" ht="18" customHeight="1" s="7">
      <c r="A2209" s="144" t="inlineStr">
        <is>
          <t>LESHAY BIVENS</t>
        </is>
      </c>
      <c r="B2209" s="144" t="inlineStr">
        <is>
          <t>B209435039000 FL</t>
        </is>
      </c>
      <c r="C2209" s="144" t="inlineStr">
        <is>
          <t>THK TRUCKING</t>
        </is>
      </c>
      <c r="D2209" s="144" t="n">
        <v>8505440002</v>
      </c>
      <c r="E2209" s="144" t="inlineStr">
        <is>
          <t>BOX</t>
        </is>
      </c>
      <c r="F2209" s="144" t="inlineStr">
        <is>
          <t>P1169776 IL</t>
        </is>
      </c>
      <c r="G2209" s="144" t="inlineStr">
        <is>
          <t>GREY VOLVO</t>
        </is>
      </c>
      <c r="H2209" s="144" t="n">
        <v>1221</v>
      </c>
      <c r="I2209" s="144" t="inlineStr">
        <is>
          <t>COMMERCIAL</t>
        </is>
      </c>
    </row>
    <row r="2210" ht="18" customHeight="1" s="7">
      <c r="A2210" s="144" t="inlineStr">
        <is>
          <t>JASON ORNDORFF</t>
        </is>
      </c>
      <c r="B2210" s="144" t="inlineStr">
        <is>
          <t xml:space="preserve">*037979628 GA </t>
        </is>
      </c>
      <c r="C2210" s="144" t="inlineStr">
        <is>
          <t>EARTH WORKS</t>
        </is>
      </c>
      <c r="D2210" s="144" t="n">
        <v>2292913191</v>
      </c>
      <c r="E2210" s="144" t="inlineStr">
        <is>
          <t>PU</t>
        </is>
      </c>
      <c r="F2210" s="144" t="inlineStr">
        <is>
          <t>RQF9954 GA</t>
        </is>
      </c>
      <c r="G2210" s="144" t="inlineStr">
        <is>
          <t>GREY TOYOTA</t>
        </is>
      </c>
      <c r="H2210" s="144" t="n">
        <v>3700</v>
      </c>
      <c r="I2210" s="144" t="inlineStr">
        <is>
          <t>CONTRACTOR</t>
        </is>
      </c>
    </row>
    <row r="2211" ht="18" customHeight="1" s="7">
      <c r="A2211" s="144" t="inlineStr">
        <is>
          <t>MAURILIO PEREZ</t>
        </is>
      </c>
      <c r="B2211" s="144" t="inlineStr">
        <is>
          <t>18874389 TX</t>
        </is>
      </c>
      <c r="C2211" s="144" t="inlineStr">
        <is>
          <t>TEXAS FREIGHT</t>
        </is>
      </c>
      <c r="D2211" s="144" t="n">
        <v>8324551312</v>
      </c>
      <c r="E2211" s="144" t="inlineStr">
        <is>
          <t>BOX</t>
        </is>
      </c>
      <c r="F2211" s="144" t="inlineStr">
        <is>
          <t>R745512 TX</t>
        </is>
      </c>
      <c r="G2211" s="144" t="inlineStr">
        <is>
          <t>RED PETERBILT</t>
        </is>
      </c>
      <c r="H2211" s="144" t="n">
        <v>1221</v>
      </c>
      <c r="I2211" s="144" t="inlineStr">
        <is>
          <t>COMMERCIAL</t>
        </is>
      </c>
    </row>
    <row r="2212" ht="18" customHeight="1" s="7">
      <c r="A2212" s="144" t="inlineStr">
        <is>
          <t>GUMMA ADAM</t>
        </is>
      </c>
      <c r="B2212" s="144" t="inlineStr">
        <is>
          <t>G19171865  KY</t>
        </is>
      </c>
      <c r="C2212" s="144" t="inlineStr">
        <is>
          <t>W TRUCKING GRP</t>
        </is>
      </c>
      <c r="D2212" s="144" t="n">
        <v>5029751168</v>
      </c>
      <c r="E2212" s="144" t="inlineStr">
        <is>
          <t>BOX</t>
        </is>
      </c>
      <c r="F2212" s="144" t="inlineStr">
        <is>
          <t>*005877A KY</t>
        </is>
      </c>
      <c r="G2212" s="144" t="inlineStr">
        <is>
          <t>WHT FREIGHTLINER</t>
        </is>
      </c>
      <c r="H2212" s="144" t="n">
        <v>1221</v>
      </c>
      <c r="I2212" s="144" t="inlineStr">
        <is>
          <t>COMMERCIAL</t>
        </is>
      </c>
    </row>
    <row r="2213" ht="18" customHeight="1" s="7">
      <c r="A2213" s="144" t="inlineStr">
        <is>
          <t>BAKHTIYER KAYSIYEV</t>
        </is>
      </c>
      <c r="B2213" s="144" t="inlineStr">
        <is>
          <t>*052575843 GA</t>
        </is>
      </c>
      <c r="C2213" s="144" t="inlineStr">
        <is>
          <t>FAST TRANSP.</t>
        </is>
      </c>
      <c r="D2213" s="144" t="n">
        <v>6782166699</v>
      </c>
      <c r="E2213" s="144" t="inlineStr">
        <is>
          <t>FLAT</t>
        </is>
      </c>
      <c r="F2213" s="144" t="inlineStr">
        <is>
          <t>C426FC IL</t>
        </is>
      </c>
      <c r="G2213" s="144" t="inlineStr">
        <is>
          <t>WHT VOLVO</t>
        </is>
      </c>
      <c r="H2213" s="144" t="n">
        <v>1221</v>
      </c>
      <c r="I2213" s="144" t="inlineStr">
        <is>
          <t>COMMERCIAL</t>
        </is>
      </c>
    </row>
    <row r="2214" ht="18" customHeight="1" s="7">
      <c r="A2214" s="144" t="inlineStr">
        <is>
          <t>CURTIS THOMPSON</t>
        </is>
      </c>
      <c r="B2214" s="144" t="inlineStr">
        <is>
          <t>*054000366</t>
        </is>
      </c>
      <c r="C2214" s="144" t="inlineStr">
        <is>
          <t>ERG</t>
        </is>
      </c>
      <c r="D2214" s="144" t="n">
        <v>2292212488</v>
      </c>
      <c r="E2214" s="144" t="inlineStr">
        <is>
          <t>FLAT</t>
        </is>
      </c>
      <c r="F2214" s="144" t="inlineStr">
        <is>
          <t>1217244 AL</t>
        </is>
      </c>
      <c r="G2214" s="144" t="inlineStr">
        <is>
          <t>WHT WESTERN STAR</t>
        </is>
      </c>
      <c r="H2214" s="144" t="n">
        <v>7450</v>
      </c>
      <c r="I2214" s="144" t="inlineStr">
        <is>
          <t>COMMERCIAL</t>
        </is>
      </c>
    </row>
    <row r="2215" ht="18" customHeight="1" s="7">
      <c r="A2215" s="144" t="inlineStr">
        <is>
          <t>ROBERTSON CLARENCE</t>
        </is>
      </c>
      <c r="B2215" s="144" t="inlineStr">
        <is>
          <t>*008289840</t>
        </is>
      </c>
      <c r="C2215" s="144" t="inlineStr">
        <is>
          <t>CRST</t>
        </is>
      </c>
      <c r="D2215" s="144" t="n">
        <v>2254419239</v>
      </c>
      <c r="E2215" s="144" t="inlineStr">
        <is>
          <t>FLAT</t>
        </is>
      </c>
      <c r="F2215" s="144" t="inlineStr">
        <is>
          <t>3680890 IN</t>
        </is>
      </c>
      <c r="G2215" s="144" t="inlineStr">
        <is>
          <t>WHT FREIGHTLINER</t>
        </is>
      </c>
      <c r="H2215" s="144" t="n">
        <v>1221</v>
      </c>
      <c r="I2215" s="144" t="inlineStr">
        <is>
          <t>COMMERCIAL</t>
        </is>
      </c>
    </row>
    <row r="2216" ht="18" customHeight="1" s="7">
      <c r="A2216" s="144" t="inlineStr">
        <is>
          <t>TODOROVIC  DRAGAN</t>
        </is>
      </c>
      <c r="B2216" s="144" t="inlineStr">
        <is>
          <t>D10761248 AR</t>
        </is>
      </c>
      <c r="C2216" s="144" t="inlineStr">
        <is>
          <t>ULTIONIS</t>
        </is>
      </c>
      <c r="D2216" s="144" t="n">
        <v>2012327374</v>
      </c>
      <c r="E2216" s="144" t="inlineStr">
        <is>
          <t>BOX</t>
        </is>
      </c>
      <c r="F2216" s="144" t="inlineStr">
        <is>
          <t>P1084657 IL</t>
        </is>
      </c>
      <c r="G2216" s="144" t="inlineStr">
        <is>
          <t>BLU VOLV</t>
        </is>
      </c>
      <c r="H2216" s="144" t="n">
        <v>1221</v>
      </c>
      <c r="I2216" s="144" t="inlineStr">
        <is>
          <t>COMMERCIAL</t>
        </is>
      </c>
    </row>
    <row r="2217" ht="18" customHeight="1" s="7">
      <c r="A2217" s="144" t="inlineStr">
        <is>
          <t>RICARDO JACKSON</t>
        </is>
      </c>
      <c r="B2217" s="144" t="inlineStr">
        <is>
          <t>*043688652</t>
        </is>
      </c>
      <c r="C2217" s="144" t="inlineStr">
        <is>
          <t>PROMEX</t>
        </is>
      </c>
      <c r="D2217" s="144" t="n">
        <v>4047496904</v>
      </c>
      <c r="E2217" s="144" t="inlineStr">
        <is>
          <t>BOX</t>
        </is>
      </c>
      <c r="F2217" s="144" t="inlineStr">
        <is>
          <t>SPG521329 IL</t>
        </is>
      </c>
      <c r="G2217" s="144" t="inlineStr">
        <is>
          <t>WHT FREIGHTLINER</t>
        </is>
      </c>
      <c r="H2217" s="144" t="n">
        <v>1221</v>
      </c>
      <c r="I2217" s="144" t="inlineStr">
        <is>
          <t>COMMERCIAL</t>
        </is>
      </c>
    </row>
    <row r="2218" ht="18" customHeight="1" s="7">
      <c r="A2218" s="144" t="inlineStr">
        <is>
          <t>AYYASH KHALED M</t>
        </is>
      </c>
      <c r="B2218" s="144" t="inlineStr">
        <is>
          <t xml:space="preserve">*A20051363342 IL </t>
        </is>
      </c>
      <c r="C2218" s="144" t="inlineStr">
        <is>
          <t>EMR EXPRESS</t>
        </is>
      </c>
      <c r="D2218" s="144" t="n">
        <v>6306679599</v>
      </c>
      <c r="E2218" s="144" t="inlineStr">
        <is>
          <t>BOX</t>
        </is>
      </c>
      <c r="F2218" s="144" t="inlineStr">
        <is>
          <t>P1243124 IL</t>
        </is>
      </c>
      <c r="G2218" s="144" t="inlineStr">
        <is>
          <t>RED FREIGHTLINER</t>
        </is>
      </c>
      <c r="H2218" s="144" t="n">
        <v>1221</v>
      </c>
      <c r="I2218" s="144" t="inlineStr">
        <is>
          <t>COMMERCIAL</t>
        </is>
      </c>
    </row>
    <row r="2219" ht="18" customHeight="1" s="7">
      <c r="A2219" s="144" t="inlineStr">
        <is>
          <t>ROBERT PHILLIPS</t>
        </is>
      </c>
      <c r="B2219" s="144" t="inlineStr">
        <is>
          <t>*052656047 GA</t>
        </is>
      </c>
      <c r="C2219" s="144" t="inlineStr">
        <is>
          <t>SAFEAIRE</t>
        </is>
      </c>
      <c r="D2219" s="144" t="n">
        <v>2298835100</v>
      </c>
      <c r="E2219" s="144" t="inlineStr">
        <is>
          <t>PU</t>
        </is>
      </c>
      <c r="F2219" s="144" t="inlineStr">
        <is>
          <t>RJY4927 GA</t>
        </is>
      </c>
      <c r="G2219" s="144" t="inlineStr">
        <is>
          <t>WHT FORD</t>
        </is>
      </c>
      <c r="H2219" s="144" t="n">
        <v>5305</v>
      </c>
      <c r="I2219" s="144" t="inlineStr">
        <is>
          <t>CONTRACTOR</t>
        </is>
      </c>
    </row>
    <row r="2220" ht="18" customHeight="1" s="7">
      <c r="A2220" s="144" t="inlineStr">
        <is>
          <t>KENNETH BULLARD</t>
        </is>
      </c>
      <c r="B2220" s="144" t="inlineStr">
        <is>
          <t>B463517862460 FL</t>
        </is>
      </c>
      <c r="C2220" s="144" t="inlineStr">
        <is>
          <t>WM</t>
        </is>
      </c>
      <c r="D2220" s="144" t="n">
        <v>3863656214</v>
      </c>
      <c r="E2220" s="144" t="inlineStr">
        <is>
          <t>DUMP</t>
        </is>
      </c>
      <c r="F2220" s="144" t="inlineStr">
        <is>
          <t>3823341 IN</t>
        </is>
      </c>
      <c r="G2220" s="144" t="inlineStr">
        <is>
          <t>WHT PETERBILT</t>
        </is>
      </c>
      <c r="H2220" s="144" t="n">
        <v>3700</v>
      </c>
      <c r="I2220" s="144" t="inlineStr">
        <is>
          <t>COMMERCIAL</t>
        </is>
      </c>
    </row>
    <row r="2221" ht="18" customHeight="1" s="7">
      <c r="A2221" s="144" t="inlineStr">
        <is>
          <t>RAVI BIBIN</t>
        </is>
      </c>
      <c r="B2221" s="144" t="inlineStr">
        <is>
          <t>39872921 TX</t>
        </is>
      </c>
      <c r="C2221" s="144" t="inlineStr">
        <is>
          <t>SHIVA</t>
        </is>
      </c>
      <c r="D2221" s="144" t="n">
        <v>6108362386</v>
      </c>
      <c r="E2221" s="144" t="inlineStr">
        <is>
          <t>BOX</t>
        </is>
      </c>
      <c r="F2221" s="144" t="inlineStr">
        <is>
          <t>R775253 TX</t>
        </is>
      </c>
      <c r="G2221" s="144" t="inlineStr">
        <is>
          <t>WHITE VOLVO</t>
        </is>
      </c>
      <c r="H2221" s="144" t="n">
        <v>1221</v>
      </c>
      <c r="I2221" s="144" t="inlineStr">
        <is>
          <t>COMMERCIAL</t>
        </is>
      </c>
    </row>
    <row r="2222" ht="18" customHeight="1" s="7">
      <c r="A2222" s="144" t="inlineStr">
        <is>
          <t>TONY BROWN</t>
        </is>
      </c>
      <c r="B2222" s="144" t="inlineStr">
        <is>
          <t>B6548049317730 FL</t>
        </is>
      </c>
      <c r="C2222" s="144" t="inlineStr">
        <is>
          <t>MAYBACH</t>
        </is>
      </c>
      <c r="D2222" s="144" t="n">
        <v>7273653233</v>
      </c>
      <c r="E2222" s="144" t="inlineStr">
        <is>
          <t>BOX</t>
        </is>
      </c>
      <c r="F2222" s="144" t="inlineStr">
        <is>
          <t>P1284453 IL</t>
        </is>
      </c>
      <c r="G2222" s="144" t="inlineStr">
        <is>
          <t>WHITE FREIGHTLINER</t>
        </is>
      </c>
      <c r="H2222" s="144" t="n">
        <v>1221</v>
      </c>
      <c r="I2222" s="144" t="inlineStr">
        <is>
          <t>COMMERCIAL</t>
        </is>
      </c>
    </row>
    <row r="2223" ht="18" customHeight="1" s="7">
      <c r="A2223" s="144" t="inlineStr">
        <is>
          <t>WILEM PASCAL</t>
        </is>
      </c>
      <c r="B2223" s="144" t="inlineStr">
        <is>
          <t>P240880784080 FL</t>
        </is>
      </c>
      <c r="C2223" s="144" t="inlineStr">
        <is>
          <t>AGAFA TRANS</t>
        </is>
      </c>
      <c r="D2223" s="144" t="n">
        <v>8635109209</v>
      </c>
      <c r="E2223" s="144" t="inlineStr">
        <is>
          <t>BOX</t>
        </is>
      </c>
      <c r="F2223" s="144" t="inlineStr">
        <is>
          <t>XD140V FL</t>
        </is>
      </c>
      <c r="G2223" s="144" t="inlineStr">
        <is>
          <t>BLUE FREIGHTLINER</t>
        </is>
      </c>
      <c r="H2223" s="144" t="n">
        <v>1221</v>
      </c>
      <c r="I2223" s="144" t="inlineStr">
        <is>
          <t>COMMERCIAL</t>
        </is>
      </c>
    </row>
    <row r="2224" ht="18" customHeight="1" s="7">
      <c r="A2224" s="144" t="inlineStr">
        <is>
          <t>JAMES KIMBLE</t>
        </is>
      </c>
      <c r="B2224" s="144" t="inlineStr">
        <is>
          <t>K230423396000 FL</t>
        </is>
      </c>
      <c r="C2224" s="144" t="inlineStr">
        <is>
          <t>LANDSTAR</t>
        </is>
      </c>
      <c r="D2224" s="144" t="n">
        <v>3304643620</v>
      </c>
      <c r="E2224" s="144" t="inlineStr">
        <is>
          <t>BOX</t>
        </is>
      </c>
      <c r="F2224" s="144" t="inlineStr">
        <is>
          <t>3236308 IN</t>
        </is>
      </c>
      <c r="G2224" s="144" t="inlineStr">
        <is>
          <t>WHITE FREIGHTLINER</t>
        </is>
      </c>
      <c r="H2224" s="144" t="n">
        <v>1221</v>
      </c>
      <c r="I2224" s="144" t="inlineStr">
        <is>
          <t>COMMERCIAL</t>
        </is>
      </c>
    </row>
    <row r="2225" ht="18" customHeight="1" s="7">
      <c r="A2225" s="144" t="inlineStr">
        <is>
          <t>ABDUL ELGAG</t>
        </is>
      </c>
      <c r="B2225" s="144" t="inlineStr">
        <is>
          <t>UX148788</t>
        </is>
      </c>
      <c r="C2225" s="144" t="inlineStr">
        <is>
          <t>SMART &amp; LOYAL TRUCKING</t>
        </is>
      </c>
      <c r="D2225" s="144" t="n">
        <v>6142600266</v>
      </c>
      <c r="E2225" s="144" t="inlineStr">
        <is>
          <t>BOX</t>
        </is>
      </c>
      <c r="F2225" s="144" t="inlineStr">
        <is>
          <t>PXC5332 OH</t>
        </is>
      </c>
      <c r="G2225" s="144" t="inlineStr">
        <is>
          <t>WHITE FREIGHTLINER</t>
        </is>
      </c>
      <c r="H2225" s="144" t="n">
        <v>1221</v>
      </c>
      <c r="I2225" s="144" t="inlineStr">
        <is>
          <t>COMMERCIAL</t>
        </is>
      </c>
    </row>
    <row r="2226" ht="18" customHeight="1" s="7">
      <c r="A2226" s="144" t="inlineStr">
        <is>
          <t xml:space="preserve">EUGENE BUNAGAN </t>
        </is>
      </c>
      <c r="B2226" s="144" t="inlineStr">
        <is>
          <t>*070101245 GA</t>
        </is>
      </c>
      <c r="C2226" s="144" t="inlineStr">
        <is>
          <t>FEDEX</t>
        </is>
      </c>
      <c r="D2226" s="144" t="n">
        <v>4159648617</v>
      </c>
      <c r="E2226" s="144" t="inlineStr">
        <is>
          <t>VAN</t>
        </is>
      </c>
      <c r="F2226" s="144" t="inlineStr">
        <is>
          <t>RTQ2029 GA</t>
        </is>
      </c>
      <c r="G2226" s="144" t="inlineStr">
        <is>
          <t>WHITE FORD</t>
        </is>
      </c>
      <c r="H2226" s="144" t="n">
        <v>1221</v>
      </c>
      <c r="I2226" s="144" t="inlineStr">
        <is>
          <t>CONTRACTOR</t>
        </is>
      </c>
    </row>
    <row r="2227" ht="18" customHeight="1" s="7">
      <c r="A2227" s="144" t="inlineStr">
        <is>
          <t>DANNY SEGUI</t>
        </is>
      </c>
      <c r="B2227" s="144" t="inlineStr">
        <is>
          <t>056567859 GA</t>
        </is>
      </c>
      <c r="C2227" s="144" t="inlineStr">
        <is>
          <t>FIVE 31</t>
        </is>
      </c>
      <c r="D2227" s="144" t="n">
        <v>9123216123</v>
      </c>
      <c r="E2227" s="144" t="inlineStr">
        <is>
          <t>FLAT</t>
        </is>
      </c>
      <c r="F2227" s="144" t="inlineStr">
        <is>
          <t>C293CW GA</t>
        </is>
      </c>
      <c r="G2227" s="144" t="inlineStr">
        <is>
          <t>RED PETERBILT</t>
        </is>
      </c>
      <c r="H2227" s="144" t="n">
        <v>1221</v>
      </c>
      <c r="I2227" s="144" t="inlineStr">
        <is>
          <t>COMMERICAL</t>
        </is>
      </c>
    </row>
    <row r="2228" ht="18" customHeight="1" s="7">
      <c r="A2228" s="144" t="inlineStr">
        <is>
          <t>AVERY BOBBY</t>
        </is>
      </c>
      <c r="B2228" s="144" t="inlineStr">
        <is>
          <t>000007856011 NC</t>
        </is>
      </c>
      <c r="C2228" s="144" t="inlineStr">
        <is>
          <t>LANDSTAR RANGER</t>
        </is>
      </c>
      <c r="D2228" s="144" t="n">
        <v>9108905128</v>
      </c>
      <c r="E2228" s="144" t="inlineStr">
        <is>
          <t>BOX</t>
        </is>
      </c>
      <c r="F2228" s="144" t="inlineStr">
        <is>
          <t>3109219 IN</t>
        </is>
      </c>
      <c r="G2228" s="144" t="inlineStr">
        <is>
          <t>WHITE PETERBILT</t>
        </is>
      </c>
      <c r="H2228" s="144" t="n">
        <v>1221</v>
      </c>
      <c r="I2228" s="144" t="inlineStr">
        <is>
          <t>COMMERICAL</t>
        </is>
      </c>
    </row>
    <row r="2229" ht="18" customHeight="1" s="7">
      <c r="A2229" s="144" t="inlineStr">
        <is>
          <t>WILLIAM HARPER</t>
        </is>
      </c>
      <c r="B2229" s="144" t="inlineStr">
        <is>
          <t>054564695 GA</t>
        </is>
      </c>
      <c r="C2229" s="144" t="inlineStr">
        <is>
          <t>SOUTHWEST</t>
        </is>
      </c>
      <c r="D2229" s="144" t="n">
        <v>229434444</v>
      </c>
      <c r="E2229" s="144" t="inlineStr">
        <is>
          <t>FLAT</t>
        </is>
      </c>
      <c r="F2229" s="144" t="inlineStr">
        <is>
          <t>ECY736 GA</t>
        </is>
      </c>
      <c r="G2229" s="144" t="inlineStr">
        <is>
          <t>RED PETERBILT</t>
        </is>
      </c>
      <c r="H2229" s="144" t="n">
        <v>1221</v>
      </c>
      <c r="I2229" s="144" t="inlineStr">
        <is>
          <t>COMMERICAL</t>
        </is>
      </c>
    </row>
    <row r="2230" ht="18" customHeight="1" s="7">
      <c r="A2230" s="144" t="inlineStr">
        <is>
          <t>MASON JOHNSON</t>
        </is>
      </c>
      <c r="B2230" s="144" t="inlineStr">
        <is>
          <t>062095420 GA</t>
        </is>
      </c>
      <c r="C2230" s="144" t="inlineStr">
        <is>
          <t>AAA PLUMBING</t>
        </is>
      </c>
      <c r="D2230" s="144" t="n">
        <v>2293762326</v>
      </c>
      <c r="E2230" s="144" t="inlineStr">
        <is>
          <t>VAN</t>
        </is>
      </c>
      <c r="F2230" s="144" t="inlineStr">
        <is>
          <t>TGR544 GA</t>
        </is>
      </c>
      <c r="G2230" s="144" t="inlineStr">
        <is>
          <t>WHITE FORD</t>
        </is>
      </c>
      <c r="H2230" s="144" t="n">
        <v>1221</v>
      </c>
      <c r="I2230" s="144" t="inlineStr">
        <is>
          <t>CONTRACTOR</t>
        </is>
      </c>
    </row>
    <row r="2231" ht="18" customHeight="1" s="7">
      <c r="A2231" s="144" t="inlineStr">
        <is>
          <t>LARRY CUSHION</t>
        </is>
      </c>
      <c r="B2231" s="144" t="inlineStr">
        <is>
          <t>006379467 GA</t>
        </is>
      </c>
      <c r="C2231" s="144" t="inlineStr">
        <is>
          <t>AMERISOURCE</t>
        </is>
      </c>
      <c r="D2231" s="144" t="n">
        <v>2293269926</v>
      </c>
      <c r="E2231" s="144" t="inlineStr">
        <is>
          <t>BOX</t>
        </is>
      </c>
      <c r="F2231" s="144" t="inlineStr">
        <is>
          <t>TGQ4198 GA</t>
        </is>
      </c>
      <c r="G2231" s="144" t="inlineStr">
        <is>
          <t>WHITE CHEVY</t>
        </is>
      </c>
      <c r="H2231" s="144" t="n">
        <v>7000</v>
      </c>
      <c r="I2231" s="144" t="inlineStr">
        <is>
          <t>CONTRACTOR</t>
        </is>
      </c>
    </row>
    <row r="2232" ht="18" customHeight="1" s="7">
      <c r="A2232" s="144" t="inlineStr">
        <is>
          <t>KENNETH HARDRET</t>
        </is>
      </c>
      <c r="B2232" s="144" t="inlineStr">
        <is>
          <t>048133085 GA</t>
        </is>
      </c>
      <c r="C2232" s="144" t="inlineStr">
        <is>
          <t>HARDY</t>
        </is>
      </c>
      <c r="D2232" s="144" t="n">
        <v>7703107958</v>
      </c>
      <c r="E2232" s="144" t="inlineStr">
        <is>
          <t>BOX</t>
        </is>
      </c>
      <c r="F2232" s="144" t="inlineStr">
        <is>
          <t>C1852B GA</t>
        </is>
      </c>
      <c r="G2232" s="144" t="inlineStr">
        <is>
          <t>RED KENWORTH</t>
        </is>
      </c>
      <c r="H2232" s="144" t="n">
        <v>1221</v>
      </c>
      <c r="I2232" s="144" t="inlineStr">
        <is>
          <t>COMMERICAL</t>
        </is>
      </c>
    </row>
    <row r="2233" ht="18" customHeight="1" s="7">
      <c r="A2233" s="144" t="inlineStr">
        <is>
          <t>ROBERT YOUMANS</t>
        </is>
      </c>
      <c r="B2233" s="144" t="inlineStr">
        <is>
          <t>059887107 GA</t>
        </is>
      </c>
      <c r="C2233" s="144" t="inlineStr">
        <is>
          <t>SPARTAN NASH</t>
        </is>
      </c>
      <c r="D2233" s="144" t="n">
        <v>7065368315</v>
      </c>
      <c r="E2233" s="144" t="inlineStr">
        <is>
          <t>BOX</t>
        </is>
      </c>
      <c r="F2233" s="144" t="inlineStr">
        <is>
          <t>420444 NE</t>
        </is>
      </c>
      <c r="G2233" s="144" t="inlineStr">
        <is>
          <t>WHITE FREIGHTLINER</t>
        </is>
      </c>
      <c r="H2233" s="144" t="n">
        <v>7500</v>
      </c>
      <c r="I2233" s="144" t="inlineStr">
        <is>
          <t>COMMERICAL</t>
        </is>
      </c>
    </row>
    <row r="2234" ht="18" customHeight="1" s="7">
      <c r="A2234" s="144" t="inlineStr">
        <is>
          <t>ANTOINE JOLLY</t>
        </is>
      </c>
      <c r="B2234" s="144" t="inlineStr">
        <is>
          <t>MD10272490770 MD</t>
        </is>
      </c>
      <c r="C2234" s="144" t="inlineStr">
        <is>
          <t>PANTHER</t>
        </is>
      </c>
      <c r="D2234" s="144" t="n">
        <v>2403704673</v>
      </c>
      <c r="E2234" s="144" t="inlineStr">
        <is>
          <t>BOX</t>
        </is>
      </c>
      <c r="F2234" s="144" t="inlineStr">
        <is>
          <t>3033938 IN</t>
        </is>
      </c>
      <c r="G2234" s="144" t="inlineStr">
        <is>
          <t>WHITE FREIGHTLINER</t>
        </is>
      </c>
      <c r="H2234" s="144" t="n">
        <v>1221</v>
      </c>
      <c r="I2234" s="144" t="inlineStr">
        <is>
          <t>COMMERICAL</t>
        </is>
      </c>
    </row>
    <row r="2235" ht="18" customHeight="1" s="7">
      <c r="A2235" s="144" t="inlineStr">
        <is>
          <t>GARICA SANTIAGO</t>
        </is>
      </c>
      <c r="B2235" s="144" t="inlineStr">
        <is>
          <t>G620781854440 FL</t>
        </is>
      </c>
      <c r="C2235" s="144" t="inlineStr">
        <is>
          <t xml:space="preserve">BENNETT </t>
        </is>
      </c>
      <c r="D2235" s="144" t="n">
        <v>7542145330</v>
      </c>
      <c r="E2235" s="144" t="inlineStr">
        <is>
          <t>FLAT</t>
        </is>
      </c>
      <c r="F2235" s="144" t="inlineStr">
        <is>
          <t>P1286080 IL</t>
        </is>
      </c>
      <c r="G2235" s="144" t="inlineStr">
        <is>
          <t>WHITE VOLVO</t>
        </is>
      </c>
      <c r="H2235" s="144" t="n">
        <v>1221</v>
      </c>
      <c r="I2235" s="144" t="inlineStr">
        <is>
          <t>COMMERICAL</t>
        </is>
      </c>
    </row>
    <row r="2236" ht="18" customHeight="1" s="7">
      <c r="A2236" s="144" t="inlineStr">
        <is>
          <t>DANIEL MCGOWNSE</t>
        </is>
      </c>
      <c r="B2236" s="144" t="inlineStr">
        <is>
          <t>056188229 GA</t>
        </is>
      </c>
      <c r="C2236" s="144" t="inlineStr">
        <is>
          <t>MCLANE</t>
        </is>
      </c>
      <c r="D2236" s="144" t="n">
        <v>7628223162</v>
      </c>
      <c r="E2236" s="144" t="inlineStr">
        <is>
          <t>BOX</t>
        </is>
      </c>
      <c r="F2236" s="144" t="inlineStr">
        <is>
          <t>P1049331 IL</t>
        </is>
      </c>
      <c r="G2236" s="144" t="inlineStr">
        <is>
          <t>WHITE INTERNATIONAL</t>
        </is>
      </c>
      <c r="H2236" s="144" t="n">
        <v>7501</v>
      </c>
      <c r="I2236" s="144" t="inlineStr">
        <is>
          <t>COMMERICAL</t>
        </is>
      </c>
    </row>
    <row r="2237" ht="18" customHeight="1" s="7">
      <c r="A2237" s="144" t="inlineStr">
        <is>
          <t>TIMOTHY TURNER</t>
        </is>
      </c>
      <c r="B2237" s="144" t="inlineStr">
        <is>
          <t>054937477 GA</t>
        </is>
      </c>
      <c r="C2237" s="144" t="inlineStr">
        <is>
          <t>KNT LOGISTIC</t>
        </is>
      </c>
      <c r="D2237" s="144" t="n">
        <v>7067416013</v>
      </c>
      <c r="E2237" s="144" t="inlineStr">
        <is>
          <t>BOX</t>
        </is>
      </c>
      <c r="F2237" s="144" t="inlineStr">
        <is>
          <t>C054DI GA</t>
        </is>
      </c>
      <c r="G2237" s="144" t="inlineStr">
        <is>
          <t>GREY FREIGHTLINER</t>
        </is>
      </c>
      <c r="H2237" s="144" t="n">
        <v>1221</v>
      </c>
      <c r="I2237" s="144" t="inlineStr">
        <is>
          <t>COMMERICAL</t>
        </is>
      </c>
    </row>
    <row r="2238" ht="18" customHeight="1" s="7">
      <c r="A2238" s="144" t="inlineStr">
        <is>
          <t>CODY PETERSON</t>
        </is>
      </c>
      <c r="B2238" s="144" t="inlineStr">
        <is>
          <t>8137308 AL</t>
        </is>
      </c>
      <c r="C2238" s="144" t="inlineStr">
        <is>
          <t>AUTOMATIC DOOR</t>
        </is>
      </c>
      <c r="D2238" s="144" t="n">
        <v>7066534302</v>
      </c>
      <c r="E2238" s="144" t="inlineStr">
        <is>
          <t>VAN</t>
        </is>
      </c>
      <c r="F2238" s="144" t="inlineStr">
        <is>
          <t>RZW4744 GA</t>
        </is>
      </c>
      <c r="G2238" s="144" t="inlineStr">
        <is>
          <t>WHITE FORD</t>
        </is>
      </c>
      <c r="H2238" s="144" t="n">
        <v>7120</v>
      </c>
      <c r="I2238" s="144" t="inlineStr">
        <is>
          <t>CONTRACTOR</t>
        </is>
      </c>
    </row>
    <row r="2239" ht="18" customHeight="1" s="7">
      <c r="A2239" s="144" t="inlineStr">
        <is>
          <t>SOLOMON BELAI</t>
        </is>
      </c>
      <c r="B2239" s="144" t="inlineStr">
        <is>
          <t>*053041243 GA</t>
        </is>
      </c>
      <c r="C2239" s="144" t="inlineStr">
        <is>
          <t>RN TRANSPORT</t>
        </is>
      </c>
      <c r="D2239" s="144" t="n">
        <v>4045105158</v>
      </c>
      <c r="E2239" s="144" t="inlineStr">
        <is>
          <t>BOX</t>
        </is>
      </c>
      <c r="F2239" s="144" t="inlineStr">
        <is>
          <t>C368DF GA</t>
        </is>
      </c>
      <c r="G2239" s="144" t="inlineStr">
        <is>
          <t>RED FREIGHTLINER</t>
        </is>
      </c>
      <c r="H2239" s="144" t="n">
        <v>1221</v>
      </c>
      <c r="I2239" s="144" t="inlineStr">
        <is>
          <t>COMMERCIAL</t>
        </is>
      </c>
    </row>
    <row r="2240" ht="18" customHeight="1" s="7">
      <c r="A2240" s="144" t="inlineStr">
        <is>
          <t>DIAVONTE BROWN</t>
        </is>
      </c>
      <c r="B2240" s="144" t="inlineStr">
        <is>
          <t>B650161941040 FL</t>
        </is>
      </c>
      <c r="C2240" s="144" t="inlineStr">
        <is>
          <t>ONE 4ALL</t>
        </is>
      </c>
      <c r="D2240" s="144" t="n">
        <v>8505184341</v>
      </c>
      <c r="E2240" s="144" t="inlineStr">
        <is>
          <t>BOX</t>
        </is>
      </c>
      <c r="F2240" s="144" t="inlineStr">
        <is>
          <t>56EDHS FL</t>
        </is>
      </c>
      <c r="G2240" s="144" t="inlineStr">
        <is>
          <t>WHITE HINO</t>
        </is>
      </c>
      <c r="H2240" s="144" t="n">
        <v>1221</v>
      </c>
      <c r="I2240" s="144" t="inlineStr">
        <is>
          <t>COMMERICAL</t>
        </is>
      </c>
    </row>
    <row r="2241" ht="18" customHeight="1" s="7">
      <c r="A2241" s="144" t="inlineStr">
        <is>
          <t>ESCALONA REINALDO</t>
        </is>
      </c>
      <c r="B2241" s="144" t="inlineStr">
        <is>
          <t>E245720690060 FL</t>
        </is>
      </c>
      <c r="C2241" s="144" t="inlineStr">
        <is>
          <t>MCKINLEY TRUCKING</t>
        </is>
      </c>
      <c r="D2241" s="144" t="n">
        <v>4077584705</v>
      </c>
      <c r="E2241" s="144" t="inlineStr">
        <is>
          <t>FLAT</t>
        </is>
      </c>
      <c r="F2241" s="144" t="inlineStr">
        <is>
          <t xml:space="preserve"> DF21WQ FL</t>
        </is>
      </c>
      <c r="G2241" s="144" t="inlineStr">
        <is>
          <t>WHITE FRIEGHTLINER</t>
        </is>
      </c>
      <c r="H2241" s="144" t="n">
        <v>1221</v>
      </c>
      <c r="I2241" s="144" t="inlineStr">
        <is>
          <t>COMMERICAL</t>
        </is>
      </c>
    </row>
    <row r="2242" ht="18" customHeight="1" s="7">
      <c r="A2242" s="144" t="inlineStr">
        <is>
          <t>RATSYTHONG KHANKEO</t>
        </is>
      </c>
      <c r="B2242" s="144" t="inlineStr">
        <is>
          <t>A703206416 OK</t>
        </is>
      </c>
      <c r="C2242" s="144" t="inlineStr">
        <is>
          <t>BKM ENTERPRISE</t>
        </is>
      </c>
      <c r="D2242" s="144" t="n">
        <v>5803900169</v>
      </c>
      <c r="E2242" s="144" t="inlineStr">
        <is>
          <t>PU</t>
        </is>
      </c>
      <c r="F2242" s="144" t="inlineStr">
        <is>
          <t>PAE814 OK</t>
        </is>
      </c>
      <c r="G2242" s="144" t="inlineStr">
        <is>
          <t>WHITE GMC</t>
        </is>
      </c>
      <c r="H2242" s="144" t="n">
        <v>1221</v>
      </c>
      <c r="I2242" s="144" t="inlineStr">
        <is>
          <t>CONTRACTOR</t>
        </is>
      </c>
    </row>
    <row r="2243" ht="18" customHeight="1" s="7">
      <c r="A2243" s="144" t="inlineStr">
        <is>
          <t>TALLEY WILLIAM</t>
        </is>
      </c>
      <c r="B2243" s="144" t="inlineStr">
        <is>
          <t>T40092175342 IL</t>
        </is>
      </c>
      <c r="C2243" s="144" t="inlineStr">
        <is>
          <t xml:space="preserve">RAYNOR </t>
        </is>
      </c>
      <c r="D2243" s="144" t="n">
        <v>7792030333</v>
      </c>
      <c r="E2243" s="144" t="inlineStr">
        <is>
          <t>BOX</t>
        </is>
      </c>
      <c r="F2243" s="144" t="inlineStr">
        <is>
          <t>P1021286 IL</t>
        </is>
      </c>
      <c r="G2243" s="144" t="inlineStr">
        <is>
          <t>BLUE FREIGHTLINER</t>
        </is>
      </c>
      <c r="H2243" s="144" t="n">
        <v>5651</v>
      </c>
      <c r="I2243" s="144" t="inlineStr">
        <is>
          <t>COMMERCIAL</t>
        </is>
      </c>
    </row>
    <row r="2244" ht="18" customHeight="1" s="7">
      <c r="A2244" s="144" t="inlineStr">
        <is>
          <t>ABDI ISMAIL</t>
        </is>
      </c>
      <c r="B2244" s="144" t="inlineStr">
        <is>
          <t>J480144604912 MN</t>
        </is>
      </c>
      <c r="C2244" s="144" t="inlineStr">
        <is>
          <t>BG LOGISTICS</t>
        </is>
      </c>
      <c r="D2244" s="144" t="n">
        <v>6127042501</v>
      </c>
      <c r="E2244" s="144" t="inlineStr">
        <is>
          <t>BOX</t>
        </is>
      </c>
      <c r="F2244" s="144" t="inlineStr">
        <is>
          <t>SPG515232 IL</t>
        </is>
      </c>
      <c r="G2244" s="144" t="inlineStr">
        <is>
          <t>WHITE FREIGHTLINER</t>
        </is>
      </c>
      <c r="H2244" s="144" t="n">
        <v>1221</v>
      </c>
      <c r="I2244" s="144" t="inlineStr">
        <is>
          <t>COMMERCIAL</t>
        </is>
      </c>
    </row>
    <row r="2245" ht="18" customHeight="1" s="7">
      <c r="A2245" s="144" t="inlineStr">
        <is>
          <t>MERLAU WILLIAMS JR</t>
        </is>
      </c>
      <c r="B2245" s="144" t="inlineStr">
        <is>
          <t>800069198 MS</t>
        </is>
      </c>
      <c r="C2245" s="144" t="inlineStr">
        <is>
          <t>FS</t>
        </is>
      </c>
      <c r="D2245" s="144" t="n">
        <v>2284478833</v>
      </c>
      <c r="E2245" s="144" t="inlineStr">
        <is>
          <t>BOX</t>
        </is>
      </c>
      <c r="F2245" s="144" t="inlineStr">
        <is>
          <t>A525164 MS</t>
        </is>
      </c>
      <c r="G2245" s="144" t="inlineStr">
        <is>
          <t>WHITE KENWORTH</t>
        </is>
      </c>
      <c r="H2245" s="144" t="inlineStr">
        <is>
          <t>HOUSING</t>
        </is>
      </c>
      <c r="I2245" s="144" t="inlineStr">
        <is>
          <t>COMMERCIAL</t>
        </is>
      </c>
    </row>
    <row r="2246" ht="18" customHeight="1" s="7">
      <c r="A2246" s="144" t="inlineStr">
        <is>
          <t>TYRONE SHAZEL</t>
        </is>
      </c>
      <c r="B2246" s="144" t="inlineStr">
        <is>
          <t>6796712 AL</t>
        </is>
      </c>
      <c r="C2246" s="144" t="inlineStr">
        <is>
          <t>MONDELEZ GLOBAL</t>
        </is>
      </c>
      <c r="D2246" s="144" t="n">
        <v>8506888462</v>
      </c>
      <c r="E2246" s="144" t="inlineStr">
        <is>
          <t>BOX</t>
        </is>
      </c>
      <c r="F2246" s="144" t="inlineStr">
        <is>
          <t xml:space="preserve">2910485 IN </t>
        </is>
      </c>
      <c r="G2246" s="144" t="inlineStr">
        <is>
          <t>WHITE FREIGHTLINER</t>
        </is>
      </c>
      <c r="H2246" s="144" t="n">
        <v>7500</v>
      </c>
      <c r="I2246" s="144" t="inlineStr">
        <is>
          <t>COMMERICAL</t>
        </is>
      </c>
    </row>
    <row r="2247" ht="18" customHeight="1" s="7">
      <c r="A2247" s="144" t="inlineStr">
        <is>
          <t>JACK ARRINGTON</t>
        </is>
      </c>
      <c r="B2247" s="144" t="inlineStr">
        <is>
          <t>070045350 GA</t>
        </is>
      </c>
      <c r="C2247" s="144" t="inlineStr">
        <is>
          <t>TTL</t>
        </is>
      </c>
      <c r="D2247" s="144" t="n">
        <v>2298673422</v>
      </c>
      <c r="E2247" s="144" t="inlineStr">
        <is>
          <t>PU</t>
        </is>
      </c>
      <c r="F2247" s="144" t="inlineStr">
        <is>
          <t>TGK6154 GA</t>
        </is>
      </c>
      <c r="G2247" s="144" t="inlineStr">
        <is>
          <t>WHITE TOYTA</t>
        </is>
      </c>
      <c r="H2247" s="144" t="inlineStr">
        <is>
          <t>GATE 15</t>
        </is>
      </c>
      <c r="I2247" s="144" t="inlineStr">
        <is>
          <t>CONTRACTOR</t>
        </is>
      </c>
    </row>
    <row r="2248" ht="18" customHeight="1" s="7">
      <c r="A2248" s="144" t="inlineStr">
        <is>
          <t xml:space="preserve">BALJINDER SINGH </t>
        </is>
      </c>
      <c r="B2248" s="144" t="inlineStr">
        <is>
          <t>S520081012362 MI</t>
        </is>
      </c>
      <c r="C2248" s="144" t="inlineStr">
        <is>
          <t>BSB TRANS</t>
        </is>
      </c>
      <c r="D2248" s="144" t="n">
        <v>6163343147</v>
      </c>
      <c r="E2248" s="144" t="inlineStr">
        <is>
          <t>BOX</t>
        </is>
      </c>
      <c r="F2248" s="144" t="inlineStr">
        <is>
          <t>RC51156 MI</t>
        </is>
      </c>
      <c r="G2248" s="144" t="inlineStr">
        <is>
          <t>WHITE FREIGHTLINER</t>
        </is>
      </c>
      <c r="H2248" s="144" t="n">
        <v>1221</v>
      </c>
      <c r="I2248" s="144" t="inlineStr">
        <is>
          <t>COMMERCIAL</t>
        </is>
      </c>
    </row>
    <row r="2249" ht="18" customHeight="1" s="7">
      <c r="A2249" s="144" t="inlineStr">
        <is>
          <t>WILLIAMS EDGAR III</t>
        </is>
      </c>
      <c r="B2249" s="144" t="inlineStr">
        <is>
          <t>W452200922530 FL</t>
        </is>
      </c>
      <c r="C2249" s="144" t="inlineStr">
        <is>
          <t>MCLANE</t>
        </is>
      </c>
      <c r="D2249" s="144" t="n">
        <v>8506618599</v>
      </c>
      <c r="E2249" s="144" t="inlineStr">
        <is>
          <t>BOX</t>
        </is>
      </c>
      <c r="F2249" s="144" t="inlineStr">
        <is>
          <t>P935942 IL</t>
        </is>
      </c>
      <c r="G2249" s="144" t="inlineStr">
        <is>
          <t>WHITE FREIGHTLINER</t>
        </is>
      </c>
      <c r="H2249" s="144" t="n">
        <v>7501</v>
      </c>
      <c r="I2249" s="144" t="inlineStr">
        <is>
          <t>COMMERCIAL</t>
        </is>
      </c>
    </row>
    <row r="2250" ht="18" customHeight="1" s="7">
      <c r="A2250" s="144" t="inlineStr">
        <is>
          <t xml:space="preserve">MARK CANADA </t>
        </is>
      </c>
      <c r="B2250" s="144" t="inlineStr">
        <is>
          <t>*051171678 GA</t>
        </is>
      </c>
      <c r="C2250" s="144" t="inlineStr">
        <is>
          <t>CORBETT</t>
        </is>
      </c>
      <c r="D2250" s="144" t="n">
        <v>2295594784</v>
      </c>
      <c r="E2250" s="144" t="inlineStr">
        <is>
          <t>CRANE</t>
        </is>
      </c>
      <c r="F2250" s="144" t="inlineStr">
        <is>
          <t>EBC448 GA</t>
        </is>
      </c>
      <c r="G2250" s="144" t="inlineStr">
        <is>
          <t>WHITE FREIGHTLINER</t>
        </is>
      </c>
      <c r="H2250" s="144" t="n">
        <v>2200</v>
      </c>
      <c r="I2250" s="144" t="inlineStr">
        <is>
          <t>COMMERCIAL</t>
        </is>
      </c>
    </row>
    <row r="2251" ht="18" customHeight="1" s="7">
      <c r="A2251" s="144" t="inlineStr">
        <is>
          <t>ROBERT SOWELL</t>
        </is>
      </c>
      <c r="B2251" s="144" t="inlineStr">
        <is>
          <t>*053080619 GA</t>
        </is>
      </c>
      <c r="C2251" s="144" t="inlineStr">
        <is>
          <t>CORBETT</t>
        </is>
      </c>
      <c r="D2251" s="144" t="n">
        <v>2295594784</v>
      </c>
      <c r="E2251" s="144" t="inlineStr">
        <is>
          <t>PU</t>
        </is>
      </c>
      <c r="F2251" s="144" t="inlineStr">
        <is>
          <t>EEV235 GA</t>
        </is>
      </c>
      <c r="G2251" s="144" t="inlineStr">
        <is>
          <t>WHITE CHEVY</t>
        </is>
      </c>
      <c r="H2251" s="144" t="n">
        <v>5300</v>
      </c>
      <c r="I2251" s="144" t="inlineStr">
        <is>
          <t>CONTRACTOR</t>
        </is>
      </c>
    </row>
    <row r="2252" ht="18" customHeight="1" s="7">
      <c r="A2252" s="144" t="inlineStr">
        <is>
          <t>LOUISSAINT CARMELO</t>
        </is>
      </c>
      <c r="B2252" s="144" t="inlineStr">
        <is>
          <t>L253100852060 FL</t>
        </is>
      </c>
      <c r="C2252" s="144" t="inlineStr">
        <is>
          <t>DEAD HEAD</t>
        </is>
      </c>
      <c r="D2252" s="144" t="n">
        <v>3219455347</v>
      </c>
      <c r="E2252" s="144" t="inlineStr">
        <is>
          <t>BOX</t>
        </is>
      </c>
      <c r="F2252" s="144" t="inlineStr">
        <is>
          <t>SPG51559 IL</t>
        </is>
      </c>
      <c r="G2252" s="144" t="inlineStr">
        <is>
          <t>RED VOLVO</t>
        </is>
      </c>
      <c r="H2252" s="144" t="n">
        <v>1221</v>
      </c>
      <c r="I2252" s="144" t="inlineStr">
        <is>
          <t>COMMERCIAL</t>
        </is>
      </c>
    </row>
    <row r="2253" ht="18" customHeight="1" s="7">
      <c r="A2253" s="144" t="inlineStr">
        <is>
          <t>BRYAN HAYES</t>
        </is>
      </c>
      <c r="B2253" s="144" t="inlineStr">
        <is>
          <t>*069938282 GA</t>
        </is>
      </c>
      <c r="C2253" s="144" t="inlineStr">
        <is>
          <t xml:space="preserve">CEVA </t>
        </is>
      </c>
      <c r="D2253" s="144" t="n">
        <v>6786407758</v>
      </c>
      <c r="E2253" s="144" t="inlineStr">
        <is>
          <t>BOX</t>
        </is>
      </c>
      <c r="F2253" s="144" t="inlineStr">
        <is>
          <t>YVF162 GA</t>
        </is>
      </c>
      <c r="G2253" s="144" t="inlineStr">
        <is>
          <t>WHITE FREIGHTLINER</t>
        </is>
      </c>
      <c r="H2253" s="144" t="n">
        <v>1330</v>
      </c>
      <c r="I2253" s="144" t="inlineStr">
        <is>
          <t>COMMERCIAL</t>
        </is>
      </c>
    </row>
    <row r="2254" ht="18" customHeight="1" s="7">
      <c r="A2254" s="144" t="inlineStr">
        <is>
          <t>SEPULVEDA JORGE</t>
        </is>
      </c>
      <c r="B2254" s="144" t="inlineStr">
        <is>
          <t>S618019629000 FL</t>
        </is>
      </c>
      <c r="C2254" s="144" t="inlineStr">
        <is>
          <t>CJ FREIGHT</t>
        </is>
      </c>
      <c r="D2254" s="144" t="n">
        <v>9086237604</v>
      </c>
      <c r="E2254" s="144" t="inlineStr">
        <is>
          <t>FLAT</t>
        </is>
      </c>
      <c r="F2254" s="144" t="inlineStr">
        <is>
          <t>DF1FCZ FL</t>
        </is>
      </c>
      <c r="G2254" s="144" t="inlineStr">
        <is>
          <t>BLUE PETERBILT</t>
        </is>
      </c>
      <c r="H2254" s="144" t="n">
        <v>1221</v>
      </c>
      <c r="I2254" s="144" t="inlineStr">
        <is>
          <t>COMMERCIAL</t>
        </is>
      </c>
    </row>
    <row r="2255" ht="18" customHeight="1" s="7">
      <c r="A2255" s="144" t="inlineStr">
        <is>
          <t>HALL BERTRAND</t>
        </is>
      </c>
      <c r="B2255" s="144" t="inlineStr">
        <is>
          <t>RJ644806 OH</t>
        </is>
      </c>
      <c r="C2255" s="144" t="inlineStr">
        <is>
          <t>HALL LOGISTIC</t>
        </is>
      </c>
      <c r="D2255" s="144" t="n">
        <v>4408044945</v>
      </c>
      <c r="E2255" s="144" t="inlineStr">
        <is>
          <t>BOX</t>
        </is>
      </c>
      <c r="F2255" s="144" t="inlineStr">
        <is>
          <t>PXB2032 OH</t>
        </is>
      </c>
      <c r="G2255" s="144" t="inlineStr">
        <is>
          <t>WHITE FREIGHTLINER</t>
        </is>
      </c>
      <c r="H2255" s="144" t="n">
        <v>1221</v>
      </c>
      <c r="I2255" s="144" t="inlineStr">
        <is>
          <t>COMMERCIAL</t>
        </is>
      </c>
    </row>
    <row r="2256" ht="18" customHeight="1" s="7">
      <c r="A2256" s="144" t="inlineStr">
        <is>
          <t>TAVISH JOHNSON</t>
        </is>
      </c>
      <c r="B2256" s="144" t="inlineStr">
        <is>
          <t>059780878 GA</t>
        </is>
      </c>
      <c r="C2256" s="144" t="inlineStr">
        <is>
          <t>COCA COLA</t>
        </is>
      </c>
      <c r="D2256" s="144" t="n">
        <v>2293391653</v>
      </c>
      <c r="E2256" s="144" t="inlineStr">
        <is>
          <t>BOX</t>
        </is>
      </c>
      <c r="F2256" s="144" t="inlineStr">
        <is>
          <t>P680CHQ GA</t>
        </is>
      </c>
      <c r="G2256" s="144" t="inlineStr">
        <is>
          <t>RED FREIGHTLINER</t>
        </is>
      </c>
      <c r="H2256" s="144" t="n">
        <v>7501</v>
      </c>
      <c r="I2256" s="144" t="inlineStr">
        <is>
          <t>COMMERICAL</t>
        </is>
      </c>
    </row>
    <row r="2257" ht="18" customHeight="1" s="7">
      <c r="A2257" s="144" t="inlineStr">
        <is>
          <t>MEUS WISLER</t>
        </is>
      </c>
      <c r="B2257" s="144" t="inlineStr">
        <is>
          <t>M228486038000 FL</t>
        </is>
      </c>
      <c r="C2257" s="144" t="inlineStr">
        <is>
          <t>EBE TRANSPORT</t>
        </is>
      </c>
      <c r="D2257" s="144" t="n">
        <v>4073084486</v>
      </c>
      <c r="E2257" s="144" t="inlineStr">
        <is>
          <t>BOX</t>
        </is>
      </c>
      <c r="F2257" s="144" t="inlineStr">
        <is>
          <t>92QT6F MI</t>
        </is>
      </c>
      <c r="G2257" s="144" t="inlineStr">
        <is>
          <t>WHITE VOLVO</t>
        </is>
      </c>
      <c r="H2257" s="144" t="n">
        <v>1221</v>
      </c>
      <c r="I2257" s="144" t="inlineStr">
        <is>
          <t>COMMERICAL</t>
        </is>
      </c>
    </row>
    <row r="2258" ht="18" customHeight="1" s="7">
      <c r="A2258" s="144" t="inlineStr">
        <is>
          <t>STRUDGEON CHERYL</t>
        </is>
      </c>
      <c r="B2258" s="144" t="inlineStr">
        <is>
          <t>148267227 TN</t>
        </is>
      </c>
      <c r="C2258" s="144" t="inlineStr">
        <is>
          <t>LANDSTAR</t>
        </is>
      </c>
      <c r="D2258" s="144" t="n">
        <v>4079028040</v>
      </c>
      <c r="E2258" s="144" t="inlineStr">
        <is>
          <t>BOX</t>
        </is>
      </c>
      <c r="F2258" s="144" t="inlineStr">
        <is>
          <t>3411088 IN</t>
        </is>
      </c>
      <c r="G2258" s="144" t="inlineStr">
        <is>
          <t>WHITE FREIGHTLINER</t>
        </is>
      </c>
      <c r="H2258" s="144" t="n">
        <v>1221</v>
      </c>
      <c r="I2258" s="144" t="inlineStr">
        <is>
          <t>COMMERICAL</t>
        </is>
      </c>
    </row>
    <row r="2259" ht="18" customHeight="1" s="7">
      <c r="A2259" s="144" t="inlineStr">
        <is>
          <t>HAND DAQUAN</t>
        </is>
      </c>
      <c r="B2259" s="144" t="inlineStr">
        <is>
          <t>000034228527 NC</t>
        </is>
      </c>
      <c r="C2259" s="144" t="inlineStr">
        <is>
          <t>WS ROBINSON</t>
        </is>
      </c>
      <c r="D2259" s="144" t="n">
        <v>9107897287</v>
      </c>
      <c r="E2259" s="144" t="inlineStr">
        <is>
          <t>FLAT</t>
        </is>
      </c>
      <c r="F2259" s="144" t="inlineStr">
        <is>
          <t>NV9551 NC</t>
        </is>
      </c>
      <c r="G2259" s="144" t="inlineStr">
        <is>
          <t>BLUE PETERBUILT</t>
        </is>
      </c>
      <c r="H2259" s="144" t="n">
        <v>1221</v>
      </c>
      <c r="I2259" s="144" t="inlineStr">
        <is>
          <t>COMMERICAL</t>
        </is>
      </c>
    </row>
    <row r="2260" ht="18" customHeight="1" s="7">
      <c r="A2260" s="144" t="inlineStr">
        <is>
          <t>KENNETH ALLEN III</t>
        </is>
      </c>
      <c r="B2260" s="144" t="inlineStr">
        <is>
          <t>*054204825 GA</t>
        </is>
      </c>
      <c r="C2260" s="144" t="inlineStr">
        <is>
          <t>TURF LANDSCAPING</t>
        </is>
      </c>
      <c r="D2260" s="144" t="n">
        <v>2296721361</v>
      </c>
      <c r="E2260" s="144" t="inlineStr">
        <is>
          <t>PU</t>
        </is>
      </c>
      <c r="F2260" s="144" t="inlineStr">
        <is>
          <t>P6698838 GA</t>
        </is>
      </c>
      <c r="G2260" s="144" t="inlineStr">
        <is>
          <t xml:space="preserve">WHITE GMC </t>
        </is>
      </c>
      <c r="H2260" s="144" t="inlineStr">
        <is>
          <t>SOLAR PANEL</t>
        </is>
      </c>
      <c r="I2260" s="144" t="inlineStr">
        <is>
          <t>COMMERCIAL</t>
        </is>
      </c>
    </row>
    <row r="2261" ht="18" customHeight="1" s="7">
      <c r="A2261" s="144" t="inlineStr">
        <is>
          <t xml:space="preserve">ALDOPHE ARNOLD </t>
        </is>
      </c>
      <c r="B2261" s="144" t="inlineStr">
        <is>
          <t>A431000892550</t>
        </is>
      </c>
      <c r="C2261" s="144" t="inlineStr">
        <is>
          <t>ADENCE TRUCKING</t>
        </is>
      </c>
      <c r="D2261" s="144" t="n">
        <v>5612014856</v>
      </c>
      <c r="E2261" s="144" t="inlineStr">
        <is>
          <t>BOX</t>
        </is>
      </c>
      <c r="F2261" s="144" t="inlineStr">
        <is>
          <t>P1262659 IL</t>
        </is>
      </c>
      <c r="G2261" s="144" t="inlineStr">
        <is>
          <t>WHITE FREIGHTLINER</t>
        </is>
      </c>
      <c r="H2261" s="144" t="n">
        <v>1221</v>
      </c>
      <c r="I2261" s="144" t="inlineStr">
        <is>
          <t>COMMERCIAL</t>
        </is>
      </c>
    </row>
    <row r="2262" ht="18" customHeight="1" s="7">
      <c r="A2262" s="144" t="inlineStr">
        <is>
          <t>FERIDINAND RIVERA</t>
        </is>
      </c>
      <c r="B2262" s="144" t="inlineStr">
        <is>
          <t>*057237360 GA</t>
        </is>
      </c>
      <c r="C2262" s="144" t="inlineStr">
        <is>
          <t>MEDLOG</t>
        </is>
      </c>
      <c r="D2262" s="144" t="n">
        <v>7065241480</v>
      </c>
      <c r="E2262" s="144" t="inlineStr">
        <is>
          <t>BOX</t>
        </is>
      </c>
      <c r="F2262" s="144" t="inlineStr">
        <is>
          <t>3033878 IN</t>
        </is>
      </c>
      <c r="G2262" s="144" t="inlineStr">
        <is>
          <t>WHITE FREIGHTLINER</t>
        </is>
      </c>
      <c r="H2262" s="144" t="n">
        <v>1221</v>
      </c>
      <c r="I2262" s="144" t="inlineStr">
        <is>
          <t>COMMERCIAL</t>
        </is>
      </c>
    </row>
    <row r="2263" ht="18" customHeight="1" s="7">
      <c r="A2263" s="144" t="inlineStr">
        <is>
          <t>BORO GEORGE</t>
        </is>
      </c>
      <c r="B2263" s="144" t="inlineStr">
        <is>
          <t>*939048392 NY</t>
        </is>
      </c>
      <c r="C2263" s="144" t="inlineStr">
        <is>
          <t>ALL STATE TRANS</t>
        </is>
      </c>
      <c r="D2263" s="144" t="n">
        <v>5857272593</v>
      </c>
      <c r="E2263" s="144" t="inlineStr">
        <is>
          <t>BOX</t>
        </is>
      </c>
      <c r="F2263" s="144" t="inlineStr">
        <is>
          <t>35458PF NY</t>
        </is>
      </c>
      <c r="G2263" s="144" t="inlineStr">
        <is>
          <t>RED FREIGHTLINER</t>
        </is>
      </c>
      <c r="H2263" s="144" t="n">
        <v>1221</v>
      </c>
      <c r="I2263" s="144" t="inlineStr">
        <is>
          <t>COMMERCIAL</t>
        </is>
      </c>
    </row>
    <row r="2264" ht="18" customHeight="1" s="7">
      <c r="A2264" s="144" t="inlineStr">
        <is>
          <t>RIDGE BAGGETT</t>
        </is>
      </c>
      <c r="B2264" s="144" t="inlineStr">
        <is>
          <t>060808391 GA</t>
        </is>
      </c>
      <c r="C2264" s="144" t="inlineStr">
        <is>
          <t>CORBETT ELE</t>
        </is>
      </c>
      <c r="D2264" s="144" t="n">
        <v>2295594784</v>
      </c>
      <c r="E2264" s="144" t="inlineStr">
        <is>
          <t>PU</t>
        </is>
      </c>
      <c r="F2264" s="144" t="inlineStr">
        <is>
          <t>EEV234 GA</t>
        </is>
      </c>
      <c r="G2264" s="144" t="inlineStr">
        <is>
          <t>WHITE CHEV</t>
        </is>
      </c>
      <c r="H2264" s="144" t="inlineStr">
        <is>
          <t>BASEWIDE</t>
        </is>
      </c>
      <c r="I2264" s="144" t="inlineStr">
        <is>
          <t>CONTRACTOR</t>
        </is>
      </c>
    </row>
    <row r="2265" ht="18" customHeight="1" s="7">
      <c r="A2265" s="144" t="inlineStr">
        <is>
          <t>GENET JACOB</t>
        </is>
      </c>
      <c r="B2265" s="144" t="inlineStr">
        <is>
          <t xml:space="preserve">9370169487 IN </t>
        </is>
      </c>
      <c r="C2265" s="144" t="inlineStr">
        <is>
          <t xml:space="preserve">GIBCO </t>
        </is>
      </c>
      <c r="D2265" s="144" t="n">
        <v>8124539916</v>
      </c>
      <c r="E2265" s="144" t="inlineStr">
        <is>
          <t>BOX</t>
        </is>
      </c>
      <c r="F2265" s="144" t="inlineStr">
        <is>
          <t>3565056 IN</t>
        </is>
      </c>
      <c r="G2265" s="144" t="inlineStr">
        <is>
          <t>WHITE FREIGHTLINER</t>
        </is>
      </c>
      <c r="H2265" s="144" t="n">
        <v>1221</v>
      </c>
      <c r="I2265" s="144" t="inlineStr">
        <is>
          <t>COMMERCIAL</t>
        </is>
      </c>
    </row>
    <row r="2266" ht="18" customHeight="1" s="7">
      <c r="A2266" s="144" t="inlineStr">
        <is>
          <t>QUAVARRIUS BENNETT</t>
        </is>
      </c>
      <c r="B2266" s="144" t="inlineStr">
        <is>
          <t>056271987 GA</t>
        </is>
      </c>
      <c r="C2266" s="144" t="inlineStr">
        <is>
          <t>T FORCE</t>
        </is>
      </c>
      <c r="D2266" s="144" t="n">
        <v>2294459682</v>
      </c>
      <c r="E2266" s="144" t="inlineStr">
        <is>
          <t>BOX</t>
        </is>
      </c>
      <c r="F2266" s="144" t="inlineStr">
        <is>
          <t>3418380 IN</t>
        </is>
      </c>
      <c r="G2266" s="144" t="inlineStr">
        <is>
          <t>WHITE FREIGHTLINER</t>
        </is>
      </c>
      <c r="H2266" s="144" t="n">
        <v>1221</v>
      </c>
      <c r="I2266" s="144" t="inlineStr">
        <is>
          <t>COMMERICAL</t>
        </is>
      </c>
    </row>
    <row r="2267" ht="18" customHeight="1" s="7">
      <c r="A2267" s="144" t="inlineStr">
        <is>
          <t>JIMMIE REESE JR</t>
        </is>
      </c>
      <c r="B2267" s="144" t="inlineStr">
        <is>
          <t>6221892 AL</t>
        </is>
      </c>
      <c r="C2267" s="144" t="inlineStr">
        <is>
          <t>COVAN</t>
        </is>
      </c>
      <c r="D2267" s="144" t="n">
        <v>3342003198</v>
      </c>
      <c r="E2267" s="144" t="inlineStr">
        <is>
          <t>BOX</t>
        </is>
      </c>
      <c r="F2267" s="144" t="inlineStr">
        <is>
          <t>1175903 AL</t>
        </is>
      </c>
      <c r="G2267" s="144" t="inlineStr">
        <is>
          <t>WHITE FREIGHTLINER</t>
        </is>
      </c>
      <c r="H2267" s="144" t="inlineStr">
        <is>
          <t>HOUSING</t>
        </is>
      </c>
      <c r="I2267" s="144" t="inlineStr">
        <is>
          <t>COMMERCIAL</t>
        </is>
      </c>
    </row>
    <row r="2268" ht="18" customHeight="1" s="7">
      <c r="A2268" s="144" t="inlineStr">
        <is>
          <t>MARLON WALTON JR</t>
        </is>
      </c>
      <c r="B2268" s="144" t="inlineStr">
        <is>
          <t>*060542108 GA</t>
        </is>
      </c>
      <c r="C2268" s="144" t="inlineStr">
        <is>
          <t>MCCARLEY MOVING</t>
        </is>
      </c>
      <c r="D2268" s="144" t="n">
        <v>7064209023</v>
      </c>
      <c r="E2268" s="144" t="inlineStr">
        <is>
          <t>BOX</t>
        </is>
      </c>
      <c r="F2268" s="144" t="inlineStr">
        <is>
          <t>3108899 IN</t>
        </is>
      </c>
      <c r="G2268" s="144" t="inlineStr">
        <is>
          <t>WHITE INTER</t>
        </is>
      </c>
      <c r="H2268" s="144" t="inlineStr">
        <is>
          <t>HOUSING</t>
        </is>
      </c>
      <c r="I2268" s="144" t="inlineStr">
        <is>
          <t>COMMERCIAL</t>
        </is>
      </c>
    </row>
    <row r="2269" ht="18" customHeight="1" s="7">
      <c r="A2269" s="144" t="inlineStr">
        <is>
          <t>NEFF KEIN</t>
        </is>
      </c>
      <c r="B2269" s="144" t="inlineStr">
        <is>
          <t>*0220119912 IN</t>
        </is>
      </c>
      <c r="C2269" s="144" t="inlineStr">
        <is>
          <t>JR EXP</t>
        </is>
      </c>
      <c r="D2269" s="144" t="n">
        <v>8124991040</v>
      </c>
      <c r="E2269" s="144" t="inlineStr">
        <is>
          <t>BOX</t>
        </is>
      </c>
      <c r="F2269" s="144" t="inlineStr">
        <is>
          <t>3646534 IN</t>
        </is>
      </c>
      <c r="G2269" s="144" t="inlineStr">
        <is>
          <t>RED WESTERN</t>
        </is>
      </c>
      <c r="H2269" s="144" t="n">
        <v>1221</v>
      </c>
      <c r="I2269" s="144" t="inlineStr">
        <is>
          <t>COMMERCIAL</t>
        </is>
      </c>
    </row>
    <row r="2270" ht="18" customHeight="1" s="7">
      <c r="A2270" s="144" t="inlineStr">
        <is>
          <t>SYLVANIA WILKERSON JR</t>
        </is>
      </c>
      <c r="B2270" s="144" t="inlineStr">
        <is>
          <t>*059700965 GA</t>
        </is>
      </c>
      <c r="C2270" s="144" t="inlineStr">
        <is>
          <t>E TRANSPORT</t>
        </is>
      </c>
      <c r="D2270" s="144" t="n">
        <v>5052130407</v>
      </c>
      <c r="E2270" s="144" t="inlineStr">
        <is>
          <t>BOX</t>
        </is>
      </c>
      <c r="F2270" s="144" t="inlineStr">
        <is>
          <t>PXB3616 OH</t>
        </is>
      </c>
      <c r="G2270" s="144" t="inlineStr">
        <is>
          <t>WHITE FREIGHTLINER</t>
        </is>
      </c>
      <c r="H2270" s="144" t="n">
        <v>1221</v>
      </c>
      <c r="I2270" s="144" t="inlineStr">
        <is>
          <t>COMMERCIAL</t>
        </is>
      </c>
    </row>
    <row r="2271" ht="18" customHeight="1" s="7">
      <c r="A2271" s="144" t="inlineStr">
        <is>
          <t>MYRICK FAULK</t>
        </is>
      </c>
      <c r="B2271" s="144" t="inlineStr">
        <is>
          <t>*055691402 GA</t>
        </is>
      </c>
      <c r="C2271" s="144" t="inlineStr">
        <is>
          <t>TRIPLE STEEL</t>
        </is>
      </c>
      <c r="D2271" s="144" t="n">
        <v>4785388529</v>
      </c>
      <c r="E2271" s="144" t="inlineStr">
        <is>
          <t>FLAT</t>
        </is>
      </c>
      <c r="F2271" s="144" t="inlineStr">
        <is>
          <t>3565965 IN</t>
        </is>
      </c>
      <c r="G2271" s="144" t="inlineStr">
        <is>
          <t>WHITE FREIGHTLINER</t>
        </is>
      </c>
      <c r="H2271" s="144" t="n">
        <v>1330</v>
      </c>
      <c r="I2271" s="144" t="inlineStr">
        <is>
          <t>COMMERCIAL</t>
        </is>
      </c>
    </row>
    <row r="2272" ht="18" customHeight="1" s="7">
      <c r="A2272" s="144" t="inlineStr">
        <is>
          <t>MARTAE CARTER</t>
        </is>
      </c>
      <c r="B2272" s="144" t="inlineStr">
        <is>
          <t>*C63655274017 IL</t>
        </is>
      </c>
      <c r="C2272" s="144" t="inlineStr">
        <is>
          <t>A PRO</t>
        </is>
      </c>
      <c r="D2272" s="144" t="n">
        <v>7737595736</v>
      </c>
      <c r="E2272" s="144" t="inlineStr">
        <is>
          <t>BOX</t>
        </is>
      </c>
      <c r="F2272" s="144" t="inlineStr">
        <is>
          <t>P12308008 IL</t>
        </is>
      </c>
      <c r="G2272" s="144" t="inlineStr">
        <is>
          <t>WHITE FREIGHTLINER</t>
        </is>
      </c>
      <c r="H2272" s="144" t="n">
        <v>1221</v>
      </c>
      <c r="I2272" s="144" t="inlineStr">
        <is>
          <t>COMMERCIAL</t>
        </is>
      </c>
    </row>
    <row r="2273" ht="18" customHeight="1" s="7">
      <c r="A2273" s="144" t="inlineStr">
        <is>
          <t>HERRERA ERNESTO</t>
        </is>
      </c>
      <c r="B2273" s="144" t="inlineStr">
        <is>
          <t>*060392518 GA</t>
        </is>
      </c>
      <c r="C2273" s="144" t="inlineStr">
        <is>
          <t>WILLIAMS</t>
        </is>
      </c>
      <c r="D2273" s="144" t="n">
        <v>9128507251</v>
      </c>
      <c r="E2273" s="144" t="inlineStr">
        <is>
          <t>BOX</t>
        </is>
      </c>
      <c r="F2273" s="144" t="inlineStr">
        <is>
          <t>XE178W FL</t>
        </is>
      </c>
      <c r="G2273" s="144" t="inlineStr">
        <is>
          <t>WHITE VOLVO</t>
        </is>
      </c>
      <c r="H2273" s="144" t="n">
        <v>2200</v>
      </c>
      <c r="I2273" s="144" t="inlineStr">
        <is>
          <t>COMMERCIAL</t>
        </is>
      </c>
    </row>
    <row r="2274" ht="18" customHeight="1" s="7">
      <c r="A2274" s="144" t="inlineStr">
        <is>
          <t>CHARLIE EDWARDS</t>
        </is>
      </c>
      <c r="B2274" s="144" t="inlineStr">
        <is>
          <t>*051245672 GA</t>
        </is>
      </c>
      <c r="C2274" s="144" t="inlineStr">
        <is>
          <t>COCA COLA</t>
        </is>
      </c>
      <c r="D2274" s="144" t="n">
        <v>2293265866</v>
      </c>
      <c r="E2274" s="144" t="inlineStr">
        <is>
          <t>BOX</t>
        </is>
      </c>
      <c r="F2274" s="144" t="inlineStr">
        <is>
          <t>P683CL GA</t>
        </is>
      </c>
      <c r="G2274" s="144" t="inlineStr">
        <is>
          <t>RED INTERNATIONAL</t>
        </is>
      </c>
      <c r="H2274" s="144" t="n">
        <v>7450</v>
      </c>
      <c r="I2274" s="144" t="inlineStr">
        <is>
          <t>COMMERCIAL</t>
        </is>
      </c>
    </row>
    <row r="2275" ht="18" customHeight="1" s="7">
      <c r="A2275" s="144" t="inlineStr">
        <is>
          <t>FRANKLIN HUNTER JR</t>
        </is>
      </c>
      <c r="B2275" s="144" t="inlineStr">
        <is>
          <t>*028220046 GA</t>
        </is>
      </c>
      <c r="C2275" s="144" t="inlineStr">
        <is>
          <t>Z MASTER TRANS</t>
        </is>
      </c>
      <c r="D2275" s="144" t="n">
        <v>6786777639</v>
      </c>
      <c r="E2275" s="144" t="inlineStr">
        <is>
          <t>BOX</t>
        </is>
      </c>
      <c r="F2275" s="144" t="inlineStr">
        <is>
          <t>C682CN GA</t>
        </is>
      </c>
      <c r="G2275" s="144" t="inlineStr">
        <is>
          <t>WHITE VOLVO</t>
        </is>
      </c>
      <c r="H2275" s="144" t="n">
        <v>1221</v>
      </c>
      <c r="I2275" s="144" t="inlineStr">
        <is>
          <t>COMMERCIAL</t>
        </is>
      </c>
    </row>
    <row r="2276" ht="18" customHeight="1" s="7">
      <c r="A2276" s="144" t="inlineStr">
        <is>
          <t>JOHN MAYO</t>
        </is>
      </c>
      <c r="B2276" s="144" t="inlineStr">
        <is>
          <t>*052497394 GA</t>
        </is>
      </c>
      <c r="C2276" s="144" t="inlineStr">
        <is>
          <t>TWO STATE</t>
        </is>
      </c>
      <c r="D2276" s="144" t="n">
        <v>7066996087</v>
      </c>
      <c r="E2276" s="144" t="inlineStr">
        <is>
          <t>FLAT</t>
        </is>
      </c>
      <c r="F2276" s="144" t="inlineStr">
        <is>
          <t>P922CQ GA</t>
        </is>
      </c>
      <c r="G2276" s="144" t="inlineStr">
        <is>
          <t>WHITE PETERBILT</t>
        </is>
      </c>
      <c r="H2276" s="144" t="inlineStr">
        <is>
          <t>GATE 15</t>
        </is>
      </c>
      <c r="I2276" s="144" t="inlineStr">
        <is>
          <t>COMMERCIAL</t>
        </is>
      </c>
    </row>
    <row r="2277" ht="18" customHeight="1" s="7">
      <c r="A2277" s="144" t="inlineStr">
        <is>
          <t>LE LUC DINH</t>
        </is>
      </c>
      <c r="B2277" s="144" t="inlineStr">
        <is>
          <t>10066550 TX</t>
        </is>
      </c>
      <c r="C2277" s="144" t="inlineStr">
        <is>
          <t>UNITED WS</t>
        </is>
      </c>
      <c r="D2277" s="144" t="n">
        <v>8178666877</v>
      </c>
      <c r="E2277" s="144" t="inlineStr">
        <is>
          <t>BOX</t>
        </is>
      </c>
      <c r="F2277" s="144" t="inlineStr">
        <is>
          <t>R643030 TX</t>
        </is>
      </c>
      <c r="G2277" s="144" t="inlineStr">
        <is>
          <t>WHITE FREIGHTLINER</t>
        </is>
      </c>
      <c r="H2277" s="144" t="n">
        <v>1221</v>
      </c>
      <c r="I2277" s="144" t="inlineStr">
        <is>
          <t>COMMERCIAL</t>
        </is>
      </c>
    </row>
    <row r="2278" ht="18" customHeight="1" s="7">
      <c r="A2278" s="144" t="inlineStr">
        <is>
          <t>ALI MOHAMED</t>
        </is>
      </c>
      <c r="B2278" s="144" t="inlineStr">
        <is>
          <t>H14076996 NB</t>
        </is>
      </c>
      <c r="C2278" s="144" t="inlineStr">
        <is>
          <t>ANM TRANS</t>
        </is>
      </c>
      <c r="D2278" s="144" t="n">
        <v>3165597577</v>
      </c>
      <c r="E2278" s="144" t="inlineStr">
        <is>
          <t>BOX</t>
        </is>
      </c>
      <c r="F2278" s="144" t="inlineStr">
        <is>
          <t>R752873 TX</t>
        </is>
      </c>
      <c r="G2278" s="144" t="inlineStr">
        <is>
          <t>RED VOLVO</t>
        </is>
      </c>
      <c r="H2278" s="144" t="n">
        <v>1221</v>
      </c>
      <c r="I2278" s="144" t="inlineStr">
        <is>
          <t>COMMERCIAL</t>
        </is>
      </c>
    </row>
    <row r="2279" ht="18" customHeight="1" s="7">
      <c r="A2279" s="144" t="inlineStr">
        <is>
          <t>ERIC KENNEDY</t>
        </is>
      </c>
      <c r="B2279" s="144" t="inlineStr">
        <is>
          <t>*054807002 GA</t>
        </is>
      </c>
      <c r="C2279" s="144" t="inlineStr">
        <is>
          <t>HOBART</t>
        </is>
      </c>
      <c r="D2279" s="144" t="n">
        <v>7062299415</v>
      </c>
      <c r="E2279" s="144" t="inlineStr">
        <is>
          <t>VAN</t>
        </is>
      </c>
      <c r="F2279" s="144" t="inlineStr">
        <is>
          <t>RIEN9O FL</t>
        </is>
      </c>
      <c r="G2279" s="144" t="inlineStr">
        <is>
          <t>WHITE FORD</t>
        </is>
      </c>
      <c r="H2279" s="144" t="n">
        <v>7450</v>
      </c>
      <c r="I2279" s="144" t="inlineStr">
        <is>
          <t>CONTRACTOR</t>
        </is>
      </c>
    </row>
    <row r="2280" ht="18" customHeight="1" s="7">
      <c r="A2280" s="144" t="inlineStr">
        <is>
          <t>NGUYEN HIEN</t>
        </is>
      </c>
      <c r="B2280" s="144" t="inlineStr">
        <is>
          <t>38225567 TX</t>
        </is>
      </c>
      <c r="C2280" s="144" t="inlineStr">
        <is>
          <t>BNBB TRUCKING</t>
        </is>
      </c>
      <c r="D2280" s="144" t="n">
        <v>2819658866</v>
      </c>
      <c r="E2280" s="144" t="inlineStr">
        <is>
          <t>BOX</t>
        </is>
      </c>
      <c r="F2280" s="144" t="inlineStr">
        <is>
          <t>R720589 TX</t>
        </is>
      </c>
      <c r="G2280" s="144" t="inlineStr">
        <is>
          <t>ORANGE FREIGHTLINER</t>
        </is>
      </c>
      <c r="H2280" s="144" t="n">
        <v>1221</v>
      </c>
      <c r="I2280" s="144" t="inlineStr">
        <is>
          <t>COMMERCIAL</t>
        </is>
      </c>
    </row>
    <row r="2281" ht="18" customHeight="1" s="7">
      <c r="A2281" s="144" t="inlineStr">
        <is>
          <t>STEVEN JOHNSON</t>
        </is>
      </c>
      <c r="B2281" s="144" t="inlineStr">
        <is>
          <t>*061957933 GA</t>
        </is>
      </c>
      <c r="C2281" s="144" t="inlineStr">
        <is>
          <t>MCLANE</t>
        </is>
      </c>
      <c r="D2281" s="144" t="n">
        <v>3179852830</v>
      </c>
      <c r="E2281" s="144" t="inlineStr">
        <is>
          <t>BOX</t>
        </is>
      </c>
      <c r="F2281" s="144" t="inlineStr">
        <is>
          <t>P945395 IL</t>
        </is>
      </c>
      <c r="G2281" s="144" t="inlineStr">
        <is>
          <t>WHITE INTERNATIONAL</t>
        </is>
      </c>
      <c r="H2281" s="144" t="n">
        <v>7500</v>
      </c>
      <c r="I2281" s="144" t="inlineStr">
        <is>
          <t>COMMERCIAL</t>
        </is>
      </c>
    </row>
    <row r="2282" ht="18" customHeight="1" s="7">
      <c r="A2282" s="144" t="inlineStr">
        <is>
          <t>DAVID BELL</t>
        </is>
      </c>
      <c r="B2282" s="144" t="inlineStr">
        <is>
          <t>13325137 TX</t>
        </is>
      </c>
      <c r="C2282" s="144" t="inlineStr">
        <is>
          <t>SOLOYMIINC</t>
        </is>
      </c>
      <c r="D2282" s="144" t="n">
        <v>8324897568</v>
      </c>
      <c r="E2282" s="144" t="inlineStr">
        <is>
          <t>BOX</t>
        </is>
      </c>
      <c r="F2282" s="144" t="inlineStr">
        <is>
          <t>P1067868 IL</t>
        </is>
      </c>
      <c r="G2282" s="144" t="inlineStr">
        <is>
          <t>WHITE PETERBILT</t>
        </is>
      </c>
      <c r="H2282" s="144" t="n">
        <v>1221</v>
      </c>
      <c r="I2282" s="144" t="inlineStr">
        <is>
          <t>COMMERCIAL</t>
        </is>
      </c>
    </row>
    <row r="2283" ht="18" customHeight="1" s="7">
      <c r="A2283" s="144" t="inlineStr">
        <is>
          <t>RAMIZ SMITH</t>
        </is>
      </c>
      <c r="B2283" s="144" t="inlineStr">
        <is>
          <t>*011336078 LA</t>
        </is>
      </c>
      <c r="C2283" s="144" t="inlineStr">
        <is>
          <t>F7 TRANSPORT</t>
        </is>
      </c>
      <c r="D2283" s="144" t="n">
        <v>5043776250</v>
      </c>
      <c r="E2283" s="144" t="inlineStr">
        <is>
          <t>BOX</t>
        </is>
      </c>
      <c r="F2283" s="144" t="inlineStr">
        <is>
          <t>PXA1967 OH</t>
        </is>
      </c>
      <c r="G2283" s="144" t="inlineStr">
        <is>
          <t>WHITE FREIGHTLINER</t>
        </is>
      </c>
      <c r="H2283" s="144" t="n">
        <v>1351</v>
      </c>
      <c r="I2283" s="144" t="inlineStr">
        <is>
          <t>COMMERCIAL</t>
        </is>
      </c>
    </row>
    <row r="2284" ht="18" customHeight="1" s="7">
      <c r="A2284" s="144" t="inlineStr">
        <is>
          <t>STEPHANIE LEDBETER</t>
        </is>
      </c>
      <c r="B2284" s="144" t="inlineStr">
        <is>
          <t>*059596268 GA</t>
        </is>
      </c>
      <c r="C2284" s="144" t="inlineStr">
        <is>
          <t>MCCARLEY MOVING</t>
        </is>
      </c>
      <c r="D2284" s="144" t="n">
        <v>9432554592</v>
      </c>
      <c r="E2284" s="144" t="inlineStr">
        <is>
          <t>VAN</t>
        </is>
      </c>
      <c r="F2284" s="144" t="inlineStr">
        <is>
          <t>CYP4840 GA</t>
        </is>
      </c>
      <c r="G2284" s="144" t="inlineStr">
        <is>
          <t>WHITE FORD</t>
        </is>
      </c>
      <c r="H2284" s="144" t="inlineStr">
        <is>
          <t>HOUSING</t>
        </is>
      </c>
      <c r="I2284" s="144" t="inlineStr">
        <is>
          <t>CONTRACTOR</t>
        </is>
      </c>
    </row>
    <row r="2285" ht="18" customHeight="1" s="7">
      <c r="A2285" s="144" t="inlineStr">
        <is>
          <t>ROBERT BARFIELD</t>
        </is>
      </c>
      <c r="B2285" s="144" t="inlineStr">
        <is>
          <t>*054208611 GA</t>
        </is>
      </c>
      <c r="C2285" s="144" t="inlineStr">
        <is>
          <t>TURF CARE</t>
        </is>
      </c>
      <c r="D2285" s="144" t="n">
        <v>2293474243</v>
      </c>
      <c r="E2285" s="144" t="inlineStr">
        <is>
          <t>PU</t>
        </is>
      </c>
      <c r="F2285" s="144" t="inlineStr">
        <is>
          <t>SBY9285 GA</t>
        </is>
      </c>
      <c r="G2285" s="144" t="inlineStr">
        <is>
          <t>BLACK FORD</t>
        </is>
      </c>
      <c r="H2285" s="144" t="inlineStr">
        <is>
          <t>LANDFIELD</t>
        </is>
      </c>
      <c r="I2285" s="144" t="inlineStr">
        <is>
          <t>CONTRACTOR</t>
        </is>
      </c>
    </row>
    <row r="2286" ht="18" customHeight="1" s="7">
      <c r="A2286" s="144" t="inlineStr">
        <is>
          <t>MARK SCHROEDER</t>
        </is>
      </c>
      <c r="B2286" s="144" t="inlineStr">
        <is>
          <t>*054661514 GA</t>
        </is>
      </c>
      <c r="C2286" s="144" t="inlineStr">
        <is>
          <t>TURF CARE</t>
        </is>
      </c>
      <c r="D2286" s="144" t="n">
        <v>2298947571</v>
      </c>
      <c r="E2286" s="144" t="inlineStr">
        <is>
          <t>PU</t>
        </is>
      </c>
      <c r="F2286" s="144" t="inlineStr">
        <is>
          <t>SJM9342 GA</t>
        </is>
      </c>
      <c r="G2286" s="144" t="inlineStr">
        <is>
          <t>RED FORD</t>
        </is>
      </c>
      <c r="H2286" s="144" t="inlineStr">
        <is>
          <t>LANDFIELD</t>
        </is>
      </c>
      <c r="I2286" s="144" t="inlineStr">
        <is>
          <t>CONTRACTOR</t>
        </is>
      </c>
    </row>
    <row r="2287" ht="18" customHeight="1" s="7">
      <c r="A2287" s="144" t="inlineStr">
        <is>
          <t>LAWES KEVINSTON</t>
        </is>
      </c>
      <c r="B2287" s="144" t="inlineStr">
        <is>
          <t>106838792 SC</t>
        </is>
      </c>
      <c r="C2287" s="144" t="inlineStr">
        <is>
          <t>KKL</t>
        </is>
      </c>
      <c r="D2287" s="144" t="n">
        <v>8439997927</v>
      </c>
      <c r="E2287" s="144" t="inlineStr">
        <is>
          <t>BOX</t>
        </is>
      </c>
      <c r="F2287" s="144" t="inlineStr">
        <is>
          <t>JBW0612C SC</t>
        </is>
      </c>
      <c r="G2287" s="144" t="inlineStr">
        <is>
          <t>WHITE FREIGHTLINER</t>
        </is>
      </c>
      <c r="H2287" s="144" t="n">
        <v>1221</v>
      </c>
      <c r="I2287" s="144" t="inlineStr">
        <is>
          <t>CONTRACTOR</t>
        </is>
      </c>
    </row>
    <row r="2288" ht="18" customHeight="1" s="7">
      <c r="A2288" s="144" t="inlineStr">
        <is>
          <t>ALIYEV ABDULLA</t>
        </is>
      </c>
      <c r="B2288" s="144" t="inlineStr">
        <is>
          <t>TU427774 OH</t>
        </is>
      </c>
      <c r="C2288" s="144" t="inlineStr">
        <is>
          <t>USA CARGO</t>
        </is>
      </c>
      <c r="D2288" s="144" t="n">
        <v>9372661600</v>
      </c>
      <c r="E2288" s="144" t="inlineStr">
        <is>
          <t>FLAT</t>
        </is>
      </c>
      <c r="F2288" s="144" t="inlineStr">
        <is>
          <t>PXB4981 OH</t>
        </is>
      </c>
      <c r="G2288" s="144" t="inlineStr">
        <is>
          <t>WHITE PETERBILT</t>
        </is>
      </c>
      <c r="H2288" s="144" t="n">
        <v>1221</v>
      </c>
      <c r="I2288" s="144" t="inlineStr">
        <is>
          <t>COMMERCIAL</t>
        </is>
      </c>
    </row>
    <row r="2289" ht="18" customHeight="1" s="7">
      <c r="A2289" s="144" t="inlineStr">
        <is>
          <t>JAMES HUCKABY</t>
        </is>
      </c>
      <c r="B2289" s="144" t="inlineStr">
        <is>
          <t>*070296910 GA</t>
        </is>
      </c>
      <c r="C2289" s="144" t="inlineStr">
        <is>
          <t>AMERICAN TANK</t>
        </is>
      </c>
      <c r="D2289" s="144" t="n">
        <v>8004186099</v>
      </c>
      <c r="E2289" s="144" t="inlineStr">
        <is>
          <t>PU</t>
        </is>
      </c>
      <c r="F2289" s="144" t="inlineStr">
        <is>
          <t>DBS7507 WA</t>
        </is>
      </c>
      <c r="G2289" s="144" t="inlineStr">
        <is>
          <t>WHITE FORD</t>
        </is>
      </c>
      <c r="H2289" s="144" t="inlineStr">
        <is>
          <t>WATER TOWER</t>
        </is>
      </c>
      <c r="I2289" s="144" t="inlineStr">
        <is>
          <t>CONTRACTOR</t>
        </is>
      </c>
    </row>
    <row r="2290" ht="18" customHeight="1" s="7">
      <c r="A2290" s="144" t="inlineStr">
        <is>
          <t>VITALI ZEZIULEVICH</t>
        </is>
      </c>
      <c r="B2290" s="144" t="inlineStr">
        <is>
          <t>*000047561194 NC</t>
        </is>
      </c>
      <c r="C2290" s="144" t="inlineStr">
        <is>
          <t>FOLLOW DREAM</t>
        </is>
      </c>
      <c r="D2290" s="144" t="n">
        <v>2533176998</v>
      </c>
      <c r="E2290" s="144" t="inlineStr">
        <is>
          <t>BOX</t>
        </is>
      </c>
      <c r="F2290" s="144" t="inlineStr">
        <is>
          <t>P1268236 IL</t>
        </is>
      </c>
      <c r="G2290" s="144" t="inlineStr">
        <is>
          <t>WHITE VOLVO</t>
        </is>
      </c>
      <c r="H2290" s="144" t="n">
        <v>1221</v>
      </c>
      <c r="I2290" s="144" t="inlineStr">
        <is>
          <t>COMMERCIAL</t>
        </is>
      </c>
    </row>
    <row r="2291" ht="18" customHeight="1" s="7">
      <c r="A2291" s="144" t="inlineStr">
        <is>
          <t>SIARHEI NAZARAU</t>
        </is>
      </c>
      <c r="B2291" s="144" t="inlineStr">
        <is>
          <t>Y6740786 CA</t>
        </is>
      </c>
      <c r="C2291" s="144" t="inlineStr">
        <is>
          <t>FOLLOW DREAM</t>
        </is>
      </c>
      <c r="D2291" s="144" t="n">
        <v>7863574878</v>
      </c>
      <c r="E2291" s="144" t="inlineStr">
        <is>
          <t>BOX</t>
        </is>
      </c>
      <c r="F2291" s="144" t="inlineStr">
        <is>
          <t>P1100709 IL</t>
        </is>
      </c>
      <c r="G2291" s="144" t="inlineStr">
        <is>
          <t>WHITE VOLVO</t>
        </is>
      </c>
      <c r="H2291" s="144" t="n">
        <v>1221</v>
      </c>
      <c r="I2291" s="144" t="inlineStr">
        <is>
          <t>COMMERCIAL</t>
        </is>
      </c>
    </row>
    <row r="2292" ht="18" customHeight="1" s="7">
      <c r="A2292" s="144" t="inlineStr">
        <is>
          <t>ARTHUR WEST</t>
        </is>
      </c>
      <c r="B2292" s="144" t="inlineStr">
        <is>
          <t>5559353 AL</t>
        </is>
      </c>
      <c r="C2292" s="144" t="inlineStr">
        <is>
          <t>MERCER TRANS</t>
        </is>
      </c>
      <c r="D2292" s="144" t="n">
        <v>7064421993</v>
      </c>
      <c r="E2292" s="144" t="inlineStr">
        <is>
          <t>FLAT</t>
        </is>
      </c>
      <c r="F2292" s="144" t="inlineStr">
        <is>
          <t>3009986 IN</t>
        </is>
      </c>
      <c r="G2292" s="144" t="inlineStr">
        <is>
          <t>WHITE VOLVO</t>
        </is>
      </c>
      <c r="H2292" s="144" t="n">
        <v>1221</v>
      </c>
      <c r="I2292" s="144" t="inlineStr">
        <is>
          <t>COMMERCIAL</t>
        </is>
      </c>
    </row>
    <row r="2293" ht="18" customHeight="1" s="7">
      <c r="A2293" s="144" t="inlineStr">
        <is>
          <t>DEREK WEBB</t>
        </is>
      </c>
      <c r="B2293" s="144" t="inlineStr">
        <is>
          <t>*054297700 GA</t>
        </is>
      </c>
      <c r="C2293" s="144" t="inlineStr">
        <is>
          <t>QUALITY WRECKER</t>
        </is>
      </c>
      <c r="D2293" s="144" t="n">
        <v>2293762647</v>
      </c>
      <c r="E2293" s="144" t="inlineStr">
        <is>
          <t>TOW</t>
        </is>
      </c>
      <c r="F2293" s="144" t="inlineStr">
        <is>
          <t>C818EY GA</t>
        </is>
      </c>
      <c r="G2293" s="144" t="inlineStr">
        <is>
          <t>YELLOW KW</t>
        </is>
      </c>
      <c r="H2293" s="144" t="n">
        <v>1362</v>
      </c>
      <c r="I2293" s="144" t="inlineStr">
        <is>
          <t>COMMERCIAL</t>
        </is>
      </c>
    </row>
    <row r="2294" ht="18" customHeight="1" s="7">
      <c r="A2294" s="144" t="inlineStr">
        <is>
          <t>DENNIS FUCHS</t>
        </is>
      </c>
      <c r="B2294" s="144" t="inlineStr">
        <is>
          <t>*054736394 GA</t>
        </is>
      </c>
      <c r="C2294" s="144" t="inlineStr">
        <is>
          <t>CITY OF ALBANY</t>
        </is>
      </c>
      <c r="D2294" s="144" t="n">
        <v>2292066840</v>
      </c>
      <c r="E2294" s="144" t="inlineStr">
        <is>
          <t>PU</t>
        </is>
      </c>
      <c r="F2294" s="144" t="inlineStr">
        <is>
          <t>GV3414N GA</t>
        </is>
      </c>
      <c r="G2294" s="144" t="inlineStr">
        <is>
          <t>WHIE FORD</t>
        </is>
      </c>
      <c r="H2294" s="144" t="inlineStr">
        <is>
          <t>WATER TOWER</t>
        </is>
      </c>
      <c r="I2294" s="144" t="inlineStr">
        <is>
          <t>CONTRACTOR</t>
        </is>
      </c>
    </row>
    <row r="2295" ht="18" customHeight="1" s="7">
      <c r="A2295" s="144" t="inlineStr">
        <is>
          <t>ALIYEV ZIADINOVIC</t>
        </is>
      </c>
      <c r="B2295" s="144" t="inlineStr">
        <is>
          <t>A06450442 KY</t>
        </is>
      </c>
      <c r="C2295" s="144" t="inlineStr">
        <is>
          <t>EXPRESS TRUCKING</t>
        </is>
      </c>
      <c r="D2295" s="144" t="n">
        <v>5028763778</v>
      </c>
      <c r="E2295" s="144" t="inlineStr">
        <is>
          <t>BOX</t>
        </is>
      </c>
      <c r="F2295" s="144" t="inlineStr">
        <is>
          <t>005825A KY</t>
        </is>
      </c>
      <c r="G2295" s="144" t="inlineStr">
        <is>
          <t>WHITE KW</t>
        </is>
      </c>
      <c r="H2295" s="144" t="n">
        <v>1221</v>
      </c>
      <c r="I2295" s="144" t="inlineStr">
        <is>
          <t>COMMERCIAL</t>
        </is>
      </c>
    </row>
    <row r="2296" ht="18" customHeight="1" s="7">
      <c r="A2296" s="144" t="inlineStr">
        <is>
          <t>SAFAROV OTABEK</t>
        </is>
      </c>
      <c r="B2296" s="144" t="inlineStr">
        <is>
          <t>506154190 NY</t>
        </is>
      </c>
      <c r="C2296" s="144" t="inlineStr">
        <is>
          <t>TAMT</t>
        </is>
      </c>
      <c r="D2296" s="144" t="n">
        <v>3476629958</v>
      </c>
      <c r="E2296" s="144" t="inlineStr">
        <is>
          <t>BOX</t>
        </is>
      </c>
      <c r="F2296" s="144" t="inlineStr">
        <is>
          <t>13471PF NY</t>
        </is>
      </c>
      <c r="G2296" s="144" t="inlineStr">
        <is>
          <t>RED FREIGHTLINER</t>
        </is>
      </c>
      <c r="H2296" s="144" t="n">
        <v>1221</v>
      </c>
      <c r="I2296" s="144" t="inlineStr">
        <is>
          <t>COMMERCIAL</t>
        </is>
      </c>
    </row>
    <row r="2297" ht="18" customHeight="1" s="7">
      <c r="A2297" s="144" t="inlineStr">
        <is>
          <t>OLEKSANOR KHARCHENKO</t>
        </is>
      </c>
      <c r="B2297" s="144" t="inlineStr">
        <is>
          <t>K606552891000 FL</t>
        </is>
      </c>
      <c r="C2297" s="144" t="inlineStr">
        <is>
          <t>CSI CARGO</t>
        </is>
      </c>
      <c r="D2297" s="144" t="n">
        <v>8632317404</v>
      </c>
      <c r="E2297" s="144" t="inlineStr">
        <is>
          <t>BOX</t>
        </is>
      </c>
      <c r="F2297" s="144" t="inlineStr">
        <is>
          <t>P1207132 IL</t>
        </is>
      </c>
      <c r="G2297" s="144" t="inlineStr">
        <is>
          <t>WHITE VOLVO</t>
        </is>
      </c>
      <c r="H2297" s="144" t="n">
        <v>1221</v>
      </c>
      <c r="I2297" s="144" t="inlineStr">
        <is>
          <t>COMMERCIAL</t>
        </is>
      </c>
    </row>
    <row r="2298" ht="18" customHeight="1" s="7">
      <c r="A2298" s="144" t="inlineStr">
        <is>
          <t>MICHAEL HILL</t>
        </is>
      </c>
      <c r="B2298" s="144" t="inlineStr">
        <is>
          <t>*028127309 GA</t>
        </is>
      </c>
      <c r="C2298" s="144" t="inlineStr">
        <is>
          <t>GTS</t>
        </is>
      </c>
      <c r="D2298" s="144" t="n">
        <v>4043805285</v>
      </c>
      <c r="E2298" s="144" t="inlineStr">
        <is>
          <t>FLAT</t>
        </is>
      </c>
      <c r="F2298" s="144" t="inlineStr">
        <is>
          <t>C7561A GA</t>
        </is>
      </c>
      <c r="G2298" s="144" t="inlineStr">
        <is>
          <t>WHITE KW</t>
        </is>
      </c>
      <c r="H2298" s="144" t="n">
        <v>1221</v>
      </c>
      <c r="I2298" s="144" t="inlineStr">
        <is>
          <t>COMMERCIAL</t>
        </is>
      </c>
    </row>
    <row r="2299" ht="18" customHeight="1" s="7">
      <c r="A2299" s="144" t="inlineStr">
        <is>
          <t>JON NELSON</t>
        </is>
      </c>
      <c r="B2299" s="144" t="inlineStr">
        <is>
          <t>106206025 SC</t>
        </is>
      </c>
      <c r="C2299" s="144" t="inlineStr">
        <is>
          <t>ACDC</t>
        </is>
      </c>
      <c r="D2299" s="144" t="n">
        <v>4043613788</v>
      </c>
      <c r="E2299" s="144" t="inlineStr">
        <is>
          <t>VAN</t>
        </is>
      </c>
      <c r="F2299" s="144" t="inlineStr">
        <is>
          <t>CMA1782 GA</t>
        </is>
      </c>
      <c r="G2299" s="144" t="inlineStr">
        <is>
          <t>WHITE FORD</t>
        </is>
      </c>
      <c r="H2299" s="144" t="n">
        <v>3500</v>
      </c>
      <c r="I2299" s="144" t="inlineStr">
        <is>
          <t>CONTRACTOR</t>
        </is>
      </c>
    </row>
    <row r="2300" ht="18" customHeight="1" s="7">
      <c r="A2300" s="144" t="inlineStr">
        <is>
          <t>JOSEPH SAPP</t>
        </is>
      </c>
      <c r="B2300" s="144" t="inlineStr">
        <is>
          <t>*054263878 GA</t>
        </is>
      </c>
      <c r="C2300" s="144" t="inlineStr">
        <is>
          <t>CAPITAL MATERIALS</t>
        </is>
      </c>
      <c r="D2300" s="144" t="n">
        <v>2296690307</v>
      </c>
      <c r="E2300" s="144" t="inlineStr">
        <is>
          <t>CRANE</t>
        </is>
      </c>
      <c r="F2300" s="144" t="inlineStr">
        <is>
          <t>P6194B GA</t>
        </is>
      </c>
      <c r="G2300" s="144" t="inlineStr">
        <is>
          <t>ORANGE WESTERN STAR</t>
        </is>
      </c>
      <c r="H2300" s="144" t="n">
        <v>3600</v>
      </c>
      <c r="I2300" s="144" t="inlineStr">
        <is>
          <t>COMMERCIAL</t>
        </is>
      </c>
    </row>
    <row r="2301" ht="18" customHeight="1" s="7">
      <c r="A2301" s="144" t="inlineStr">
        <is>
          <t>CASEY GREENE</t>
        </is>
      </c>
      <c r="B2301" s="144" t="inlineStr">
        <is>
          <t>1530375195 IN</t>
        </is>
      </c>
      <c r="C2301" s="144" t="inlineStr">
        <is>
          <t>ADVANCED TRUCKING</t>
        </is>
      </c>
      <c r="D2301" s="144" t="n">
        <v>7655463108</v>
      </c>
      <c r="E2301" s="144" t="inlineStr">
        <is>
          <t>BOX</t>
        </is>
      </c>
      <c r="F2301" s="144" t="inlineStr">
        <is>
          <t>3747484 IN</t>
        </is>
      </c>
      <c r="G2301" s="144" t="inlineStr">
        <is>
          <t>RED KENWORTH</t>
        </is>
      </c>
      <c r="H2301" s="144" t="n">
        <v>1221</v>
      </c>
      <c r="I2301" s="144" t="inlineStr">
        <is>
          <t>COMMERCIAL</t>
        </is>
      </c>
    </row>
    <row r="2302" ht="18" customHeight="1" s="7">
      <c r="A2302" s="144" t="inlineStr">
        <is>
          <t>JASON KIRKLAND</t>
        </is>
      </c>
      <c r="B2302" s="144" t="inlineStr">
        <is>
          <t>6270304 AL</t>
        </is>
      </c>
      <c r="C2302" s="144" t="inlineStr">
        <is>
          <t>KNIGHTS</t>
        </is>
      </c>
      <c r="D2302" s="144" t="n">
        <v>3348993257</v>
      </c>
      <c r="E2302" s="144" t="inlineStr">
        <is>
          <t>FLAT</t>
        </is>
      </c>
      <c r="F2302" s="144" t="inlineStr">
        <is>
          <t>1221144 AL</t>
        </is>
      </c>
      <c r="G2302" s="144" t="inlineStr">
        <is>
          <t>RED PETERBILT</t>
        </is>
      </c>
      <c r="H2302" s="144" t="inlineStr">
        <is>
          <t>RANGE</t>
        </is>
      </c>
      <c r="I2302" s="144" t="inlineStr">
        <is>
          <t>COMMERCIAL</t>
        </is>
      </c>
    </row>
    <row r="2303" ht="18" customHeight="1" s="7">
      <c r="A2303" s="144" t="inlineStr">
        <is>
          <t>BROCK LUCAS</t>
        </is>
      </c>
      <c r="B2303" s="144" t="inlineStr">
        <is>
          <t>*061672320 GA</t>
        </is>
      </c>
      <c r="C2303" s="144" t="inlineStr">
        <is>
          <t>COMFORT SYSTEMS</t>
        </is>
      </c>
      <c r="D2303" s="144" t="n">
        <v>2292428288</v>
      </c>
      <c r="E2303" s="144" t="inlineStr">
        <is>
          <t>VAN</t>
        </is>
      </c>
      <c r="F2303" s="144" t="inlineStr">
        <is>
          <t>SEH4427 GA</t>
        </is>
      </c>
      <c r="G2303" s="144" t="inlineStr">
        <is>
          <t>WHITE CHEVY</t>
        </is>
      </c>
      <c r="H2303" s="144" t="n">
        <v>1250</v>
      </c>
      <c r="I2303" s="144" t="inlineStr">
        <is>
          <t>CONTRACTOR</t>
        </is>
      </c>
    </row>
    <row r="2304" ht="18" customHeight="1" s="7">
      <c r="A2304" s="144" t="inlineStr">
        <is>
          <t>NAZIROV SHAVKATOVICH</t>
        </is>
      </c>
      <c r="B2304" s="144" t="inlineStr">
        <is>
          <t>777853371 NY</t>
        </is>
      </c>
      <c r="C2304" s="144" t="inlineStr">
        <is>
          <t>LOGEX TRANS</t>
        </is>
      </c>
      <c r="D2304" s="144" t="n">
        <v>6463161011</v>
      </c>
      <c r="E2304" s="144" t="inlineStr">
        <is>
          <t>BOX</t>
        </is>
      </c>
      <c r="F2304" s="144" t="inlineStr">
        <is>
          <t>AH56873 PA</t>
        </is>
      </c>
      <c r="G2304" s="144" t="inlineStr">
        <is>
          <t>WHITE FREIGHTLINER</t>
        </is>
      </c>
      <c r="H2304" s="144" t="n">
        <v>1221</v>
      </c>
      <c r="I2304" s="144" t="inlineStr">
        <is>
          <t>COMMERCIAL</t>
        </is>
      </c>
    </row>
    <row r="2305" ht="18" customHeight="1" s="7">
      <c r="A2305" s="144" t="inlineStr">
        <is>
          <t>RASHAD TILLMAN</t>
        </is>
      </c>
      <c r="B2305" s="144" t="inlineStr">
        <is>
          <t>*052750502 GA</t>
        </is>
      </c>
      <c r="C2305" s="144" t="inlineStr">
        <is>
          <t>EXPRESS CARRIER</t>
        </is>
      </c>
      <c r="D2305" s="144" t="n">
        <v>2294442145</v>
      </c>
      <c r="E2305" s="144" t="inlineStr">
        <is>
          <t>BOX</t>
        </is>
      </c>
      <c r="F2305" s="144" t="inlineStr">
        <is>
          <t>P1298784 IL</t>
        </is>
      </c>
      <c r="G2305" s="144" t="inlineStr">
        <is>
          <t>WHITE INTERNATIONAL</t>
        </is>
      </c>
      <c r="H2305" s="144" t="n">
        <v>1221</v>
      </c>
      <c r="I2305" s="144" t="inlineStr">
        <is>
          <t>COMMERCIAL</t>
        </is>
      </c>
    </row>
    <row r="2306" ht="18" customHeight="1" s="7">
      <c r="A2306" s="144" t="inlineStr">
        <is>
          <t>STEADMAN TAYLOR</t>
        </is>
      </c>
      <c r="B2306" s="144" t="inlineStr">
        <is>
          <t>7663530 AL</t>
        </is>
      </c>
      <c r="C2306" s="144" t="inlineStr">
        <is>
          <t>SPARTAN NASH</t>
        </is>
      </c>
      <c r="D2306" s="144" t="n">
        <v>7622077310</v>
      </c>
      <c r="E2306" s="144" t="inlineStr">
        <is>
          <t>BOX</t>
        </is>
      </c>
      <c r="F2306" s="144" t="inlineStr">
        <is>
          <t>217042 NB</t>
        </is>
      </c>
      <c r="G2306" s="144" t="inlineStr">
        <is>
          <t>WHITE KENWORTH</t>
        </is>
      </c>
      <c r="H2306" s="144" t="n">
        <v>7500</v>
      </c>
      <c r="I2306" s="144" t="inlineStr">
        <is>
          <t>COMMERCIAL</t>
        </is>
      </c>
    </row>
    <row r="2307" ht="18" customHeight="1" s="7">
      <c r="A2307" s="144" t="inlineStr">
        <is>
          <t>THOMAS RUSSELBURG</t>
        </is>
      </c>
      <c r="B2307" s="144" t="inlineStr">
        <is>
          <t>1760434703 IN</t>
        </is>
      </c>
      <c r="C2307" s="144" t="inlineStr">
        <is>
          <t>JR EXP FREIGHT</t>
        </is>
      </c>
      <c r="D2307" s="144" t="n">
        <v>8123094432</v>
      </c>
      <c r="E2307" s="144" t="inlineStr">
        <is>
          <t>BOX</t>
        </is>
      </c>
      <c r="F2307" s="144" t="inlineStr">
        <is>
          <t>3515151 IN</t>
        </is>
      </c>
      <c r="G2307" s="144" t="inlineStr">
        <is>
          <t>RED WESTERN</t>
        </is>
      </c>
      <c r="H2307" s="144" t="n">
        <v>1221</v>
      </c>
      <c r="I2307" s="144" t="inlineStr">
        <is>
          <t>COMMERCIAL</t>
        </is>
      </c>
    </row>
    <row r="2308" ht="18" customHeight="1" s="7">
      <c r="A2308" s="144" t="inlineStr">
        <is>
          <t>LIZ MARTIN</t>
        </is>
      </c>
      <c r="B2308" s="144" t="inlineStr">
        <is>
          <t>*061848095 GA</t>
        </is>
      </c>
      <c r="C2308" s="144" t="inlineStr">
        <is>
          <t>ARHAUS</t>
        </is>
      </c>
      <c r="D2308" s="144" t="n">
        <v>4705130486</v>
      </c>
      <c r="E2308" s="144" t="inlineStr">
        <is>
          <t>BOX</t>
        </is>
      </c>
      <c r="F2308" s="144" t="inlineStr">
        <is>
          <t>GFK582 GA</t>
        </is>
      </c>
      <c r="G2308" s="144" t="inlineStr">
        <is>
          <t>WHITE FREIGHTLINER</t>
        </is>
      </c>
      <c r="H2308" s="144" t="inlineStr">
        <is>
          <t>HOUSING</t>
        </is>
      </c>
      <c r="I2308" s="144" t="inlineStr">
        <is>
          <t>COMMERCIAL</t>
        </is>
      </c>
    </row>
    <row r="2309" ht="18" customHeight="1" s="7">
      <c r="A2309" s="144" t="inlineStr">
        <is>
          <t xml:space="preserve"> DAVID KOLODY</t>
        </is>
      </c>
      <c r="B2309" s="144" t="inlineStr">
        <is>
          <t>*037337741 GA</t>
        </is>
      </c>
      <c r="C2309" s="144" t="inlineStr">
        <is>
          <t>SEPTIC SOLUTIONS</t>
        </is>
      </c>
      <c r="D2309" s="144" t="n">
        <v>2294070939</v>
      </c>
      <c r="E2309" s="144" t="inlineStr">
        <is>
          <t>PU</t>
        </is>
      </c>
      <c r="F2309" s="144" t="inlineStr">
        <is>
          <t>SIL0550 GA</t>
        </is>
      </c>
      <c r="G2309" s="144" t="inlineStr">
        <is>
          <t>WHITE FORD</t>
        </is>
      </c>
      <c r="H2309" s="144" t="inlineStr">
        <is>
          <t>GYM</t>
        </is>
      </c>
      <c r="I2309" s="144" t="inlineStr">
        <is>
          <t>CONTRACTOR</t>
        </is>
      </c>
    </row>
    <row r="2310" ht="18" customHeight="1" s="7">
      <c r="A2310" s="144" t="inlineStr">
        <is>
          <t>JEFFREY PENHA</t>
        </is>
      </c>
      <c r="B2310" s="144" t="inlineStr">
        <is>
          <t>50279350 TX</t>
        </is>
      </c>
      <c r="C2310" s="144" t="inlineStr">
        <is>
          <t>JACKSON</t>
        </is>
      </c>
      <c r="D2310" s="144" t="n">
        <v>4434424328</v>
      </c>
      <c r="E2310" s="144" t="inlineStr">
        <is>
          <t>BOX</t>
        </is>
      </c>
      <c r="F2310" s="144" t="inlineStr">
        <is>
          <t>207833 KS</t>
        </is>
      </c>
      <c r="G2310" s="144" t="inlineStr">
        <is>
          <t>WHITE KENWORTH</t>
        </is>
      </c>
      <c r="H2310" s="144" t="n">
        <v>1221</v>
      </c>
      <c r="I2310" s="144" t="inlineStr">
        <is>
          <t>COMMERCIAL</t>
        </is>
      </c>
    </row>
    <row r="2311" ht="18" customHeight="1" s="7">
      <c r="A2311" s="144" t="inlineStr">
        <is>
          <t>TAMARRA JONES</t>
        </is>
      </c>
      <c r="B2311" s="144" t="inlineStr">
        <is>
          <t>7176394 AL</t>
        </is>
      </c>
      <c r="C2311" s="144" t="inlineStr">
        <is>
          <t>COLEMAN MOVING</t>
        </is>
      </c>
      <c r="D2311" s="144" t="n">
        <v>3343338729</v>
      </c>
      <c r="E2311" s="144" t="inlineStr">
        <is>
          <t>BOX</t>
        </is>
      </c>
      <c r="F2311" s="144" t="inlineStr">
        <is>
          <t>1184893 AL</t>
        </is>
      </c>
      <c r="G2311" s="144" t="inlineStr">
        <is>
          <t>WHITE HINO</t>
        </is>
      </c>
      <c r="H2311" s="144" t="inlineStr">
        <is>
          <t>HOUSING</t>
        </is>
      </c>
      <c r="I2311" s="144" t="inlineStr">
        <is>
          <t>COMMERCIAL</t>
        </is>
      </c>
    </row>
    <row r="2312" ht="18" customHeight="1" s="7">
      <c r="A2312" s="144" t="inlineStr">
        <is>
          <t>MARCUS BRADLEY</t>
        </is>
      </c>
      <c r="B2312" s="144" t="inlineStr">
        <is>
          <t>B634544840670 FL</t>
        </is>
      </c>
      <c r="C2312" s="144" t="inlineStr">
        <is>
          <t>TMZ</t>
        </is>
      </c>
      <c r="D2312" s="144" t="n">
        <v>8503637369</v>
      </c>
      <c r="E2312" s="144" t="inlineStr">
        <is>
          <t>BOX</t>
        </is>
      </c>
      <c r="F2312" s="144" t="inlineStr">
        <is>
          <t>XE590Y FL</t>
        </is>
      </c>
      <c r="G2312" s="144" t="inlineStr">
        <is>
          <t>WHITE FREIGHTLINER</t>
        </is>
      </c>
      <c r="H2312" s="144" t="n">
        <v>7501</v>
      </c>
      <c r="I2312" s="144" t="inlineStr">
        <is>
          <t>COMMERCIAL</t>
        </is>
      </c>
    </row>
    <row r="2313" ht="18" customHeight="1" s="7">
      <c r="A2313" s="144" t="inlineStr">
        <is>
          <t>MICHAEL LAND</t>
        </is>
      </c>
      <c r="B2313" s="144" t="inlineStr">
        <is>
          <t>*057656458 GA</t>
        </is>
      </c>
      <c r="C2313" s="144" t="inlineStr">
        <is>
          <t>AMERICAN PIPING</t>
        </is>
      </c>
      <c r="D2313" s="144" t="n">
        <v>4782506860</v>
      </c>
      <c r="E2313" s="144" t="inlineStr">
        <is>
          <t>PU</t>
        </is>
      </c>
      <c r="F2313" s="144" t="inlineStr">
        <is>
          <t>CYR7923 GA</t>
        </is>
      </c>
      <c r="G2313" s="144" t="inlineStr">
        <is>
          <t>RED FORD</t>
        </is>
      </c>
      <c r="H2313" s="144" t="n">
        <v>1330</v>
      </c>
      <c r="I2313" s="144" t="inlineStr">
        <is>
          <t>CONTRACTOR</t>
        </is>
      </c>
    </row>
    <row r="2314" ht="18" customHeight="1" s="7">
      <c r="A2314" s="144" t="inlineStr">
        <is>
          <t>RICHARD MOORE</t>
        </is>
      </c>
      <c r="B2314" s="144" t="inlineStr">
        <is>
          <t>*067683692 TN</t>
        </is>
      </c>
      <c r="C2314" s="144" t="inlineStr">
        <is>
          <t>SAVAGE FREIGHT</t>
        </is>
      </c>
      <c r="D2314" s="144" t="n">
        <v>8652066834</v>
      </c>
      <c r="E2314" s="144" t="inlineStr">
        <is>
          <t>BOX</t>
        </is>
      </c>
      <c r="F2314" s="144" t="inlineStr">
        <is>
          <t>T6495HY TN</t>
        </is>
      </c>
      <c r="G2314" s="144" t="inlineStr">
        <is>
          <t>SILVER PETERBILT</t>
        </is>
      </c>
      <c r="H2314" s="144" t="n">
        <v>1221</v>
      </c>
      <c r="I2314" s="144" t="inlineStr">
        <is>
          <t>COMMERCIAL</t>
        </is>
      </c>
    </row>
    <row r="2315" ht="18" customHeight="1" s="7">
      <c r="A2315" s="144" t="inlineStr">
        <is>
          <t>UPSHAW ANGUS</t>
        </is>
      </c>
      <c r="B2315" s="144" t="inlineStr">
        <is>
          <t>1601530627 NE</t>
        </is>
      </c>
      <c r="C2315" s="144" t="inlineStr">
        <is>
          <t>ALFA FREIGHT</t>
        </is>
      </c>
      <c r="D2315" s="144" t="n">
        <v>7252302825</v>
      </c>
      <c r="E2315" s="144" t="inlineStr">
        <is>
          <t>FLAT</t>
        </is>
      </c>
      <c r="F2315" s="144" t="inlineStr">
        <is>
          <t>YP34914 CA</t>
        </is>
      </c>
      <c r="G2315" s="144" t="inlineStr">
        <is>
          <t>GRAY VOLVO</t>
        </is>
      </c>
      <c r="H2315" s="144" t="n">
        <v>1221</v>
      </c>
      <c r="I2315" s="144" t="inlineStr">
        <is>
          <t>COMMERCIAL</t>
        </is>
      </c>
    </row>
    <row r="2316" ht="18" customHeight="1" s="7">
      <c r="A2316" s="144" t="inlineStr">
        <is>
          <t>MAHAMAT AHMAT</t>
        </is>
      </c>
      <c r="B2316" s="144" t="inlineStr">
        <is>
          <t>UP293378 OH</t>
        </is>
      </c>
      <c r="C2316" s="144" t="inlineStr">
        <is>
          <t>GG CARGO</t>
        </is>
      </c>
      <c r="D2316" s="144" t="n">
        <v>3083891528</v>
      </c>
      <c r="E2316" s="144" t="inlineStr">
        <is>
          <t>BOX</t>
        </is>
      </c>
      <c r="F2316" s="144" t="inlineStr">
        <is>
          <t>54964PZ VA</t>
        </is>
      </c>
      <c r="G2316" s="144" t="inlineStr">
        <is>
          <t>WHITE FREIGHTLINER</t>
        </is>
      </c>
      <c r="H2316" s="144" t="n">
        <v>1221</v>
      </c>
      <c r="I2316" s="144" t="inlineStr">
        <is>
          <t>COMMERCIAL</t>
        </is>
      </c>
    </row>
    <row r="2317" ht="18" customHeight="1" s="7">
      <c r="A2317" s="144" t="inlineStr">
        <is>
          <t>PHILLIP SPILLERS</t>
        </is>
      </c>
      <c r="B2317" s="144" t="inlineStr">
        <is>
          <t>*051170287 GA</t>
        </is>
      </c>
      <c r="C2317" s="144" t="inlineStr">
        <is>
          <t>ALBANY BEVRAGE</t>
        </is>
      </c>
      <c r="D2317" s="144" t="n">
        <v>2293441505</v>
      </c>
      <c r="E2317" s="144" t="inlineStr">
        <is>
          <t>BOX</t>
        </is>
      </c>
      <c r="F2317" s="144" t="inlineStr">
        <is>
          <t>PH1389 GA</t>
        </is>
      </c>
      <c r="G2317" s="144" t="inlineStr">
        <is>
          <t>WHITE FREIGHTLINER</t>
        </is>
      </c>
      <c r="H2317" s="144" t="n">
        <v>7501</v>
      </c>
      <c r="I2317" s="144" t="inlineStr">
        <is>
          <t>COMMERCIAL</t>
        </is>
      </c>
    </row>
    <row r="2318" ht="18" customHeight="1" s="7">
      <c r="A2318" s="144" t="inlineStr">
        <is>
          <t>MALESEVIC RODOLJUB</t>
        </is>
      </c>
      <c r="B2318" s="144" t="inlineStr">
        <is>
          <t>M02726630007772 NJ</t>
        </is>
      </c>
      <c r="C2318" s="144" t="inlineStr">
        <is>
          <t>BLAVOR</t>
        </is>
      </c>
      <c r="D2318" s="144" t="n">
        <v>2016673067</v>
      </c>
      <c r="E2318" s="144" t="inlineStr">
        <is>
          <t>BOX</t>
        </is>
      </c>
      <c r="F2318" s="144" t="inlineStr">
        <is>
          <t>ANO1615 AZ</t>
        </is>
      </c>
      <c r="G2318" s="144" t="inlineStr">
        <is>
          <t>BLUE VOLVO</t>
        </is>
      </c>
      <c r="H2318" s="144" t="n">
        <v>1221</v>
      </c>
      <c r="I2318" s="144" t="inlineStr">
        <is>
          <t>COMMERCIAL</t>
        </is>
      </c>
    </row>
    <row r="2319" ht="18" customHeight="1" s="7">
      <c r="A2319" s="144" t="inlineStr">
        <is>
          <t>FONSECA RODOLFO</t>
        </is>
      </c>
      <c r="B2319" s="144" t="inlineStr">
        <is>
          <t>F218647971000 FL</t>
        </is>
      </c>
      <c r="C2319" s="144" t="inlineStr">
        <is>
          <t>EFFICIENT</t>
        </is>
      </c>
      <c r="D2319" s="144" t="n">
        <v>8134014642</v>
      </c>
      <c r="E2319" s="144" t="inlineStr">
        <is>
          <t>BOX</t>
        </is>
      </c>
      <c r="F2319" s="144" t="inlineStr">
        <is>
          <t>3329570 IN</t>
        </is>
      </c>
      <c r="G2319" s="144" t="inlineStr">
        <is>
          <t>WHITE FREIGHTLINER</t>
        </is>
      </c>
      <c r="H2319" s="144" t="n">
        <v>1221</v>
      </c>
      <c r="I2319" s="144" t="inlineStr">
        <is>
          <t>COMMERCIAL</t>
        </is>
      </c>
    </row>
    <row r="2320" ht="18" customHeight="1" s="7">
      <c r="A2320" s="144" t="inlineStr">
        <is>
          <t>SEAN GOLDBURN</t>
        </is>
      </c>
      <c r="B2320" s="144" t="inlineStr">
        <is>
          <t>*071440919 GA</t>
        </is>
      </c>
      <c r="C2320" s="144" t="inlineStr">
        <is>
          <t>ACDC</t>
        </is>
      </c>
      <c r="D2320" s="144" t="n">
        <v>4043613788</v>
      </c>
      <c r="E2320" s="144" t="inlineStr">
        <is>
          <t>SUV</t>
        </is>
      </c>
      <c r="F2320" s="144" t="inlineStr">
        <is>
          <t>DB72363 GA</t>
        </is>
      </c>
      <c r="G2320" s="144" t="inlineStr">
        <is>
          <t>WHITE GMC</t>
        </is>
      </c>
      <c r="H2320" s="144" t="n">
        <v>1121</v>
      </c>
      <c r="I2320" s="144" t="inlineStr">
        <is>
          <t>CONTRACTOR</t>
        </is>
      </c>
    </row>
    <row r="2321" ht="18" customHeight="1" s="7">
      <c r="A2321" s="144" t="inlineStr">
        <is>
          <t>TAYLOR TIMOTHY</t>
        </is>
      </c>
      <c r="B2321" s="144" t="inlineStr">
        <is>
          <t>L208066030 MO</t>
        </is>
      </c>
      <c r="C2321" s="144" t="inlineStr">
        <is>
          <t>WATTS</t>
        </is>
      </c>
      <c r="D2321" s="144" t="n">
        <v>3147505176</v>
      </c>
      <c r="E2321" s="144" t="inlineStr">
        <is>
          <t>BOX</t>
        </is>
      </c>
      <c r="F2321" s="144" t="inlineStr">
        <is>
          <t>3824931 IN</t>
        </is>
      </c>
      <c r="G2321" s="144" t="inlineStr">
        <is>
          <t>WHITE FREIGHTLINER</t>
        </is>
      </c>
      <c r="H2321" s="144" t="n">
        <v>1221</v>
      </c>
      <c r="I2321" s="144" t="inlineStr">
        <is>
          <t>COMMERCIAL</t>
        </is>
      </c>
    </row>
    <row r="2322" ht="18" customHeight="1" s="7">
      <c r="A2322" s="144" t="inlineStr">
        <is>
          <t>BARAGANA LAZARO</t>
        </is>
      </c>
      <c r="B2322" s="144" t="inlineStr">
        <is>
          <t>B233151522000 FL</t>
        </is>
      </c>
      <c r="C2322" s="144" t="inlineStr">
        <is>
          <t>DSO</t>
        </is>
      </c>
      <c r="D2322" s="144" t="n">
        <v>7863983603</v>
      </c>
      <c r="E2322" s="144" t="inlineStr">
        <is>
          <t>BOX</t>
        </is>
      </c>
      <c r="F2322" s="144" t="inlineStr">
        <is>
          <t>XD036V FL</t>
        </is>
      </c>
      <c r="G2322" s="144" t="inlineStr">
        <is>
          <t>BLUE FREIGHTLINER</t>
        </is>
      </c>
      <c r="H2322" s="144" t="n">
        <v>2200</v>
      </c>
      <c r="I2322" s="144" t="inlineStr">
        <is>
          <t>COMMERCIAL</t>
        </is>
      </c>
    </row>
    <row r="2323" ht="18" customHeight="1" s="7">
      <c r="A2323" s="144" t="inlineStr">
        <is>
          <t>DURBIN HAILEY</t>
        </is>
      </c>
      <c r="B2323" s="144" t="inlineStr">
        <is>
          <t>9371275762 IN</t>
        </is>
      </c>
      <c r="C2323" s="144" t="inlineStr">
        <is>
          <t>WATTS</t>
        </is>
      </c>
      <c r="D2323" s="144" t="n">
        <v>6182403040</v>
      </c>
      <c r="E2323" s="144" t="inlineStr">
        <is>
          <t>BOX</t>
        </is>
      </c>
      <c r="F2323" s="144" t="inlineStr">
        <is>
          <t>3824933 IN</t>
        </is>
      </c>
      <c r="G2323" s="144" t="inlineStr">
        <is>
          <t>WHITE FREIGHTLINER</t>
        </is>
      </c>
      <c r="H2323" s="144" t="n">
        <v>1221</v>
      </c>
      <c r="I2323" s="144" t="inlineStr">
        <is>
          <t>COMMERCIAL</t>
        </is>
      </c>
    </row>
    <row r="2324" ht="18" customHeight="1" s="7">
      <c r="A2324" s="144" t="inlineStr">
        <is>
          <t>RAGLAND JASMOND</t>
        </is>
      </c>
      <c r="B2324" s="144" t="inlineStr">
        <is>
          <t>R24542488468 FL</t>
        </is>
      </c>
      <c r="C2324" s="144" t="inlineStr">
        <is>
          <t>GREAT WIDE</t>
        </is>
      </c>
      <c r="D2324" s="144" t="n">
        <v>9549880398</v>
      </c>
      <c r="E2324" s="144" t="inlineStr">
        <is>
          <t>FLAT</t>
        </is>
      </c>
      <c r="F2324" s="144" t="inlineStr">
        <is>
          <t>88239Z WI</t>
        </is>
      </c>
      <c r="G2324" s="144" t="inlineStr">
        <is>
          <t>ORANGE FREIGHTLINER</t>
        </is>
      </c>
      <c r="H2324" s="144" t="n">
        <v>1221</v>
      </c>
      <c r="I2324" s="144" t="inlineStr">
        <is>
          <t>COMMERCIAL</t>
        </is>
      </c>
    </row>
    <row r="2325" ht="18" customHeight="1" s="7">
      <c r="A2325" s="144" t="inlineStr">
        <is>
          <t>CORY WINTERS</t>
        </is>
      </c>
      <c r="B2325" s="144" t="inlineStr">
        <is>
          <t>*071867810 GA</t>
        </is>
      </c>
      <c r="C2325" s="144" t="inlineStr">
        <is>
          <t>EXPRESS</t>
        </is>
      </c>
      <c r="D2325" s="144" t="n">
        <v>2293524300</v>
      </c>
      <c r="E2325" s="144" t="inlineStr">
        <is>
          <t>PU</t>
        </is>
      </c>
      <c r="F2325" s="144" t="inlineStr">
        <is>
          <t>XJY841 GA</t>
        </is>
      </c>
      <c r="G2325" s="144" t="inlineStr">
        <is>
          <t>WHITE FORD</t>
        </is>
      </c>
      <c r="H2325" s="144" t="n">
        <v>2215</v>
      </c>
      <c r="I2325" s="144" t="inlineStr">
        <is>
          <t>CONTRACTOR</t>
        </is>
      </c>
    </row>
    <row r="2326" ht="18" customHeight="1" s="7">
      <c r="A2326" s="144" t="inlineStr">
        <is>
          <t>WILLIAMSON JOHNATHAN</t>
        </is>
      </c>
      <c r="B2326" s="144" t="inlineStr">
        <is>
          <t>802592959 MS</t>
        </is>
      </c>
      <c r="C2326" s="144" t="inlineStr">
        <is>
          <t>TEMPO FREIGHT</t>
        </is>
      </c>
      <c r="D2326" s="144" t="n">
        <v>6626630211</v>
      </c>
      <c r="E2326" s="144" t="inlineStr">
        <is>
          <t>BOX</t>
        </is>
      </c>
      <c r="F2326" s="144" t="inlineStr">
        <is>
          <t>P1293229 IL</t>
        </is>
      </c>
      <c r="G2326" s="144" t="inlineStr">
        <is>
          <t>WHITE FREIGHTLINER</t>
        </is>
      </c>
      <c r="H2326" s="144" t="n">
        <v>1221</v>
      </c>
      <c r="I2326" s="144" t="inlineStr">
        <is>
          <t>COMMERCIAL</t>
        </is>
      </c>
    </row>
    <row r="2327" ht="18" customHeight="1" s="7">
      <c r="A2327" s="144" t="inlineStr">
        <is>
          <t>CALVIN ISOM</t>
        </is>
      </c>
      <c r="B2327" s="144" t="inlineStr">
        <is>
          <t>*053989164 GA</t>
        </is>
      </c>
      <c r="C2327" s="144" t="inlineStr">
        <is>
          <t>OIL RECOVERY</t>
        </is>
      </c>
      <c r="D2327" s="144" t="n">
        <v>2293361111</v>
      </c>
      <c r="E2327" s="144" t="inlineStr">
        <is>
          <t>TANK</t>
        </is>
      </c>
      <c r="F2327" s="144" t="inlineStr">
        <is>
          <t>GDT794 GA</t>
        </is>
      </c>
      <c r="G2327" s="144" t="inlineStr">
        <is>
          <t>WHITE INTER</t>
        </is>
      </c>
      <c r="H2327" s="144" t="n">
        <v>5400</v>
      </c>
      <c r="I2327" s="144" t="inlineStr">
        <is>
          <t>COMMERCIAL</t>
        </is>
      </c>
    </row>
    <row r="2328" ht="18" customHeight="1" s="7">
      <c r="A2328" s="144" t="inlineStr">
        <is>
          <t>WILSON TIMOTHY</t>
        </is>
      </c>
      <c r="B2328" s="144" t="inlineStr">
        <is>
          <t>4140000665 IN</t>
        </is>
      </c>
      <c r="C2328" s="144" t="inlineStr">
        <is>
          <t xml:space="preserve">GIBCO </t>
        </is>
      </c>
      <c r="D2328" s="144" t="n">
        <v>8129100177</v>
      </c>
      <c r="E2328" s="144" t="inlineStr">
        <is>
          <t>BOX</t>
        </is>
      </c>
      <c r="F2328" s="144" t="inlineStr">
        <is>
          <t>3344371 IN</t>
        </is>
      </c>
      <c r="G2328" s="144" t="inlineStr">
        <is>
          <t>RED FREIGHTLINER</t>
        </is>
      </c>
      <c r="H2328" s="144" t="n">
        <v>1221</v>
      </c>
      <c r="I2328" s="144" t="inlineStr">
        <is>
          <t>COMMERCIAL</t>
        </is>
      </c>
    </row>
    <row r="2329" ht="18" customHeight="1" s="7">
      <c r="A2329" s="144" t="inlineStr">
        <is>
          <t>JARREN BROWN</t>
        </is>
      </c>
      <c r="B2329" s="144" t="inlineStr">
        <is>
          <t>*050450383 GA</t>
        </is>
      </c>
      <c r="C2329" s="144" t="inlineStr">
        <is>
          <t>EXPRESS</t>
        </is>
      </c>
      <c r="D2329" s="144" t="n">
        <v>2293091839</v>
      </c>
      <c r="E2329" s="144" t="inlineStr">
        <is>
          <t>DUMP</t>
        </is>
      </c>
      <c r="F2329" s="144" t="inlineStr">
        <is>
          <t>YEE531 GA</t>
        </is>
      </c>
      <c r="G2329" s="144" t="inlineStr">
        <is>
          <t>WHITE MACK</t>
        </is>
      </c>
      <c r="H2329" s="144" t="inlineStr">
        <is>
          <t>GATE 1/5</t>
        </is>
      </c>
      <c r="I2329" s="144" t="inlineStr">
        <is>
          <t>COMMERCIAL</t>
        </is>
      </c>
    </row>
    <row r="2330" ht="18" customHeight="1" s="7">
      <c r="A2330" s="144" t="inlineStr">
        <is>
          <t xml:space="preserve">RALPH WASHINGTON </t>
        </is>
      </c>
      <c r="B2330" s="144" t="inlineStr">
        <is>
          <t>*049898266 GA</t>
        </is>
      </c>
      <c r="C2330" s="144" t="inlineStr">
        <is>
          <t>HERITAGE</t>
        </is>
      </c>
      <c r="D2330" s="144" t="n">
        <v>9129660808</v>
      </c>
      <c r="E2330" s="144" t="inlineStr">
        <is>
          <t>BOX</t>
        </is>
      </c>
      <c r="F2330" s="144" t="inlineStr">
        <is>
          <t>VW4136 NC</t>
        </is>
      </c>
      <c r="G2330" s="144" t="inlineStr">
        <is>
          <t>BLACK KENWORTH</t>
        </is>
      </c>
      <c r="H2330" s="144" t="n">
        <v>1221</v>
      </c>
      <c r="I2330" s="144" t="inlineStr">
        <is>
          <t>COMMERCIAL</t>
        </is>
      </c>
    </row>
    <row r="2331" ht="18" customHeight="1" s="7">
      <c r="A2331" s="144" t="inlineStr">
        <is>
          <t>AVERY SIDNEY</t>
        </is>
      </c>
      <c r="B2331" s="144" t="inlineStr">
        <is>
          <t>1720717305 IN</t>
        </is>
      </c>
      <c r="C2331" s="144" t="inlineStr">
        <is>
          <t>WATTS</t>
        </is>
      </c>
      <c r="D2331" s="144" t="n">
        <v>8124536812</v>
      </c>
      <c r="E2331" s="144" t="inlineStr">
        <is>
          <t>BOX</t>
        </is>
      </c>
      <c r="F2331" s="144" t="inlineStr">
        <is>
          <t>3824906 IN</t>
        </is>
      </c>
      <c r="G2331" s="144" t="inlineStr">
        <is>
          <t>BLACK PETERBILT</t>
        </is>
      </c>
      <c r="H2331" s="144" t="n">
        <v>1221</v>
      </c>
      <c r="I2331" s="144" t="inlineStr">
        <is>
          <t>COMMERCIAL</t>
        </is>
      </c>
    </row>
    <row r="2332" ht="18" customHeight="1" s="7">
      <c r="A2332" s="144" t="inlineStr">
        <is>
          <t>ASHANTI WISEMAN</t>
        </is>
      </c>
      <c r="B2332" s="144" t="inlineStr">
        <is>
          <t>*056422253 GA</t>
        </is>
      </c>
      <c r="C2332" s="144" t="inlineStr">
        <is>
          <t>SOUTH GA SEAL COATING</t>
        </is>
      </c>
      <c r="D2332" s="144" t="n">
        <v>2295489003</v>
      </c>
      <c r="E2332" s="144" t="inlineStr">
        <is>
          <t>PU</t>
        </is>
      </c>
      <c r="F2332" s="144" t="inlineStr">
        <is>
          <t>RNH2707 GA</t>
        </is>
      </c>
      <c r="G2332" s="144" t="inlineStr">
        <is>
          <t>WHITE CHEVY</t>
        </is>
      </c>
      <c r="H2332" s="144" t="n">
        <v>3500</v>
      </c>
      <c r="I2332" s="144" t="inlineStr">
        <is>
          <t>CONTRACTOR</t>
        </is>
      </c>
    </row>
    <row r="2333" ht="18" customHeight="1" s="7">
      <c r="A2333" s="144" t="inlineStr">
        <is>
          <t>MATTHEW SAILOR</t>
        </is>
      </c>
      <c r="B2333" s="144" t="inlineStr">
        <is>
          <t>*056098970 GA</t>
        </is>
      </c>
      <c r="C2333" s="144" t="inlineStr">
        <is>
          <t>N&amp;J HUALING</t>
        </is>
      </c>
      <c r="D2333" s="144" t="n">
        <v>2295892862</v>
      </c>
      <c r="E2333" s="144" t="inlineStr">
        <is>
          <t>FLAT</t>
        </is>
      </c>
      <c r="F2333" s="144" t="inlineStr">
        <is>
          <t>C926DL GA</t>
        </is>
      </c>
      <c r="G2333" s="144" t="inlineStr">
        <is>
          <t>WHITE FREIGHTLINER</t>
        </is>
      </c>
      <c r="H2333" s="144" t="n">
        <v>3700</v>
      </c>
      <c r="I2333" s="144" t="inlineStr">
        <is>
          <t>COMMERCIAL</t>
        </is>
      </c>
    </row>
    <row r="2334" ht="18" customHeight="1" s="7">
      <c r="A2334" s="144" t="inlineStr">
        <is>
          <t>ADRIAN MARTIN</t>
        </is>
      </c>
      <c r="B2334" s="144" t="inlineStr">
        <is>
          <t>*056589446 GA</t>
        </is>
      </c>
      <c r="C2334" s="144" t="inlineStr">
        <is>
          <t>T FORCE</t>
        </is>
      </c>
      <c r="D2334" s="144" t="n">
        <v>9126771828</v>
      </c>
      <c r="E2334" s="144" t="inlineStr">
        <is>
          <t>BOX</t>
        </is>
      </c>
      <c r="F2334" s="144" t="inlineStr">
        <is>
          <t>3418380 IN</t>
        </is>
      </c>
      <c r="G2334" s="144" t="inlineStr">
        <is>
          <t>WHITE FREIGHTLINER</t>
        </is>
      </c>
      <c r="H2334" s="144" t="n">
        <v>1221</v>
      </c>
      <c r="I2334" s="144" t="inlineStr">
        <is>
          <t>COMMERCIAL</t>
        </is>
      </c>
    </row>
    <row r="2335" ht="18" customHeight="1" s="7">
      <c r="A2335" s="144" t="inlineStr">
        <is>
          <t>CHARLES RUTLAND</t>
        </is>
      </c>
      <c r="B2335" s="144" t="inlineStr">
        <is>
          <t>*053821303 GA</t>
        </is>
      </c>
      <c r="C2335" s="144" t="inlineStr">
        <is>
          <t>EXPRESS</t>
        </is>
      </c>
      <c r="D2335" s="144" t="n">
        <v>2293534300</v>
      </c>
      <c r="E2335" s="144" t="inlineStr">
        <is>
          <t>DUMP</t>
        </is>
      </c>
      <c r="F2335" s="144" t="inlineStr">
        <is>
          <t>EXB130 GA</t>
        </is>
      </c>
      <c r="G2335" s="144" t="inlineStr">
        <is>
          <t>WHITE MACK</t>
        </is>
      </c>
      <c r="H2335" s="144" t="n">
        <v>2215</v>
      </c>
      <c r="I2335" s="144" t="inlineStr">
        <is>
          <t>COMMERCIAL</t>
        </is>
      </c>
    </row>
    <row r="2336" ht="18" customHeight="1" s="7">
      <c r="A2336" s="144" t="inlineStr">
        <is>
          <t>URUR ABDI</t>
        </is>
      </c>
      <c r="B2336" s="144" t="inlineStr">
        <is>
          <t>S709152706816 MN</t>
        </is>
      </c>
      <c r="C2336" s="144" t="inlineStr">
        <is>
          <t>HMD TRUCKING</t>
        </is>
      </c>
      <c r="D2336" s="144" t="n">
        <v>6124439925</v>
      </c>
      <c r="E2336" s="144" t="inlineStr">
        <is>
          <t>BOX</t>
        </is>
      </c>
      <c r="F2336" s="144" t="inlineStr">
        <is>
          <t>3608834 IN</t>
        </is>
      </c>
      <c r="G2336" s="144" t="inlineStr">
        <is>
          <t>WHITE PETERBILT</t>
        </is>
      </c>
      <c r="H2336" s="144" t="n">
        <v>1221</v>
      </c>
      <c r="I2336" s="144" t="inlineStr">
        <is>
          <t>COMMERCIAL</t>
        </is>
      </c>
    </row>
    <row r="2337" ht="18" customHeight="1" s="7">
      <c r="A2337" s="144" t="inlineStr">
        <is>
          <t>CHRIS JACKSON J</t>
        </is>
      </c>
      <c r="B2337" s="144" t="inlineStr">
        <is>
          <t>*049844183 GA</t>
        </is>
      </c>
      <c r="C2337" s="144" t="inlineStr">
        <is>
          <t>EXPRESS</t>
        </is>
      </c>
      <c r="D2337" s="144" t="n">
        <v>2293524300</v>
      </c>
      <c r="E2337" s="144" t="inlineStr">
        <is>
          <t>PU</t>
        </is>
      </c>
      <c r="F2337" s="144" t="inlineStr">
        <is>
          <t xml:space="preserve">YHE502 GA </t>
        </is>
      </c>
      <c r="G2337" s="144" t="inlineStr">
        <is>
          <t>WHITE INTER</t>
        </is>
      </c>
      <c r="H2337" s="144" t="inlineStr">
        <is>
          <t>BASEWIDE</t>
        </is>
      </c>
      <c r="I2337" s="144" t="inlineStr">
        <is>
          <t>CONTRACTOR</t>
        </is>
      </c>
    </row>
    <row r="2338" ht="18" customHeight="1" s="7">
      <c r="A2338" s="144" t="inlineStr">
        <is>
          <t>LUIS V. FLORES</t>
        </is>
      </c>
      <c r="B2338" s="144" t="inlineStr">
        <is>
          <t>*070991803 GA</t>
        </is>
      </c>
      <c r="C2338" s="144" t="inlineStr">
        <is>
          <t>CENTIMARK</t>
        </is>
      </c>
      <c r="D2338" s="144" t="n">
        <v>6785702553</v>
      </c>
      <c r="E2338" s="144" t="inlineStr">
        <is>
          <t>PU</t>
        </is>
      </c>
      <c r="F2338" s="144" t="inlineStr">
        <is>
          <t>SFD6903 GA</t>
        </is>
      </c>
      <c r="G2338" s="144" t="inlineStr">
        <is>
          <t>BLACK FORD</t>
        </is>
      </c>
      <c r="H2338" s="144" t="n">
        <v>1250</v>
      </c>
      <c r="I2338" s="144" t="inlineStr">
        <is>
          <t>CONTRACTOR</t>
        </is>
      </c>
    </row>
    <row r="2339" ht="18" customHeight="1" s="7">
      <c r="A2339" s="144" t="inlineStr">
        <is>
          <t>RICCARDO JONES</t>
        </is>
      </c>
      <c r="B2339" s="144" t="inlineStr">
        <is>
          <t>*052502718 GA</t>
        </is>
      </c>
      <c r="C2339" s="144" t="inlineStr">
        <is>
          <t>SOUTHWAY</t>
        </is>
      </c>
      <c r="D2339" s="144" t="n">
        <v>2293764275</v>
      </c>
      <c r="E2339" s="144" t="inlineStr">
        <is>
          <t>CRANE</t>
        </is>
      </c>
      <c r="F2339" s="144" t="inlineStr">
        <is>
          <t>PX042R GA</t>
        </is>
      </c>
      <c r="G2339" s="144" t="inlineStr">
        <is>
          <t>WHITE LINKBELT</t>
        </is>
      </c>
      <c r="H2339" s="144" t="inlineStr">
        <is>
          <t>WASTE WATER</t>
        </is>
      </c>
      <c r="I2339" s="144" t="inlineStr">
        <is>
          <t>COMMERCIAL</t>
        </is>
      </c>
    </row>
    <row r="2340" ht="18" customHeight="1" s="7">
      <c r="A2340" s="144" t="inlineStr">
        <is>
          <t>PATRICK CARSON</t>
        </is>
      </c>
      <c r="B2340" s="144" t="inlineStr">
        <is>
          <t>*049479719 GA</t>
        </is>
      </c>
      <c r="C2340" s="144" t="inlineStr">
        <is>
          <t>SOUTHWAY</t>
        </is>
      </c>
      <c r="D2340" s="144" t="n">
        <v>2298949235</v>
      </c>
      <c r="E2340" s="144" t="inlineStr">
        <is>
          <t>PU</t>
        </is>
      </c>
      <c r="F2340" s="144" t="inlineStr">
        <is>
          <t>TFG4396 GA</t>
        </is>
      </c>
      <c r="G2340" s="144" t="inlineStr">
        <is>
          <t>WHITE DODGE</t>
        </is>
      </c>
      <c r="H2340" s="144" t="inlineStr">
        <is>
          <t>WASTE WATER</t>
        </is>
      </c>
      <c r="I2340" s="144" t="inlineStr">
        <is>
          <t>CONTRACTOR</t>
        </is>
      </c>
    </row>
    <row r="2341" ht="18" customHeight="1" s="7">
      <c r="A2341" s="144" t="inlineStr">
        <is>
          <t>GRAY JACKIE</t>
        </is>
      </c>
      <c r="B2341" s="144" t="inlineStr">
        <is>
          <t>46578479 TX</t>
        </is>
      </c>
      <c r="C2341" s="144" t="inlineStr">
        <is>
          <t>LADE</t>
        </is>
      </c>
      <c r="D2341" s="144" t="n">
        <v>2297331844</v>
      </c>
      <c r="E2341" s="144" t="inlineStr">
        <is>
          <t>FLAT</t>
        </is>
      </c>
      <c r="F2341" s="144" t="inlineStr">
        <is>
          <t>ZIN926 GA</t>
        </is>
      </c>
      <c r="G2341" s="144" t="inlineStr">
        <is>
          <t>BLACK INTERNAT</t>
        </is>
      </c>
      <c r="H2341" s="144" t="n">
        <v>1360</v>
      </c>
      <c r="I2341" s="144" t="inlineStr">
        <is>
          <t>COMMERCIAL</t>
        </is>
      </c>
    </row>
    <row r="2342" ht="18" customHeight="1" s="7">
      <c r="A2342" s="144" t="inlineStr">
        <is>
          <t>NELSON DEUANE</t>
        </is>
      </c>
      <c r="B2342" s="144" t="inlineStr">
        <is>
          <t>K083194088 OK</t>
        </is>
      </c>
      <c r="C2342" s="144" t="inlineStr">
        <is>
          <t>APIS</t>
        </is>
      </c>
      <c r="D2342" s="144" t="n">
        <v>4055039248</v>
      </c>
      <c r="E2342" s="144" t="inlineStr">
        <is>
          <t>BOX</t>
        </is>
      </c>
      <c r="F2342" s="144" t="inlineStr">
        <is>
          <t>3GF953 OK</t>
        </is>
      </c>
      <c r="G2342" s="144" t="inlineStr">
        <is>
          <t>WHITE KENWORTH</t>
        </is>
      </c>
      <c r="H2342" s="144" t="n">
        <v>1221</v>
      </c>
      <c r="I2342" s="144" t="inlineStr">
        <is>
          <t>COMMERCIAL</t>
        </is>
      </c>
    </row>
    <row r="2343" ht="18" customHeight="1" s="7">
      <c r="A2343" s="144" t="inlineStr">
        <is>
          <t>ALWON MAYWEATHER</t>
        </is>
      </c>
      <c r="B2343" s="144" t="inlineStr">
        <is>
          <t>*051007276 GA</t>
        </is>
      </c>
      <c r="C2343" s="144" t="inlineStr">
        <is>
          <t>ONSITE</t>
        </is>
      </c>
      <c r="D2343" s="144" t="n">
        <v>6782670045</v>
      </c>
      <c r="E2343" s="144" t="inlineStr">
        <is>
          <t>FLAT</t>
        </is>
      </c>
      <c r="F2343" s="144" t="inlineStr">
        <is>
          <t>3710564 IN</t>
        </is>
      </c>
      <c r="G2343" s="144" t="inlineStr">
        <is>
          <t>WHITE PETERBILT</t>
        </is>
      </c>
      <c r="H2343" s="144" t="n">
        <v>3500</v>
      </c>
      <c r="I2343" s="144" t="inlineStr">
        <is>
          <t>COMMERCIAL</t>
        </is>
      </c>
    </row>
    <row r="2344" ht="18" customHeight="1" s="7">
      <c r="A2344" s="144" t="inlineStr">
        <is>
          <t>CINDY HAUGAN</t>
        </is>
      </c>
      <c r="B2344" s="144" t="inlineStr">
        <is>
          <t>WDL25695G23B</t>
        </is>
      </c>
      <c r="C2344" s="144" t="inlineStr">
        <is>
          <t>AAT CARRIERS</t>
        </is>
      </c>
      <c r="D2344" s="144" t="n">
        <v>7028606057</v>
      </c>
      <c r="E2344" s="144" t="inlineStr">
        <is>
          <t>BOX</t>
        </is>
      </c>
      <c r="F2344" s="144" t="inlineStr">
        <is>
          <t>3553508 IN</t>
        </is>
      </c>
      <c r="G2344" s="144" t="inlineStr">
        <is>
          <t>WHITE VOLVO</t>
        </is>
      </c>
      <c r="H2344" s="144" t="n">
        <v>1221</v>
      </c>
      <c r="I2344" s="144" t="inlineStr">
        <is>
          <t>COMMERCIAL</t>
        </is>
      </c>
    </row>
    <row r="2345" ht="18" customHeight="1" s="7">
      <c r="A2345" s="144" t="inlineStr">
        <is>
          <t>SANTIAGO PELAEZ</t>
        </is>
      </c>
      <c r="B2345" s="144" t="inlineStr">
        <is>
          <t>P420780890170 FL</t>
        </is>
      </c>
      <c r="C2345" s="144" t="inlineStr">
        <is>
          <t>AGHANIM LOGISTICS</t>
        </is>
      </c>
      <c r="D2345" s="144" t="n">
        <v>7866319519</v>
      </c>
      <c r="E2345" s="144" t="inlineStr">
        <is>
          <t>FLAT</t>
        </is>
      </c>
      <c r="F2345" s="144" t="inlineStr">
        <is>
          <t>784696 PA</t>
        </is>
      </c>
      <c r="G2345" s="144" t="inlineStr">
        <is>
          <t>RED KENWORTH</t>
        </is>
      </c>
      <c r="H2345" s="144" t="n">
        <v>1221</v>
      </c>
      <c r="I2345" s="144" t="inlineStr">
        <is>
          <t>COMMERCIAL</t>
        </is>
      </c>
    </row>
    <row r="2346" ht="18" customHeight="1" s="7">
      <c r="A2346" s="144" t="inlineStr">
        <is>
          <t>NATHANIEL HARDWICK</t>
        </is>
      </c>
      <c r="B2346" s="144" t="inlineStr">
        <is>
          <t>056101120 GA</t>
        </is>
      </c>
      <c r="C2346" s="144" t="inlineStr">
        <is>
          <t>SOUTH EASTERN</t>
        </is>
      </c>
      <c r="D2346" s="144" t="n">
        <v>2298944493</v>
      </c>
      <c r="E2346" s="144" t="inlineStr">
        <is>
          <t>BOX</t>
        </is>
      </c>
      <c r="F2346" s="144" t="inlineStr">
        <is>
          <t>S9029HY TN</t>
        </is>
      </c>
      <c r="G2346" s="144" t="inlineStr">
        <is>
          <t>BLACK INTERNAT</t>
        </is>
      </c>
      <c r="H2346" s="144" t="n">
        <v>1351</v>
      </c>
      <c r="I2346" s="144" t="inlineStr">
        <is>
          <t>COMMERCIAL</t>
        </is>
      </c>
    </row>
    <row r="2347" ht="18" customHeight="1" s="7">
      <c r="A2347" s="144" t="inlineStr">
        <is>
          <t>THOMAS COLE</t>
        </is>
      </c>
      <c r="B2347" s="144" t="inlineStr">
        <is>
          <t>053035264 GA</t>
        </is>
      </c>
      <c r="C2347" s="144" t="inlineStr">
        <is>
          <t>CUMMINS SALES</t>
        </is>
      </c>
      <c r="D2347" s="144" t="n">
        <v>2298945424</v>
      </c>
      <c r="E2347" s="144" t="inlineStr">
        <is>
          <t>PU</t>
        </is>
      </c>
      <c r="F2347" s="144" t="inlineStr">
        <is>
          <t>EQQ125 GA</t>
        </is>
      </c>
      <c r="G2347" s="144" t="inlineStr">
        <is>
          <t>WHITE DODGE</t>
        </is>
      </c>
      <c r="H2347" s="144" t="n">
        <v>7520</v>
      </c>
      <c r="I2347" s="144" t="inlineStr">
        <is>
          <t>CONTRACTOR</t>
        </is>
      </c>
    </row>
    <row r="2348" ht="18" customHeight="1" s="7">
      <c r="A2348" s="144" t="inlineStr">
        <is>
          <t>JASON PEARSON</t>
        </is>
      </c>
      <c r="B2348" s="144" t="inlineStr">
        <is>
          <t>055275832 GA</t>
        </is>
      </c>
      <c r="C2348" s="144" t="inlineStr">
        <is>
          <t>OXFORD CONSTRUC</t>
        </is>
      </c>
      <c r="D2348" s="144" t="n">
        <v>2293103252</v>
      </c>
      <c r="E2348" s="144" t="inlineStr">
        <is>
          <t>PU</t>
        </is>
      </c>
      <c r="F2348" s="144" t="inlineStr">
        <is>
          <t>RXX5186 GA</t>
        </is>
      </c>
      <c r="G2348" s="144" t="inlineStr">
        <is>
          <t>GREEN FORD</t>
        </is>
      </c>
      <c r="H2348" s="144" t="inlineStr">
        <is>
          <t>GATE 15</t>
        </is>
      </c>
      <c r="I2348" s="144" t="inlineStr">
        <is>
          <t>CONTRACTOR</t>
        </is>
      </c>
    </row>
    <row r="2349" ht="18" customHeight="1" s="7">
      <c r="A2349" s="144" t="inlineStr">
        <is>
          <t>MASON FOWLER</t>
        </is>
      </c>
      <c r="B2349" s="144" t="inlineStr">
        <is>
          <t>060878632 GA</t>
        </is>
      </c>
      <c r="C2349" s="144" t="inlineStr">
        <is>
          <t>INDUSTRIAL MANUFACTURING</t>
        </is>
      </c>
      <c r="D2349" s="144" t="n">
        <v>2292721590</v>
      </c>
      <c r="E2349" s="144" t="inlineStr">
        <is>
          <t>PU</t>
        </is>
      </c>
      <c r="F2349" s="144" t="inlineStr">
        <is>
          <t>SIT3637 GA</t>
        </is>
      </c>
      <c r="G2349" s="144" t="inlineStr">
        <is>
          <t>WHITE CHEVY</t>
        </is>
      </c>
      <c r="H2349" s="144" t="inlineStr">
        <is>
          <t>WTP</t>
        </is>
      </c>
      <c r="I2349" s="144" t="inlineStr">
        <is>
          <t>CONTRACTOR</t>
        </is>
      </c>
    </row>
    <row r="2350" ht="18" customHeight="1" s="7">
      <c r="A2350" s="144" t="inlineStr">
        <is>
          <t>BRAIN FOX</t>
        </is>
      </c>
      <c r="B2350" s="144" t="inlineStr">
        <is>
          <t>058003697 GA</t>
        </is>
      </c>
      <c r="C2350" s="144" t="inlineStr">
        <is>
          <t>OXFORD CONSTRUC</t>
        </is>
      </c>
      <c r="D2350" s="144" t="n">
        <v>2294370895</v>
      </c>
      <c r="E2350" s="144" t="inlineStr">
        <is>
          <t>BOX</t>
        </is>
      </c>
      <c r="F2350" s="144" t="inlineStr">
        <is>
          <t>GAF944 GA</t>
        </is>
      </c>
      <c r="G2350" s="144" t="inlineStr">
        <is>
          <t>WHITE KENWORTH</t>
        </is>
      </c>
      <c r="H2350" s="144" t="inlineStr">
        <is>
          <t>GATE 15</t>
        </is>
      </c>
      <c r="I2350" s="144" t="inlineStr">
        <is>
          <t>CONTRACTOR</t>
        </is>
      </c>
    </row>
    <row r="2351" ht="18" customHeight="1" s="7">
      <c r="A2351" s="144" t="inlineStr">
        <is>
          <t>JEROMY BRINK</t>
        </is>
      </c>
      <c r="B2351" s="144" t="inlineStr">
        <is>
          <t>007823149 LA</t>
        </is>
      </c>
      <c r="C2351" s="144" t="inlineStr">
        <is>
          <t>RYDER</t>
        </is>
      </c>
      <c r="D2351" s="144" t="n">
        <v>5049572585</v>
      </c>
      <c r="E2351" s="144" t="inlineStr">
        <is>
          <t>BOX</t>
        </is>
      </c>
      <c r="F2351" s="144" t="inlineStr">
        <is>
          <t>Y27322 MA</t>
        </is>
      </c>
      <c r="G2351" s="144" t="inlineStr">
        <is>
          <t>WHITE FREIGHTLINER</t>
        </is>
      </c>
      <c r="H2351" s="144" t="inlineStr">
        <is>
          <t>3500/1600</t>
        </is>
      </c>
      <c r="I2351" s="144" t="inlineStr">
        <is>
          <t>COMMERICAL</t>
        </is>
      </c>
    </row>
    <row r="2352" ht="18" customHeight="1" s="7">
      <c r="A2352" s="144" t="inlineStr">
        <is>
          <t>MARC LAROSE</t>
        </is>
      </c>
      <c r="B2352" s="144" t="inlineStr">
        <is>
          <t>2017590 DE</t>
        </is>
      </c>
      <c r="C2352" s="144" t="inlineStr">
        <is>
          <t>EMPERIAL INC</t>
        </is>
      </c>
      <c r="D2352" s="144" t="n">
        <v>3027248013</v>
      </c>
      <c r="E2352" s="144" t="inlineStr">
        <is>
          <t>BOX</t>
        </is>
      </c>
      <c r="F2352" s="144" t="inlineStr">
        <is>
          <t>P1300688 IL</t>
        </is>
      </c>
      <c r="G2352" s="144" t="inlineStr">
        <is>
          <t>WHITE FREIGHTLINER</t>
        </is>
      </c>
      <c r="H2352" s="144" t="n">
        <v>1221</v>
      </c>
      <c r="I2352" s="144" t="inlineStr">
        <is>
          <t>COMMERICAL</t>
        </is>
      </c>
    </row>
    <row r="2353" ht="18" customHeight="1" s="7">
      <c r="A2353" s="144" t="inlineStr">
        <is>
          <t>JAMES WARD</t>
        </is>
      </c>
      <c r="B2353" s="144" t="inlineStr">
        <is>
          <t>48491805 TX</t>
        </is>
      </c>
      <c r="C2353" s="144" t="inlineStr">
        <is>
          <t>4 STATES</t>
        </is>
      </c>
      <c r="D2353" s="144" t="n">
        <v>9033767144</v>
      </c>
      <c r="E2353" s="144" t="inlineStr">
        <is>
          <t>PU</t>
        </is>
      </c>
      <c r="F2353" s="144" t="inlineStr">
        <is>
          <t>C221045 AR</t>
        </is>
      </c>
      <c r="G2353" s="144" t="inlineStr">
        <is>
          <t>BLACK DODGE</t>
        </is>
      </c>
      <c r="H2353" s="144" t="n">
        <v>1221</v>
      </c>
      <c r="I2353" s="144" t="inlineStr">
        <is>
          <t>CONTRACTOR</t>
        </is>
      </c>
    </row>
    <row r="2354" ht="18" customHeight="1" s="7">
      <c r="A2354" s="144" t="inlineStr">
        <is>
          <t>WILBURN HOLLAND</t>
        </is>
      </c>
      <c r="B2354" s="144" t="inlineStr">
        <is>
          <t>050566473 GA</t>
        </is>
      </c>
      <c r="C2354" s="144" t="inlineStr">
        <is>
          <t>ABF</t>
        </is>
      </c>
      <c r="D2354" s="144" t="n">
        <v>2292924139</v>
      </c>
      <c r="E2354" s="144" t="inlineStr">
        <is>
          <t>BOX</t>
        </is>
      </c>
      <c r="F2354" s="144" t="inlineStr">
        <is>
          <t>2XX429 OK</t>
        </is>
      </c>
      <c r="G2354" s="144" t="inlineStr">
        <is>
          <t>GREEN MACK</t>
        </is>
      </c>
      <c r="H2354" s="144" t="n">
        <v>1330</v>
      </c>
      <c r="I2354" s="144" t="inlineStr">
        <is>
          <t>COMMERICAL</t>
        </is>
      </c>
    </row>
    <row r="2355" ht="18" customHeight="1" s="7">
      <c r="A2355" s="144" t="inlineStr">
        <is>
          <t>JOEY THOMPSON</t>
        </is>
      </c>
      <c r="B2355" s="144" t="inlineStr">
        <is>
          <t>051513117 GA</t>
        </is>
      </c>
      <c r="C2355" s="144" t="inlineStr">
        <is>
          <t>MODERING GAS</t>
        </is>
      </c>
      <c r="D2355" s="144" t="n">
        <v>2294327350</v>
      </c>
      <c r="E2355" s="144" t="inlineStr">
        <is>
          <t>PU</t>
        </is>
      </c>
      <c r="F2355" s="144" t="inlineStr">
        <is>
          <t>ECD742 GA</t>
        </is>
      </c>
      <c r="G2355" s="144" t="inlineStr">
        <is>
          <t>WHITE FORD</t>
        </is>
      </c>
      <c r="H2355" s="144" t="inlineStr">
        <is>
          <t>HOUSING</t>
        </is>
      </c>
      <c r="I2355" s="144" t="inlineStr">
        <is>
          <t>CONTRACTOR</t>
        </is>
      </c>
    </row>
    <row r="2356" ht="18" customHeight="1" s="7">
      <c r="A2356" s="144" t="inlineStr">
        <is>
          <t>DAVID KARR</t>
        </is>
      </c>
      <c r="B2356" s="144" t="inlineStr">
        <is>
          <t>K6001675405300 WI</t>
        </is>
      </c>
      <c r="C2356" s="144" t="inlineStr">
        <is>
          <t>POWER TEST</t>
        </is>
      </c>
      <c r="D2356" s="144" t="n">
        <v>6087519683</v>
      </c>
      <c r="E2356" s="144" t="inlineStr">
        <is>
          <t>PU</t>
        </is>
      </c>
      <c r="F2356" s="144" t="inlineStr">
        <is>
          <t>PT6149 WI</t>
        </is>
      </c>
      <c r="G2356" s="144" t="inlineStr">
        <is>
          <t>BLACK CHEVY</t>
        </is>
      </c>
      <c r="H2356" s="144" t="n">
        <v>2200</v>
      </c>
      <c r="I2356" s="144" t="inlineStr">
        <is>
          <t>CONTRACTOR</t>
        </is>
      </c>
    </row>
    <row r="2357" ht="18" customHeight="1" s="7">
      <c r="A2357" s="144" t="inlineStr">
        <is>
          <t>MICHEAL MARSHALL</t>
        </is>
      </c>
      <c r="B2357" s="144" t="inlineStr">
        <is>
          <t>047808653 GA</t>
        </is>
      </c>
      <c r="C2357" s="144" t="inlineStr">
        <is>
          <t>SA REYCLING</t>
        </is>
      </c>
      <c r="D2357" s="144" t="n">
        <v>2299200093</v>
      </c>
      <c r="E2357" s="144" t="inlineStr">
        <is>
          <t>DUMP</t>
        </is>
      </c>
      <c r="F2357" s="144" t="inlineStr">
        <is>
          <t>M459HV TN</t>
        </is>
      </c>
      <c r="G2357" s="144" t="inlineStr">
        <is>
          <t>BLUE PETERBILT</t>
        </is>
      </c>
      <c r="H2357" s="144" t="inlineStr">
        <is>
          <t>WATER PLANT</t>
        </is>
      </c>
      <c r="I2357" s="144" t="inlineStr">
        <is>
          <t>CONTRACTOR</t>
        </is>
      </c>
    </row>
    <row r="2358" ht="18" customHeight="1" s="7">
      <c r="A2358" s="144" t="inlineStr">
        <is>
          <t>LIONEL PIERRE</t>
        </is>
      </c>
      <c r="B2358" s="144" t="inlineStr">
        <is>
          <t>P239431092000 FL</t>
        </is>
      </c>
      <c r="C2358" s="144" t="inlineStr">
        <is>
          <t>BLACKSTONE</t>
        </is>
      </c>
      <c r="D2358" s="144" t="n">
        <v>7722586061</v>
      </c>
      <c r="E2358" s="144" t="inlineStr">
        <is>
          <t>BOX</t>
        </is>
      </c>
      <c r="F2358" s="144" t="inlineStr">
        <is>
          <t>DF79EE FL</t>
        </is>
      </c>
      <c r="G2358" s="144" t="inlineStr">
        <is>
          <t>BLUE VOLVO</t>
        </is>
      </c>
      <c r="H2358" s="144" t="n">
        <v>1221</v>
      </c>
      <c r="I2358" s="144" t="inlineStr">
        <is>
          <t>COMMERCIAL</t>
        </is>
      </c>
    </row>
    <row r="2359" ht="18" customHeight="1" s="7">
      <c r="A2359" s="144" t="inlineStr">
        <is>
          <t>CONSTANT GUYDELIN</t>
        </is>
      </c>
      <c r="B2359" s="144" t="inlineStr">
        <is>
          <t>188087366 CT</t>
        </is>
      </c>
      <c r="C2359" s="144" t="inlineStr">
        <is>
          <t>M&amp;C LOGISTICS</t>
        </is>
      </c>
      <c r="D2359" s="144" t="n">
        <v>2038195262</v>
      </c>
      <c r="E2359" s="144" t="inlineStr">
        <is>
          <t>BOX</t>
        </is>
      </c>
      <c r="F2359" s="144" t="inlineStr">
        <is>
          <t>XE763H FL</t>
        </is>
      </c>
      <c r="G2359" s="144" t="inlineStr">
        <is>
          <t>BLUE FREIGHTLINER</t>
        </is>
      </c>
      <c r="H2359" s="144" t="n">
        <v>1221</v>
      </c>
      <c r="I2359" s="144" t="inlineStr">
        <is>
          <t>COMMERCIAL</t>
        </is>
      </c>
    </row>
    <row r="2360" ht="18" customHeight="1" s="7">
      <c r="A2360" s="144" t="inlineStr">
        <is>
          <t>JOHN YANCY</t>
        </is>
      </c>
      <c r="B2360" s="144" t="inlineStr">
        <is>
          <t>1190009689 IN</t>
        </is>
      </c>
      <c r="C2360" s="144" t="inlineStr">
        <is>
          <t>WALTS</t>
        </is>
      </c>
      <c r="D2360" s="144" t="n">
        <v>8124997651</v>
      </c>
      <c r="E2360" s="144" t="inlineStr">
        <is>
          <t>BOX</t>
        </is>
      </c>
      <c r="F2360" s="144" t="inlineStr">
        <is>
          <t>3824912 IN</t>
        </is>
      </c>
      <c r="G2360" s="144" t="inlineStr">
        <is>
          <t>WHITE FRIEGHTLINER</t>
        </is>
      </c>
      <c r="H2360" s="144" t="n">
        <v>1221</v>
      </c>
      <c r="I2360" s="144" t="inlineStr">
        <is>
          <t>COMMERCIAL</t>
        </is>
      </c>
    </row>
    <row r="2361" ht="18" customHeight="1" s="7">
      <c r="A2361" s="144" t="inlineStr">
        <is>
          <t>AARON KREADY</t>
        </is>
      </c>
      <c r="B2361" s="144" t="inlineStr">
        <is>
          <t>139809688 TN</t>
        </is>
      </c>
      <c r="C2361" s="144" t="inlineStr">
        <is>
          <t>KREADY BROTHERS</t>
        </is>
      </c>
      <c r="D2361" s="144" t="n">
        <v>9313228877</v>
      </c>
      <c r="E2361" s="144" t="inlineStr">
        <is>
          <t>BOX</t>
        </is>
      </c>
      <c r="F2361" s="144" t="inlineStr">
        <is>
          <t>3732103 IN</t>
        </is>
      </c>
      <c r="G2361" s="144" t="inlineStr">
        <is>
          <t>BLACK VOLVO</t>
        </is>
      </c>
      <c r="H2361" s="144" t="n">
        <v>1221</v>
      </c>
      <c r="I2361" s="144" t="inlineStr">
        <is>
          <t>COMMERICAL</t>
        </is>
      </c>
    </row>
    <row r="2362" ht="18" customHeight="1" s="7">
      <c r="A2362" s="144" t="inlineStr">
        <is>
          <t>DOMINAE SMITH</t>
        </is>
      </c>
      <c r="B2362" s="144" t="inlineStr">
        <is>
          <t>*000008711165 NC</t>
        </is>
      </c>
      <c r="C2362" s="144" t="inlineStr">
        <is>
          <t>DW SMITH TRUCK</t>
        </is>
      </c>
      <c r="D2362" s="144" t="n">
        <v>9105453954</v>
      </c>
      <c r="E2362" s="144" t="inlineStr">
        <is>
          <t>FLAT</t>
        </is>
      </c>
      <c r="F2362" s="144" t="inlineStr">
        <is>
          <t>NM8128 NC</t>
        </is>
      </c>
      <c r="G2362" s="144" t="inlineStr">
        <is>
          <t>WHITE FREIGHTLINER</t>
        </is>
      </c>
      <c r="H2362" s="144" t="n">
        <v>1221</v>
      </c>
      <c r="I2362" s="144" t="inlineStr">
        <is>
          <t>COMMERCIAL</t>
        </is>
      </c>
    </row>
    <row r="2363" ht="18" customHeight="1" s="7">
      <c r="A2363" s="144" t="inlineStr">
        <is>
          <t>ELLIS TOODLE</t>
        </is>
      </c>
      <c r="B2363" s="144" t="inlineStr">
        <is>
          <t>*000005013082 NC</t>
        </is>
      </c>
      <c r="C2363" s="144" t="inlineStr">
        <is>
          <t>DW SMITH TRUCK</t>
        </is>
      </c>
      <c r="D2363" s="144" t="n">
        <v>9103893435</v>
      </c>
      <c r="E2363" s="144" t="inlineStr">
        <is>
          <t>FLAT</t>
        </is>
      </c>
      <c r="F2363" s="144" t="inlineStr">
        <is>
          <t>NE7769 NC</t>
        </is>
      </c>
      <c r="G2363" s="144" t="inlineStr">
        <is>
          <t>BLUE FREIGHTLINER</t>
        </is>
      </c>
      <c r="H2363" s="144" t="n">
        <v>1221</v>
      </c>
      <c r="I2363" s="144" t="inlineStr">
        <is>
          <t>COMMERCIAL</t>
        </is>
      </c>
    </row>
    <row r="2364" ht="18" customHeight="1" s="7">
      <c r="A2364" s="144" t="inlineStr">
        <is>
          <t>MASON BARNES</t>
        </is>
      </c>
      <c r="B2364" s="144" t="inlineStr">
        <is>
          <t xml:space="preserve">*062086581 GA </t>
        </is>
      </c>
      <c r="C2364" s="144" t="inlineStr">
        <is>
          <t xml:space="preserve">TAYLOR SUDDEN </t>
        </is>
      </c>
      <c r="D2364" s="144" t="n">
        <v>2298008067</v>
      </c>
      <c r="E2364" s="144" t="inlineStr">
        <is>
          <t>PU</t>
        </is>
      </c>
      <c r="F2364" s="144" t="inlineStr">
        <is>
          <t>SDL6906 GA</t>
        </is>
      </c>
      <c r="G2364" s="144" t="inlineStr">
        <is>
          <t>WHITE FORD</t>
        </is>
      </c>
      <c r="H2364" s="144" t="n">
        <v>1241</v>
      </c>
      <c r="I2364" s="144" t="inlineStr">
        <is>
          <t>CONTRACTOR</t>
        </is>
      </c>
    </row>
    <row r="2365" ht="18" customHeight="1" s="7">
      <c r="A2365" s="144" t="inlineStr">
        <is>
          <t>RONDALD LUCAS</t>
        </is>
      </c>
      <c r="B2365" s="144" t="inlineStr">
        <is>
          <t>5651743 AL</t>
        </is>
      </c>
      <c r="C2365" s="144" t="inlineStr">
        <is>
          <t>MARK HOTEL</t>
        </is>
      </c>
      <c r="D2365" s="144" t="n">
        <v>2517166882</v>
      </c>
      <c r="E2365" s="144" t="inlineStr">
        <is>
          <t>BOX</t>
        </is>
      </c>
      <c r="F2365" s="144" t="inlineStr">
        <is>
          <t>MTA525706 IN</t>
        </is>
      </c>
      <c r="G2365" s="144" t="inlineStr">
        <is>
          <t>BLACK PETERBILT</t>
        </is>
      </c>
      <c r="H2365" s="144" t="n">
        <v>1221</v>
      </c>
      <c r="I2365" s="144" t="inlineStr">
        <is>
          <t>COMMERCIAL</t>
        </is>
      </c>
    </row>
    <row r="2366" ht="18" customHeight="1" s="7">
      <c r="A2366" s="144" t="inlineStr">
        <is>
          <t>LILIA CUPCEANU</t>
        </is>
      </c>
      <c r="B2366" s="144" t="inlineStr">
        <is>
          <t>WDL79ZT2113B WA</t>
        </is>
      </c>
      <c r="C2366" s="144" t="inlineStr">
        <is>
          <t>US1 EXPRESS</t>
        </is>
      </c>
      <c r="D2366" s="144" t="n">
        <v>2534429478</v>
      </c>
      <c r="E2366" s="144" t="inlineStr">
        <is>
          <t>BOX</t>
        </is>
      </c>
      <c r="F2366" s="144" t="inlineStr">
        <is>
          <t>RP00183 WA</t>
        </is>
      </c>
      <c r="G2366" s="144" t="inlineStr">
        <is>
          <t>WHITE FRIEGHTLINER</t>
        </is>
      </c>
      <c r="H2366" s="144" t="n">
        <v>1221</v>
      </c>
      <c r="I2366" s="144" t="inlineStr">
        <is>
          <t>COMMERCIAL</t>
        </is>
      </c>
    </row>
    <row r="2367" ht="18" customHeight="1" s="7">
      <c r="A2367" s="144" t="inlineStr">
        <is>
          <t>JOSE PIERRE</t>
        </is>
      </c>
      <c r="B2367" s="144" t="inlineStr">
        <is>
          <t>P233763230000 FL</t>
        </is>
      </c>
      <c r="C2367" s="144" t="inlineStr">
        <is>
          <t>BLACKSTONE</t>
        </is>
      </c>
      <c r="D2367" s="144" t="n">
        <v>5614843422</v>
      </c>
      <c r="E2367" s="144" t="inlineStr">
        <is>
          <t>BOX</t>
        </is>
      </c>
      <c r="F2367" s="144" t="inlineStr">
        <is>
          <t>DF86EE FL</t>
        </is>
      </c>
      <c r="G2367" s="144" t="inlineStr">
        <is>
          <t>BLUE VOLVO</t>
        </is>
      </c>
      <c r="H2367" s="144" t="n">
        <v>1221</v>
      </c>
      <c r="I2367" s="144" t="inlineStr">
        <is>
          <t>COMMERCIAL</t>
        </is>
      </c>
    </row>
    <row r="2368" ht="18" customHeight="1" s="7">
      <c r="A2368" s="144" t="inlineStr">
        <is>
          <t>JONATHAN ZIMMERMAN</t>
        </is>
      </c>
      <c r="B2368" s="144" t="inlineStr">
        <is>
          <t>908456569 AK</t>
        </is>
      </c>
      <c r="C2368" s="144" t="inlineStr">
        <is>
          <t>CFS INSPECTIONS</t>
        </is>
      </c>
      <c r="D2368" s="144" t="n">
        <v>5018270314</v>
      </c>
      <c r="E2368" s="144" t="inlineStr">
        <is>
          <t>PU</t>
        </is>
      </c>
      <c r="F2368" s="144" t="inlineStr">
        <is>
          <t>218ZGI AK</t>
        </is>
      </c>
      <c r="G2368" s="144" t="inlineStr">
        <is>
          <t>WHITE FORD</t>
        </is>
      </c>
      <c r="H2368" s="144" t="inlineStr">
        <is>
          <t>FIRE STATION</t>
        </is>
      </c>
      <c r="I2368" s="144" t="inlineStr">
        <is>
          <t>CONTRACTOR</t>
        </is>
      </c>
    </row>
    <row r="2369" ht="18" customHeight="1" s="7">
      <c r="A2369" s="144" t="inlineStr">
        <is>
          <t>PAVEL OLEYNIK</t>
        </is>
      </c>
      <c r="B2369" s="144" t="inlineStr">
        <is>
          <t>O16853544 KY</t>
        </is>
      </c>
      <c r="C2369" s="144" t="inlineStr">
        <is>
          <t>AAAA TRANSPORT</t>
        </is>
      </c>
      <c r="D2369" s="144" t="n">
        <v>9165055444</v>
      </c>
      <c r="E2369" s="144" t="inlineStr">
        <is>
          <t>BOX</t>
        </is>
      </c>
      <c r="F2369" s="144" t="inlineStr">
        <is>
          <t>005049A KY</t>
        </is>
      </c>
      <c r="G2369" s="144" t="inlineStr">
        <is>
          <t>RED FREIGHTLINER</t>
        </is>
      </c>
      <c r="H2369" s="144" t="n">
        <v>1221</v>
      </c>
      <c r="I2369" s="144" t="inlineStr">
        <is>
          <t>COMMERCIAL</t>
        </is>
      </c>
    </row>
    <row r="2370" ht="18" customHeight="1" s="7">
      <c r="A2370" s="144" t="inlineStr">
        <is>
          <t>SHAMSUDINOV NODIRBEK</t>
        </is>
      </c>
      <c r="B2370" s="144" t="inlineStr">
        <is>
          <t>*052935408 GA</t>
        </is>
      </c>
      <c r="C2370" s="144" t="inlineStr">
        <is>
          <t>ATL GROUP</t>
        </is>
      </c>
      <c r="D2370" s="144" t="n">
        <v>4046049201</v>
      </c>
      <c r="E2370" s="144" t="inlineStr">
        <is>
          <t>BOX</t>
        </is>
      </c>
      <c r="F2370" s="144" t="inlineStr">
        <is>
          <t>C575ET GA</t>
        </is>
      </c>
      <c r="G2370" s="144" t="inlineStr">
        <is>
          <t>BLACK VOLVO</t>
        </is>
      </c>
      <c r="H2370" s="144" t="n">
        <v>1221</v>
      </c>
      <c r="I2370" s="144" t="inlineStr">
        <is>
          <t>COMMERCIAL</t>
        </is>
      </c>
    </row>
    <row r="2371" ht="18" customHeight="1" s="7">
      <c r="A2371" s="144" t="inlineStr">
        <is>
          <t>MAIA JEFFERSON</t>
        </is>
      </c>
      <c r="B2371" s="144" t="inlineStr">
        <is>
          <t>15400575 TX</t>
        </is>
      </c>
      <c r="C2371" s="144" t="inlineStr">
        <is>
          <t>BIG HOOPS TRANS</t>
        </is>
      </c>
      <c r="D2371" s="144" t="n">
        <v>4694693800</v>
      </c>
      <c r="E2371" s="144" t="inlineStr">
        <is>
          <t>PU</t>
        </is>
      </c>
      <c r="F2371" s="144" t="inlineStr">
        <is>
          <t>K199204 TX</t>
        </is>
      </c>
      <c r="G2371" s="144" t="inlineStr">
        <is>
          <t>WHITE FORD</t>
        </is>
      </c>
      <c r="H2371" s="144" t="n">
        <v>1121</v>
      </c>
      <c r="I2371" s="144" t="inlineStr">
        <is>
          <t>CONTRACTOR</t>
        </is>
      </c>
    </row>
    <row r="2372" ht="18" customHeight="1" s="7">
      <c r="A2372" s="144" t="inlineStr">
        <is>
          <t>BARRY AKNIGHT</t>
        </is>
      </c>
      <c r="B2372" s="144" t="inlineStr">
        <is>
          <t>*052069287 GA</t>
        </is>
      </c>
      <c r="C2372" s="144" t="inlineStr">
        <is>
          <t>FEDEX</t>
        </is>
      </c>
      <c r="D2372" s="144" t="n">
        <v>6893959437</v>
      </c>
      <c r="E2372" s="144" t="inlineStr">
        <is>
          <t>BOX</t>
        </is>
      </c>
      <c r="F2372" s="144" t="inlineStr">
        <is>
          <t>3745957 IN</t>
        </is>
      </c>
      <c r="G2372" s="144" t="inlineStr">
        <is>
          <t>WHITE KW</t>
        </is>
      </c>
      <c r="H2372" s="144" t="inlineStr">
        <is>
          <t>BASEWIDE</t>
        </is>
      </c>
      <c r="I2372" s="144" t="inlineStr">
        <is>
          <t>COMMERCIAL</t>
        </is>
      </c>
    </row>
    <row r="2373" ht="18" customHeight="1" s="7">
      <c r="A2373" s="144" t="inlineStr">
        <is>
          <t>CURTIS TURNER</t>
        </is>
      </c>
      <c r="B2373" s="144" t="inlineStr">
        <is>
          <t>*054296000 GA</t>
        </is>
      </c>
      <c r="C2373" s="144" t="inlineStr">
        <is>
          <t>SOUTH TURF CARE</t>
        </is>
      </c>
      <c r="D2373" s="144" t="n">
        <v>2294498530</v>
      </c>
      <c r="E2373" s="144" t="inlineStr">
        <is>
          <t>PU</t>
        </is>
      </c>
      <c r="F2373" s="144" t="inlineStr">
        <is>
          <t>BRD2205 GA</t>
        </is>
      </c>
      <c r="G2373" s="144" t="inlineStr">
        <is>
          <t>SILVER FORD</t>
        </is>
      </c>
      <c r="H2373" s="144" t="inlineStr">
        <is>
          <t>LANDFILL</t>
        </is>
      </c>
      <c r="I2373" s="144" t="inlineStr">
        <is>
          <t>CONTRACTOR</t>
        </is>
      </c>
    </row>
    <row r="2374" ht="18" customHeight="1" s="7">
      <c r="A2374" s="144" t="inlineStr">
        <is>
          <t>RANDY JACKSON</t>
        </is>
      </c>
      <c r="B2374" s="144" t="inlineStr">
        <is>
          <t>*030257795 GA</t>
        </is>
      </c>
      <c r="C2374" s="144" t="inlineStr">
        <is>
          <t>WASTE MANGMENT</t>
        </is>
      </c>
      <c r="D2374" s="144" t="n">
        <v>2298941645</v>
      </c>
      <c r="E2374" s="144" t="inlineStr">
        <is>
          <t>PU</t>
        </is>
      </c>
      <c r="F2374" s="144" t="inlineStr">
        <is>
          <t>XJL544 GA</t>
        </is>
      </c>
      <c r="G2374" s="144" t="inlineStr">
        <is>
          <t>WHITE FORD</t>
        </is>
      </c>
      <c r="H2374" s="144" t="n">
        <v>3600</v>
      </c>
      <c r="I2374" s="144" t="inlineStr">
        <is>
          <t>CONTRACTOR</t>
        </is>
      </c>
    </row>
    <row r="2375" ht="18" customHeight="1" s="7">
      <c r="A2375" s="144" t="inlineStr">
        <is>
          <t>MICHAEL HEARD</t>
        </is>
      </c>
      <c r="B2375" s="144" t="inlineStr">
        <is>
          <t>*044602608 GA</t>
        </is>
      </c>
      <c r="C2375" s="144" t="inlineStr">
        <is>
          <t>BUFFALO ROCK</t>
        </is>
      </c>
      <c r="D2375" s="144" t="n">
        <v>2297336141</v>
      </c>
      <c r="E2375" s="144" t="inlineStr">
        <is>
          <t>VAN</t>
        </is>
      </c>
      <c r="F2375" s="144" t="inlineStr">
        <is>
          <t>CJX229 GA</t>
        </is>
      </c>
      <c r="G2375" s="144" t="inlineStr">
        <is>
          <t>WHITE FORD</t>
        </is>
      </c>
      <c r="H2375" s="144" t="n">
        <v>7501</v>
      </c>
      <c r="I2375" s="144" t="inlineStr">
        <is>
          <t>CONTRACTOR</t>
        </is>
      </c>
    </row>
    <row r="2376" ht="18" customHeight="1" s="7">
      <c r="A2376" s="144" t="inlineStr">
        <is>
          <t>CLAYTON GALLOWAY</t>
        </is>
      </c>
      <c r="B2376" s="144" t="inlineStr">
        <is>
          <t>*061082866 GA</t>
        </is>
      </c>
      <c r="C2376" s="144" t="inlineStr">
        <is>
          <t>HULL ELECTRIC</t>
        </is>
      </c>
      <c r="D2376" s="144" t="n">
        <v>9124099119</v>
      </c>
      <c r="E2376" s="144" t="inlineStr">
        <is>
          <t>VAN</t>
        </is>
      </c>
      <c r="F2376" s="144" t="inlineStr">
        <is>
          <t>SJS2658 GA</t>
        </is>
      </c>
      <c r="G2376" s="144" t="inlineStr">
        <is>
          <t>WHITE FORD</t>
        </is>
      </c>
      <c r="H2376" s="144" t="n">
        <v>7501</v>
      </c>
      <c r="I2376" s="144" t="inlineStr">
        <is>
          <t>CONTRACTOR</t>
        </is>
      </c>
    </row>
    <row r="2377" ht="18" customHeight="1" s="7">
      <c r="A2377" s="144" t="inlineStr">
        <is>
          <t>AUSTIN HILDERBRAND</t>
        </is>
      </c>
      <c r="B2377" s="144" t="inlineStr">
        <is>
          <t>*061231063 GA</t>
        </is>
      </c>
      <c r="C2377" s="144" t="inlineStr">
        <is>
          <t>HULL ELECTRIC</t>
        </is>
      </c>
      <c r="D2377" s="144" t="n">
        <v>9124099119</v>
      </c>
      <c r="E2377" s="144" t="inlineStr">
        <is>
          <t>VAN</t>
        </is>
      </c>
      <c r="F2377" s="144" t="inlineStr">
        <is>
          <t>SJS2658 GA</t>
        </is>
      </c>
      <c r="G2377" s="144" t="inlineStr">
        <is>
          <t>WHITE FORD</t>
        </is>
      </c>
      <c r="H2377" s="144" t="n">
        <v>7501</v>
      </c>
      <c r="I2377" s="144" t="inlineStr">
        <is>
          <t>CONTRACTOR</t>
        </is>
      </c>
    </row>
    <row r="2378" ht="18" customHeight="1" s="7">
      <c r="A2378" s="144" t="inlineStr">
        <is>
          <t>JERRY WHITE</t>
        </is>
      </c>
      <c r="B2378" s="144" t="inlineStr">
        <is>
          <t>W300423863760 FL</t>
        </is>
      </c>
      <c r="C2378" s="144" t="inlineStr">
        <is>
          <t>LIGHTHOUSE</t>
        </is>
      </c>
      <c r="D2378" s="144" t="n">
        <v>9043840180</v>
      </c>
      <c r="E2378" s="144" t="inlineStr">
        <is>
          <t>PU</t>
        </is>
      </c>
      <c r="F2378" s="144" t="inlineStr">
        <is>
          <t>LEC6 FL</t>
        </is>
      </c>
      <c r="G2378" s="144" t="inlineStr">
        <is>
          <t>WHITE FORD</t>
        </is>
      </c>
      <c r="H2378" s="144" t="inlineStr">
        <is>
          <t>GATE 15</t>
        </is>
      </c>
      <c r="I2378" s="144" t="inlineStr">
        <is>
          <t>CONTRACTOR</t>
        </is>
      </c>
    </row>
    <row r="2379" ht="18" customHeight="1" s="7">
      <c r="A2379" s="144" t="inlineStr">
        <is>
          <t xml:space="preserve">QUINTERO MARCOS </t>
        </is>
      </c>
      <c r="B2379" s="144" t="inlineStr">
        <is>
          <t>*062128993 GA</t>
        </is>
      </c>
      <c r="C2379" s="144" t="inlineStr">
        <is>
          <t>ALLOY</t>
        </is>
      </c>
      <c r="D2379" s="144" t="n">
        <v>4043578947</v>
      </c>
      <c r="E2379" s="144" t="inlineStr">
        <is>
          <t>PU</t>
        </is>
      </c>
      <c r="F2379" s="144" t="inlineStr">
        <is>
          <t>YDS281 GA</t>
        </is>
      </c>
      <c r="G2379" s="144" t="inlineStr">
        <is>
          <t>WHITE FORD</t>
        </is>
      </c>
      <c r="H2379" s="144" t="inlineStr">
        <is>
          <t>P947</t>
        </is>
      </c>
      <c r="I2379" s="144" t="inlineStr">
        <is>
          <t>CONTRACTOR</t>
        </is>
      </c>
    </row>
    <row r="2380" ht="18" customHeight="1" s="7">
      <c r="A2380" s="144" t="inlineStr">
        <is>
          <t xml:space="preserve"> EILEEN MASON</t>
        </is>
      </c>
      <c r="B2380" s="144" t="inlineStr">
        <is>
          <t>M246981120000</t>
        </is>
      </c>
      <c r="C2380" s="144" t="inlineStr">
        <is>
          <t>LANDSTAR</t>
        </is>
      </c>
      <c r="D2380" s="144" t="n">
        <v>3137270882</v>
      </c>
      <c r="E2380" s="144" t="inlineStr">
        <is>
          <t>BOX</t>
        </is>
      </c>
      <c r="F2380" s="144" t="inlineStr">
        <is>
          <t>3110182 IN</t>
        </is>
      </c>
      <c r="G2380" s="144" t="inlineStr">
        <is>
          <t>WHITE VOLVO</t>
        </is>
      </c>
      <c r="H2380" s="144" t="n">
        <v>1221</v>
      </c>
      <c r="I2380" s="144" t="inlineStr">
        <is>
          <t>COMMERCIAL</t>
        </is>
      </c>
    </row>
    <row r="2381" ht="18" customHeight="1" s="7">
      <c r="A2381" s="144" t="inlineStr">
        <is>
          <t>KEVIN MASON</t>
        </is>
      </c>
      <c r="B2381" s="144" t="inlineStr">
        <is>
          <t>M246996596000</t>
        </is>
      </c>
      <c r="C2381" s="144" t="inlineStr">
        <is>
          <t>LANDSTAR</t>
        </is>
      </c>
      <c r="D2381" s="144" t="n">
        <v>3137270882</v>
      </c>
      <c r="E2381" s="144" t="inlineStr">
        <is>
          <t>BOX</t>
        </is>
      </c>
      <c r="F2381" s="144" t="inlineStr">
        <is>
          <t>3110182 IN</t>
        </is>
      </c>
      <c r="G2381" s="144" t="inlineStr">
        <is>
          <t>WHITE VOLVO</t>
        </is>
      </c>
      <c r="H2381" s="144" t="n">
        <v>1221</v>
      </c>
      <c r="I2381" s="144" t="inlineStr">
        <is>
          <t>COMMERCIAL</t>
        </is>
      </c>
    </row>
    <row r="2382" ht="18" customHeight="1" s="7">
      <c r="A2382" s="144" t="inlineStr">
        <is>
          <t>JAMES ALEXANDER</t>
        </is>
      </c>
      <c r="B2382" s="144" t="inlineStr">
        <is>
          <t>*057887601 GA</t>
        </is>
      </c>
      <c r="C2382" s="144" t="inlineStr">
        <is>
          <t xml:space="preserve">TAYLOR SUDDEN </t>
        </is>
      </c>
      <c r="D2382" s="144" t="n">
        <v>2298008067</v>
      </c>
      <c r="E2382" s="144" t="inlineStr">
        <is>
          <t>PU</t>
        </is>
      </c>
      <c r="F2382" s="144" t="inlineStr">
        <is>
          <t>GHQ342 GA</t>
        </is>
      </c>
      <c r="G2382" s="144" t="inlineStr">
        <is>
          <t>WHITE FORD</t>
        </is>
      </c>
      <c r="H2382" s="144" t="n">
        <v>1241</v>
      </c>
      <c r="I2382" s="144" t="inlineStr">
        <is>
          <t>CONTRACTOR</t>
        </is>
      </c>
    </row>
    <row r="2383" ht="18" customHeight="1" s="7">
      <c r="A2383" s="144" t="inlineStr">
        <is>
          <t>LINE THOMAS</t>
        </is>
      </c>
      <c r="B2383" s="144" t="inlineStr">
        <is>
          <t>4561132 OR</t>
        </is>
      </c>
      <c r="C2383" s="144" t="inlineStr">
        <is>
          <t>LANDSTAR</t>
        </is>
      </c>
      <c r="D2383" s="144" t="n">
        <v>5013904717</v>
      </c>
      <c r="E2383" s="144" t="inlineStr">
        <is>
          <t>VAN</t>
        </is>
      </c>
      <c r="F2383" s="144" t="inlineStr">
        <is>
          <t>496KQF OR</t>
        </is>
      </c>
      <c r="G2383" s="144" t="inlineStr">
        <is>
          <t>WHITE MEB</t>
        </is>
      </c>
      <c r="H2383" s="144" t="n">
        <v>1221</v>
      </c>
      <c r="I2383" s="144" t="inlineStr">
        <is>
          <t>CONTRACTOR</t>
        </is>
      </c>
    </row>
    <row r="2384" ht="18" customHeight="1" s="7">
      <c r="A2384" s="144" t="inlineStr">
        <is>
          <t>BRANDY PACE</t>
        </is>
      </c>
      <c r="B2384" s="144" t="inlineStr">
        <is>
          <t>*055344616 GA</t>
        </is>
      </c>
      <c r="C2384" s="144" t="inlineStr">
        <is>
          <t>SITEPRO</t>
        </is>
      </c>
      <c r="D2384" s="144" t="n">
        <v>4707860001</v>
      </c>
      <c r="E2384" s="144" t="inlineStr">
        <is>
          <t>FLAT</t>
        </is>
      </c>
      <c r="F2384" s="144" t="inlineStr">
        <is>
          <t>R737462 TX</t>
        </is>
      </c>
      <c r="G2384" s="144" t="inlineStr">
        <is>
          <t>BLACK WESTERNSTAR</t>
        </is>
      </c>
      <c r="H2384" s="144" t="n">
        <v>1221</v>
      </c>
      <c r="I2384" s="144" t="inlineStr">
        <is>
          <t>COMMERCIAL</t>
        </is>
      </c>
    </row>
    <row r="2385" ht="18" customHeight="1" s="7">
      <c r="A2385" s="144" t="inlineStr">
        <is>
          <t>PRESTON LEE</t>
        </is>
      </c>
      <c r="B2385" s="144" t="inlineStr">
        <is>
          <t>*055993612 GA</t>
        </is>
      </c>
      <c r="C2385" s="144" t="inlineStr">
        <is>
          <t>GREASE TEC</t>
        </is>
      </c>
      <c r="D2385" s="144" t="n">
        <v>2293770114</v>
      </c>
      <c r="E2385" s="144" t="inlineStr">
        <is>
          <t>TANK</t>
        </is>
      </c>
      <c r="F2385" s="144" t="inlineStr">
        <is>
          <t>GCY278 GA</t>
        </is>
      </c>
      <c r="G2385" s="144" t="inlineStr">
        <is>
          <t>WHITE FORD</t>
        </is>
      </c>
      <c r="H2385" s="144" t="n">
        <v>2200</v>
      </c>
      <c r="I2385" s="144" t="inlineStr">
        <is>
          <t>COMMERCIAL</t>
        </is>
      </c>
    </row>
    <row r="2386" ht="18" customHeight="1" s="7">
      <c r="A2386" s="144" t="inlineStr">
        <is>
          <t>WILLIAM BLACK</t>
        </is>
      </c>
      <c r="B2386" s="144" t="inlineStr">
        <is>
          <t>*000021396594 NC</t>
        </is>
      </c>
      <c r="C2386" s="144" t="inlineStr">
        <is>
          <t>ALLOY</t>
        </is>
      </c>
      <c r="D2386" s="144" t="n">
        <v>9196145737</v>
      </c>
      <c r="E2386" s="144" t="inlineStr">
        <is>
          <t>PU</t>
        </is>
      </c>
      <c r="F2386" s="144" t="inlineStr">
        <is>
          <t>JH4007 NC</t>
        </is>
      </c>
      <c r="G2386" s="144" t="inlineStr">
        <is>
          <t>WHITE FORD</t>
        </is>
      </c>
      <c r="H2386" s="144" t="inlineStr">
        <is>
          <t>P947</t>
        </is>
      </c>
      <c r="I2386" s="144" t="inlineStr">
        <is>
          <t>CONTRACTOR</t>
        </is>
      </c>
    </row>
    <row r="2387" ht="18" customHeight="1" s="7">
      <c r="A2387" s="144" t="inlineStr">
        <is>
          <t>TILLEY CHRISTOPHER</t>
        </is>
      </c>
      <c r="B2387" s="144" t="inlineStr">
        <is>
          <t>27913285 TX</t>
        </is>
      </c>
      <c r="C2387" s="144" t="inlineStr">
        <is>
          <t>WESTMINSTER</t>
        </is>
      </c>
      <c r="D2387" s="144" t="n">
        <v>9362832607</v>
      </c>
      <c r="E2387" s="144" t="inlineStr">
        <is>
          <t>PU</t>
        </is>
      </c>
      <c r="F2387" s="144" t="inlineStr">
        <is>
          <t>K204126 TX</t>
        </is>
      </c>
      <c r="G2387" s="144" t="inlineStr">
        <is>
          <t>SIL;VER FORD</t>
        </is>
      </c>
      <c r="H2387" s="144" t="n">
        <v>1221</v>
      </c>
      <c r="I2387" s="144" t="inlineStr">
        <is>
          <t>CONTRACTOR</t>
        </is>
      </c>
    </row>
    <row r="2388" ht="18" customHeight="1" s="7">
      <c r="A2388" s="144" t="inlineStr">
        <is>
          <t>FREDRICK WILLIAMS</t>
        </is>
      </c>
      <c r="B2388" s="144" t="inlineStr">
        <is>
          <t>*055829499 GA</t>
        </is>
      </c>
      <c r="C2388" s="144" t="inlineStr">
        <is>
          <t>VESTIS</t>
        </is>
      </c>
      <c r="D2388" s="144" t="n">
        <v>2294219879</v>
      </c>
      <c r="E2388" s="144" t="inlineStr">
        <is>
          <t>VAN</t>
        </is>
      </c>
      <c r="F2388" s="144" t="inlineStr">
        <is>
          <t>GXHU96 FL</t>
        </is>
      </c>
      <c r="G2388" s="144" t="inlineStr">
        <is>
          <t>WHITE FORD</t>
        </is>
      </c>
      <c r="H2388" s="144" t="n">
        <v>7501</v>
      </c>
      <c r="I2388" s="144" t="inlineStr">
        <is>
          <t>CONTRACTOR</t>
        </is>
      </c>
    </row>
    <row r="2389" ht="18" customHeight="1" s="7">
      <c r="A2389" s="144" t="inlineStr">
        <is>
          <t>HARASAN VOLODYMYR</t>
        </is>
      </c>
      <c r="B2389" s="144" t="inlineStr">
        <is>
          <t>H62586095212 IL</t>
        </is>
      </c>
      <c r="C2389" s="144" t="inlineStr">
        <is>
          <t>VAT INC</t>
        </is>
      </c>
      <c r="D2389" s="144" t="n">
        <v>2246612116</v>
      </c>
      <c r="E2389" s="144" t="inlineStr">
        <is>
          <t>BOX</t>
        </is>
      </c>
      <c r="F2389" s="144" t="inlineStr">
        <is>
          <t>P1107600 IL</t>
        </is>
      </c>
      <c r="G2389" s="144" t="inlineStr">
        <is>
          <t>WHITE FREIGHTLINER</t>
        </is>
      </c>
      <c r="H2389" s="144" t="n">
        <v>1221</v>
      </c>
      <c r="I2389" s="144" t="inlineStr">
        <is>
          <t>COMMERCIAL</t>
        </is>
      </c>
    </row>
    <row r="2390" ht="18" customHeight="1" s="7">
      <c r="A2390" s="144" t="inlineStr">
        <is>
          <t>RAGE SOMANE</t>
        </is>
      </c>
      <c r="B2390" s="144" t="inlineStr">
        <is>
          <t>2512575 OR</t>
        </is>
      </c>
      <c r="C2390" s="144" t="inlineStr">
        <is>
          <t>E&amp;N TRANS</t>
        </is>
      </c>
      <c r="D2390" s="144" t="n">
        <v>9717063275</v>
      </c>
      <c r="E2390" s="144" t="inlineStr">
        <is>
          <t>BOX</t>
        </is>
      </c>
      <c r="F2390" s="144" t="inlineStr">
        <is>
          <t>YAKK804 OR</t>
        </is>
      </c>
      <c r="G2390" s="144" t="inlineStr">
        <is>
          <t>GREEN FREIGHTLINER</t>
        </is>
      </c>
      <c r="H2390" s="144" t="n">
        <v>1221</v>
      </c>
      <c r="I2390" s="144" t="inlineStr">
        <is>
          <t>COMMERCIAL</t>
        </is>
      </c>
    </row>
    <row r="2391" ht="18" customHeight="1" s="7">
      <c r="A2391" s="144" t="inlineStr">
        <is>
          <t>IURCEAC IVANOVICH</t>
        </is>
      </c>
      <c r="B2391" s="144" t="inlineStr">
        <is>
          <t>I622289733670 FL</t>
        </is>
      </c>
      <c r="C2391" s="144" t="inlineStr">
        <is>
          <t>YK EXPRESS</t>
        </is>
      </c>
      <c r="D2391" s="144" t="n">
        <v>5594413465</v>
      </c>
      <c r="E2391" s="144" t="inlineStr">
        <is>
          <t>FLAT</t>
        </is>
      </c>
      <c r="F2391" s="144" t="inlineStr">
        <is>
          <t>XE434V FL</t>
        </is>
      </c>
      <c r="G2391" s="144" t="inlineStr">
        <is>
          <t>GRAY FREIGHT</t>
        </is>
      </c>
      <c r="H2391" s="144" t="n">
        <v>1221</v>
      </c>
      <c r="I2391" s="144" t="inlineStr">
        <is>
          <t>COMMERCIAL</t>
        </is>
      </c>
    </row>
    <row r="2392" ht="18" customHeight="1" s="7">
      <c r="A2392" s="144" t="inlineStr">
        <is>
          <t>RONNIE DICKEY JR</t>
        </is>
      </c>
      <c r="B2392" s="144" t="inlineStr">
        <is>
          <t>*039528146 GA</t>
        </is>
      </c>
      <c r="C2392" s="144" t="inlineStr">
        <is>
          <t>MERCER TRANS</t>
        </is>
      </c>
      <c r="D2392" s="144" t="n">
        <v>18006265375</v>
      </c>
      <c r="E2392" s="144" t="inlineStr">
        <is>
          <t>FLAT</t>
        </is>
      </c>
      <c r="F2392" s="144" t="inlineStr">
        <is>
          <t>3011421 IN</t>
        </is>
      </c>
      <c r="G2392" s="144" t="inlineStr">
        <is>
          <t>WHITE VOLVO</t>
        </is>
      </c>
      <c r="H2392" s="144" t="n">
        <v>1221</v>
      </c>
      <c r="I2392" s="144" t="inlineStr">
        <is>
          <t>COMMERCIAL</t>
        </is>
      </c>
    </row>
    <row r="2393" ht="18" customHeight="1" s="7">
      <c r="A2393" s="144" t="inlineStr">
        <is>
          <t>MUNTEAN ION</t>
        </is>
      </c>
      <c r="B2393" s="144" t="inlineStr">
        <is>
          <t>9370915930 IN</t>
        </is>
      </c>
      <c r="C2393" s="144" t="inlineStr">
        <is>
          <t>CARGO CORP</t>
        </is>
      </c>
      <c r="D2393" s="144" t="n">
        <v>2532585656</v>
      </c>
      <c r="E2393" s="144" t="inlineStr">
        <is>
          <t>FLAT</t>
        </is>
      </c>
      <c r="F2393" s="144" t="inlineStr">
        <is>
          <t>3364911 IN</t>
        </is>
      </c>
      <c r="G2393" s="144" t="inlineStr">
        <is>
          <t>BLUE FREIGHTLINER</t>
        </is>
      </c>
      <c r="H2393" s="144" t="n">
        <v>1221</v>
      </c>
      <c r="I2393" s="144" t="inlineStr">
        <is>
          <t>COMMERCIAL</t>
        </is>
      </c>
    </row>
    <row r="2394" ht="18" customHeight="1" s="7">
      <c r="A2394" s="144" t="inlineStr">
        <is>
          <t>BEZRUKAVYY VLADIMIR</t>
        </is>
      </c>
      <c r="B2394" s="144" t="inlineStr">
        <is>
          <t>L000080234800 MN</t>
        </is>
      </c>
      <c r="C2394" s="144" t="inlineStr">
        <is>
          <t>DIRECT TRANS</t>
        </is>
      </c>
      <c r="D2394" s="144" t="n">
        <v>7208385682</v>
      </c>
      <c r="E2394" s="144" t="inlineStr">
        <is>
          <t>BOX</t>
        </is>
      </c>
      <c r="F2394" s="144" t="inlineStr">
        <is>
          <t>PAV4468 MN</t>
        </is>
      </c>
      <c r="G2394" s="144" t="inlineStr">
        <is>
          <t>RED FREIGHTLINER</t>
        </is>
      </c>
      <c r="H2394" s="144" t="n">
        <v>1221</v>
      </c>
      <c r="I2394" s="144" t="inlineStr">
        <is>
          <t>COMMERCIAL</t>
        </is>
      </c>
    </row>
    <row r="2395" ht="18" customHeight="1" s="7">
      <c r="A2395" s="144" t="inlineStr">
        <is>
          <t>WILLIAM MANZANARES</t>
        </is>
      </c>
      <c r="B2395" s="144" t="inlineStr">
        <is>
          <t>LFD01181592 (MEXICO)</t>
        </is>
      </c>
      <c r="C2395" s="144" t="inlineStr">
        <is>
          <t>MYE TRANS LLC</t>
        </is>
      </c>
      <c r="D2395" s="144" t="n">
        <v>6562247583</v>
      </c>
      <c r="E2395" s="144" t="inlineStr">
        <is>
          <t>BOX</t>
        </is>
      </c>
      <c r="F2395" s="144" t="inlineStr">
        <is>
          <t>VW1077 NC</t>
        </is>
      </c>
      <c r="G2395" s="144" t="inlineStr">
        <is>
          <t>WHITE FREIGHTLINER</t>
        </is>
      </c>
      <c r="H2395" s="144" t="n">
        <v>1221</v>
      </c>
      <c r="I2395" s="144" t="inlineStr">
        <is>
          <t>COMMERCIAL</t>
        </is>
      </c>
    </row>
    <row r="2396" ht="18" customHeight="1" s="7">
      <c r="A2396" s="144" t="inlineStr">
        <is>
          <t xml:space="preserve">WISLEY CHARLES </t>
        </is>
      </c>
      <c r="B2396" s="144" t="inlineStr">
        <is>
          <t>C642882670930FL</t>
        </is>
      </c>
      <c r="C2396" s="144" t="inlineStr">
        <is>
          <t>M&amp;C LOGISTICS</t>
        </is>
      </c>
      <c r="D2396" s="144" t="n">
        <v>9549077111</v>
      </c>
      <c r="E2396" s="144" t="inlineStr">
        <is>
          <t>BOX</t>
        </is>
      </c>
      <c r="F2396" s="144" t="inlineStr">
        <is>
          <t>XE764H FL</t>
        </is>
      </c>
      <c r="G2396" s="144" t="inlineStr">
        <is>
          <t>WHITE FREIGHTLINER</t>
        </is>
      </c>
      <c r="H2396" s="144" t="n">
        <v>1221</v>
      </c>
      <c r="I2396" s="144" t="inlineStr">
        <is>
          <t>COMMERCIAL</t>
        </is>
      </c>
    </row>
    <row r="2397" ht="18" customHeight="1" s="7">
      <c r="A2397" s="144" t="inlineStr">
        <is>
          <t>PHILIPP CALDWELL</t>
        </is>
      </c>
      <c r="B2397" s="144" t="inlineStr">
        <is>
          <t>C4346657526700 WI</t>
        </is>
      </c>
      <c r="C2397" s="144" t="inlineStr">
        <is>
          <t>PMA TRUCKING</t>
        </is>
      </c>
      <c r="D2397" s="144" t="n">
        <v>6513354235</v>
      </c>
      <c r="E2397" s="144" t="inlineStr">
        <is>
          <t>BOX</t>
        </is>
      </c>
      <c r="F2397" s="144" t="inlineStr">
        <is>
          <t>P1307088 IL</t>
        </is>
      </c>
      <c r="G2397" s="144" t="inlineStr">
        <is>
          <t>WHITE FREIGHTLINER</t>
        </is>
      </c>
      <c r="H2397" s="144" t="n">
        <v>1221</v>
      </c>
      <c r="I2397" s="144" t="inlineStr">
        <is>
          <t>COMMERCIAL</t>
        </is>
      </c>
    </row>
    <row r="2398" ht="18" customHeight="1" s="7">
      <c r="A2398" s="144" t="inlineStr">
        <is>
          <t>AVAIKI SOLVALU</t>
        </is>
      </c>
      <c r="B2398" s="144" t="inlineStr">
        <is>
          <t>S414018710430</t>
        </is>
      </c>
      <c r="C2398" s="144" t="inlineStr">
        <is>
          <t>FAST TRANSP.</t>
        </is>
      </c>
      <c r="D2398" s="144" t="n">
        <v>4042475515</v>
      </c>
      <c r="E2398" s="144" t="inlineStr">
        <is>
          <t>FLAT</t>
        </is>
      </c>
      <c r="F2398" s="144" t="inlineStr">
        <is>
          <t>C547EX GA</t>
        </is>
      </c>
      <c r="G2398" s="144" t="inlineStr">
        <is>
          <t>BLUE VOLVO</t>
        </is>
      </c>
      <c r="H2398" s="144" t="n">
        <v>1221</v>
      </c>
      <c r="I2398" s="144" t="inlineStr">
        <is>
          <t>COMMERCIAL</t>
        </is>
      </c>
    </row>
    <row r="2399" ht="18" customHeight="1" s="7">
      <c r="A2399" s="144" t="inlineStr">
        <is>
          <t>WILLIE MILLS</t>
        </is>
      </c>
      <c r="B2399" s="144" t="inlineStr">
        <is>
          <t>55597071 GA</t>
        </is>
      </c>
      <c r="C2399" s="144" t="inlineStr">
        <is>
          <t>GEORGIA CROWN</t>
        </is>
      </c>
      <c r="D2399" s="144" t="n">
        <v>4048494710</v>
      </c>
      <c r="E2399" s="144" t="inlineStr">
        <is>
          <t>BOX</t>
        </is>
      </c>
      <c r="F2399" s="144" t="inlineStr">
        <is>
          <t>GAL275 GA</t>
        </is>
      </c>
      <c r="G2399" s="144" t="inlineStr">
        <is>
          <t>WHITE FORD</t>
        </is>
      </c>
      <c r="H2399" s="144" t="n">
        <v>7500</v>
      </c>
      <c r="I2399" s="144" t="inlineStr">
        <is>
          <t>CONTRACTOR</t>
        </is>
      </c>
    </row>
    <row r="2400" ht="18" customHeight="1" s="7">
      <c r="A2400" s="144" t="inlineStr">
        <is>
          <t>DAVID NELSON</t>
        </is>
      </c>
      <c r="B2400" s="144" t="inlineStr">
        <is>
          <t>052611672 GA</t>
        </is>
      </c>
      <c r="C2400" s="144" t="inlineStr">
        <is>
          <t>SAFEVAC</t>
        </is>
      </c>
      <c r="D2400" s="144" t="n">
        <v>2293560293</v>
      </c>
      <c r="E2400" s="144" t="inlineStr">
        <is>
          <t>BOX</t>
        </is>
      </c>
      <c r="F2400" s="144" t="inlineStr">
        <is>
          <t>P439CS GA</t>
        </is>
      </c>
      <c r="G2400" s="144" t="inlineStr">
        <is>
          <t>WHITE FREIGHTLINER</t>
        </is>
      </c>
      <c r="H2400" s="144" t="inlineStr">
        <is>
          <t>SUB STATION</t>
        </is>
      </c>
      <c r="I2400" s="144" t="inlineStr">
        <is>
          <t>CONTRACTOR</t>
        </is>
      </c>
    </row>
    <row r="2401" ht="18" customHeight="1" s="7">
      <c r="A2401" s="144" t="inlineStr">
        <is>
          <t>BRANDON SCHELL</t>
        </is>
      </c>
      <c r="B2401" s="144" t="inlineStr">
        <is>
          <t>060303597 GA</t>
        </is>
      </c>
      <c r="C2401" s="144" t="inlineStr">
        <is>
          <t>SAFEVAC</t>
        </is>
      </c>
      <c r="D2401" s="144" t="n">
        <v>2293560293</v>
      </c>
      <c r="E2401" s="144" t="inlineStr">
        <is>
          <t>PU</t>
        </is>
      </c>
      <c r="F2401" s="144" t="inlineStr">
        <is>
          <t>DAD7040 GA</t>
        </is>
      </c>
      <c r="G2401" s="144" t="inlineStr">
        <is>
          <t>WHITE FORD</t>
        </is>
      </c>
      <c r="H2401" s="144" t="inlineStr">
        <is>
          <t>SUB STATION</t>
        </is>
      </c>
      <c r="I2401" s="144" t="inlineStr">
        <is>
          <t>CONTRACTOR</t>
        </is>
      </c>
    </row>
    <row r="2402" ht="18" customHeight="1" s="7">
      <c r="A2402" s="144" t="inlineStr">
        <is>
          <t>FARRUKH TILLOEV</t>
        </is>
      </c>
      <c r="B2402" s="144" t="inlineStr">
        <is>
          <t>35091005 IN</t>
        </is>
      </c>
      <c r="C2402" s="144" t="inlineStr">
        <is>
          <t>LOGE X</t>
        </is>
      </c>
      <c r="D2402" s="144" t="n">
        <v>9293667474</v>
      </c>
      <c r="E2402" s="144" t="inlineStr">
        <is>
          <t>BOX</t>
        </is>
      </c>
      <c r="F2402" s="144" t="inlineStr">
        <is>
          <t>AH243340 PA</t>
        </is>
      </c>
      <c r="G2402" s="144" t="inlineStr">
        <is>
          <t>WHITE PETERBILT</t>
        </is>
      </c>
      <c r="H2402" s="144" t="n">
        <v>1221</v>
      </c>
      <c r="I2402" s="144" t="inlineStr">
        <is>
          <t>COMMERCIAL</t>
        </is>
      </c>
    </row>
    <row r="2403" ht="18" customHeight="1" s="7">
      <c r="A2403" s="144" t="inlineStr">
        <is>
          <t>GARY JOHNSON</t>
        </is>
      </c>
      <c r="B2403" s="144" t="inlineStr">
        <is>
          <t>*041394345 GA</t>
        </is>
      </c>
      <c r="C2403" s="144" t="inlineStr">
        <is>
          <t>JOHNSON A1</t>
        </is>
      </c>
      <c r="D2403" s="144" t="n">
        <v>7066622789</v>
      </c>
      <c r="E2403" s="144" t="inlineStr">
        <is>
          <t>BOX</t>
        </is>
      </c>
      <c r="F2403" s="144" t="inlineStr">
        <is>
          <t>P847CH GA</t>
        </is>
      </c>
      <c r="G2403" s="144" t="inlineStr">
        <is>
          <t>BLUE VOLVO</t>
        </is>
      </c>
      <c r="H2403" s="144" t="n">
        <v>1215</v>
      </c>
      <c r="I2403" s="144" t="inlineStr">
        <is>
          <t>COMMERCIAL</t>
        </is>
      </c>
    </row>
    <row r="2404" ht="18" customHeight="1" s="7">
      <c r="A2404" s="144" t="inlineStr">
        <is>
          <t>CALEB MCAULEY</t>
        </is>
      </c>
      <c r="B2404" s="144" t="inlineStr">
        <is>
          <t>M240112933100 FL</t>
        </is>
      </c>
      <c r="C2404" s="144" t="inlineStr">
        <is>
          <t>ENGINEERED COOLING</t>
        </is>
      </c>
      <c r="D2404" s="144" t="n">
        <v>8502285374</v>
      </c>
      <c r="E2404" s="144" t="inlineStr">
        <is>
          <t>VAN</t>
        </is>
      </c>
      <c r="F2404" s="144" t="inlineStr">
        <is>
          <t>QFKT57 FL</t>
        </is>
      </c>
      <c r="G2404" s="144" t="inlineStr">
        <is>
          <t>WHITE NISSAN</t>
        </is>
      </c>
      <c r="H2404" s="144" t="n">
        <v>3600</v>
      </c>
      <c r="I2404" s="144" t="inlineStr">
        <is>
          <t>CONTRACTOR</t>
        </is>
      </c>
    </row>
    <row r="2405" ht="18" customHeight="1" s="7">
      <c r="A2405" s="144" t="inlineStr">
        <is>
          <t>MATTHEW JOHNSON</t>
        </is>
      </c>
      <c r="B2405" s="144" t="inlineStr">
        <is>
          <t xml:space="preserve">J525541853690 FL </t>
        </is>
      </c>
      <c r="C2405" s="144" t="inlineStr">
        <is>
          <t xml:space="preserve">FCI </t>
        </is>
      </c>
      <c r="D2405" s="144" t="n">
        <v>8145054660</v>
      </c>
      <c r="E2405" s="144" t="inlineStr">
        <is>
          <t>BOX</t>
        </is>
      </c>
      <c r="F2405" s="144" t="inlineStr">
        <is>
          <t>AY158U NJ</t>
        </is>
      </c>
      <c r="G2405" s="144" t="inlineStr">
        <is>
          <t>RED FREIGHTLINER</t>
        </is>
      </c>
      <c r="H2405" s="144" t="n">
        <v>1221</v>
      </c>
      <c r="I2405" s="144" t="inlineStr">
        <is>
          <t>COMMERCIAL</t>
        </is>
      </c>
    </row>
    <row r="2406" ht="18" customHeight="1" s="7">
      <c r="A2406" s="144" t="inlineStr">
        <is>
          <t>FRANCIS TYMON</t>
        </is>
      </c>
      <c r="B2406" s="144" t="inlineStr">
        <is>
          <t>139893093 TN</t>
        </is>
      </c>
      <c r="C2406" s="144" t="inlineStr">
        <is>
          <t>LANDSTAR</t>
        </is>
      </c>
      <c r="D2406" s="144" t="n">
        <v>4802681715</v>
      </c>
      <c r="E2406" s="144" t="inlineStr">
        <is>
          <t>VAN</t>
        </is>
      </c>
      <c r="F2406" s="144" t="inlineStr">
        <is>
          <t>491BNDJ TN</t>
        </is>
      </c>
      <c r="G2406" s="144" t="inlineStr">
        <is>
          <t>WHITE MERCEDES</t>
        </is>
      </c>
      <c r="H2406" s="144" t="n">
        <v>1221</v>
      </c>
      <c r="I2406" s="144" t="inlineStr">
        <is>
          <t>CONTRACTOR</t>
        </is>
      </c>
    </row>
    <row r="2407" ht="18" customHeight="1" s="7">
      <c r="A2407" s="144" t="inlineStr">
        <is>
          <t>SINGH BALJIT</t>
        </is>
      </c>
      <c r="B2407" s="144" t="inlineStr">
        <is>
          <t>Y7836629 CAL</t>
        </is>
      </c>
      <c r="C2407" s="144" t="inlineStr">
        <is>
          <t>MAJHA</t>
        </is>
      </c>
      <c r="D2407" s="144" t="n">
        <v>9084993445</v>
      </c>
      <c r="E2407" s="144" t="inlineStr">
        <is>
          <t>BOX</t>
        </is>
      </c>
      <c r="F2407" s="144" t="inlineStr">
        <is>
          <t>ZP28052 CAL</t>
        </is>
      </c>
      <c r="G2407" s="144" t="inlineStr">
        <is>
          <t>WHITE FREIGHTLINER</t>
        </is>
      </c>
      <c r="H2407" s="144" t="n">
        <v>1221</v>
      </c>
      <c r="I2407" s="144" t="inlineStr">
        <is>
          <t>COMMERICAL</t>
        </is>
      </c>
    </row>
    <row r="2408" ht="18" customHeight="1" s="7">
      <c r="A2408" s="144" t="inlineStr">
        <is>
          <t>BRYAN DOBBINS</t>
        </is>
      </c>
      <c r="B2408" s="144" t="inlineStr">
        <is>
          <t>*054335783 GA</t>
        </is>
      </c>
      <c r="C2408" s="144" t="inlineStr">
        <is>
          <t>AVERITT EXPRESS</t>
        </is>
      </c>
      <c r="D2408" s="144" t="n">
        <v>2295663017</v>
      </c>
      <c r="E2408" s="144" t="inlineStr">
        <is>
          <t>BOX</t>
        </is>
      </c>
      <c r="F2408" s="144" t="inlineStr">
        <is>
          <t>U7438HY TN</t>
        </is>
      </c>
      <c r="G2408" s="144" t="inlineStr">
        <is>
          <t>RED FREIGHTLINER</t>
        </is>
      </c>
      <c r="H2408" s="144" t="n">
        <v>5500</v>
      </c>
      <c r="I2408" s="144" t="inlineStr">
        <is>
          <t>COMMERCIAL</t>
        </is>
      </c>
    </row>
    <row r="2409" ht="18" customHeight="1" s="7">
      <c r="A2409" s="144" t="inlineStr">
        <is>
          <t>MARTINEX ALBERTO</t>
        </is>
      </c>
      <c r="B2409" s="144" t="inlineStr">
        <is>
          <t>M635101603260 FL</t>
        </is>
      </c>
      <c r="C2409" s="144" t="inlineStr">
        <is>
          <t>ES TRUCKING</t>
        </is>
      </c>
      <c r="D2409" s="144" t="n">
        <v>3054394927</v>
      </c>
      <c r="E2409" s="144" t="inlineStr">
        <is>
          <t>BOX</t>
        </is>
      </c>
      <c r="F2409" s="144" t="inlineStr">
        <is>
          <t>DG41AV FL</t>
        </is>
      </c>
      <c r="G2409" s="144" t="inlineStr">
        <is>
          <t>WHITE MACK</t>
        </is>
      </c>
      <c r="H2409" s="144" t="n">
        <v>1221</v>
      </c>
      <c r="I2409" s="144" t="inlineStr">
        <is>
          <t>COMMERCIAL</t>
        </is>
      </c>
    </row>
    <row r="2410" ht="18" customHeight="1" s="7">
      <c r="A2410" s="144" t="inlineStr">
        <is>
          <t>GARY LEONARD</t>
        </is>
      </c>
      <c r="B2410" s="144" t="inlineStr">
        <is>
          <t>*055278340 GA</t>
        </is>
      </c>
      <c r="C2410" s="144" t="inlineStr">
        <is>
          <t>XTREAM</t>
        </is>
      </c>
      <c r="D2410" s="144" t="n">
        <v>8544548002</v>
      </c>
      <c r="E2410" s="144" t="inlineStr">
        <is>
          <t>VAN</t>
        </is>
      </c>
      <c r="F2410" s="144" t="inlineStr">
        <is>
          <t>PLZ7335 GA</t>
        </is>
      </c>
      <c r="G2410" s="144" t="inlineStr">
        <is>
          <t>WHITE FORD</t>
        </is>
      </c>
      <c r="H2410" s="144" t="inlineStr">
        <is>
          <t>NAVY FED</t>
        </is>
      </c>
      <c r="I2410" s="144" t="inlineStr">
        <is>
          <t>CONTRACTOR</t>
        </is>
      </c>
    </row>
    <row r="2411" ht="18" customHeight="1" s="7">
      <c r="A2411" s="144" t="inlineStr">
        <is>
          <t>RYAN BARNARD</t>
        </is>
      </c>
      <c r="B2411" s="144" t="inlineStr">
        <is>
          <t>*060620153 GA</t>
        </is>
      </c>
      <c r="C2411" s="144" t="inlineStr">
        <is>
          <t>SAM</t>
        </is>
      </c>
      <c r="D2411" s="144" t="n">
        <v>2293281927</v>
      </c>
      <c r="E2411" s="144" t="inlineStr">
        <is>
          <t>VAN</t>
        </is>
      </c>
      <c r="F2411" s="144" t="inlineStr">
        <is>
          <t>TGK2247 GA</t>
        </is>
      </c>
      <c r="G2411" s="144" t="inlineStr">
        <is>
          <t>WHITE FORD</t>
        </is>
      </c>
      <c r="H2411" s="144" t="n">
        <v>7520</v>
      </c>
      <c r="I2411" s="144" t="inlineStr">
        <is>
          <t>CONTRACTOR</t>
        </is>
      </c>
    </row>
    <row r="2412" ht="18" customHeight="1" s="7">
      <c r="A2412" s="144" t="inlineStr">
        <is>
          <t>DAVID LUIS</t>
        </is>
      </c>
      <c r="B2412" s="144" t="inlineStr">
        <is>
          <t>34588895 PA</t>
        </is>
      </c>
      <c r="C2412" s="144" t="inlineStr">
        <is>
          <t>LEMBERG</t>
        </is>
      </c>
      <c r="D2412" s="144" t="n">
        <v>8136258452</v>
      </c>
      <c r="E2412" s="144" t="inlineStr">
        <is>
          <t>BOX</t>
        </is>
      </c>
      <c r="F2412" s="144" t="inlineStr">
        <is>
          <t>P1161467 IL</t>
        </is>
      </c>
      <c r="G2412" s="144" t="inlineStr">
        <is>
          <t>WHITE KENWORTH</t>
        </is>
      </c>
      <c r="H2412" s="144" t="n">
        <v>1221</v>
      </c>
      <c r="I2412" s="144" t="inlineStr">
        <is>
          <t>COMMERCIAL</t>
        </is>
      </c>
    </row>
    <row r="2413" ht="18" customHeight="1" s="7">
      <c r="A2413" s="144" t="inlineStr">
        <is>
          <t>ARABETO AYUB</t>
        </is>
      </c>
      <c r="B2413" s="144" t="inlineStr">
        <is>
          <t>VU394361 OH</t>
        </is>
      </c>
      <c r="C2413" s="144" t="inlineStr">
        <is>
          <t>KATO LOGISTICS</t>
        </is>
      </c>
      <c r="D2413" s="144" t="n">
        <v>5074692000</v>
      </c>
      <c r="E2413" s="144" t="inlineStr">
        <is>
          <t>BOX</t>
        </is>
      </c>
      <c r="F2413" s="144" t="inlineStr">
        <is>
          <t>PXC0533 OH</t>
        </is>
      </c>
      <c r="G2413" s="144" t="inlineStr">
        <is>
          <t>WHITE FREIGHTLINER</t>
        </is>
      </c>
      <c r="H2413" s="144" t="n">
        <v>1221</v>
      </c>
      <c r="I2413" s="144" t="inlineStr">
        <is>
          <t>COMMERCIAL</t>
        </is>
      </c>
    </row>
    <row r="2414" ht="18" customHeight="1" s="7">
      <c r="A2414" s="144" t="inlineStr">
        <is>
          <t>AYALA KATIA</t>
        </is>
      </c>
      <c r="B2414" s="144" t="inlineStr">
        <is>
          <t>45133265 TX</t>
        </is>
      </c>
      <c r="C2414" s="144" t="inlineStr">
        <is>
          <t>SUPLICIUM TRANS</t>
        </is>
      </c>
      <c r="D2414" s="144" t="n">
        <v>9567845148</v>
      </c>
      <c r="E2414" s="144" t="inlineStr">
        <is>
          <t>PU</t>
        </is>
      </c>
      <c r="F2414" s="144" t="inlineStr">
        <is>
          <t>VNK3024 TX</t>
        </is>
      </c>
      <c r="G2414" s="144" t="inlineStr">
        <is>
          <t>WHITE RAM</t>
        </is>
      </c>
      <c r="H2414" s="144" t="n">
        <v>1221</v>
      </c>
      <c r="I2414" s="144" t="inlineStr">
        <is>
          <t>CONTRACTOR</t>
        </is>
      </c>
    </row>
    <row r="2415" ht="18" customHeight="1" s="7">
      <c r="A2415" s="144" t="inlineStr">
        <is>
          <t>NESHKOV YURIY</t>
        </is>
      </c>
      <c r="B2415" s="144" t="inlineStr">
        <is>
          <t>F2093561 CAL</t>
        </is>
      </c>
      <c r="C2415" s="144" t="inlineStr">
        <is>
          <t>SVB EXPRESS</t>
        </is>
      </c>
      <c r="D2415" s="144" t="n">
        <v>9164121240</v>
      </c>
      <c r="E2415" s="144" t="inlineStr">
        <is>
          <t>FLAT</t>
        </is>
      </c>
      <c r="F2415" s="144" t="inlineStr">
        <is>
          <t>ZP19966 CAL</t>
        </is>
      </c>
      <c r="G2415" s="144" t="inlineStr">
        <is>
          <t>GREY PETERBILT</t>
        </is>
      </c>
      <c r="H2415" s="144" t="n">
        <v>1221</v>
      </c>
      <c r="I2415" s="144" t="inlineStr">
        <is>
          <t>COMMERCIAL</t>
        </is>
      </c>
    </row>
    <row r="2416" ht="18" customHeight="1" s="7">
      <c r="A2416" s="144" t="inlineStr">
        <is>
          <t>DJUNAYDULLAEV AKMAL</t>
        </is>
      </c>
      <c r="B2416" s="144" t="inlineStr">
        <is>
          <t>34448415 PA</t>
        </is>
      </c>
      <c r="C2416" s="144" t="inlineStr">
        <is>
          <t>LOGE X</t>
        </is>
      </c>
      <c r="D2416" s="144" t="n">
        <v>3329998788</v>
      </c>
      <c r="E2416" s="144" t="inlineStr">
        <is>
          <t>BOX</t>
        </is>
      </c>
      <c r="F2416" s="144" t="inlineStr">
        <is>
          <t>AH34168 PA</t>
        </is>
      </c>
      <c r="G2416" s="144" t="inlineStr">
        <is>
          <t>BLACK FREIGHTLINER</t>
        </is>
      </c>
      <c r="H2416" s="144" t="n">
        <v>1221</v>
      </c>
      <c r="I2416" s="144" t="inlineStr">
        <is>
          <t>COMMERCIAL</t>
        </is>
      </c>
    </row>
    <row r="2417" ht="18" customHeight="1" s="7">
      <c r="A2417" s="144" t="inlineStr">
        <is>
          <t>SERGIO VALENCIA</t>
        </is>
      </c>
      <c r="B2417" s="144" t="inlineStr">
        <is>
          <t>*061330789 GA</t>
        </is>
      </c>
      <c r="C2417" s="144" t="inlineStr">
        <is>
          <t>EMR EXPRESS</t>
        </is>
      </c>
      <c r="D2417" s="144" t="n">
        <v>2293265491</v>
      </c>
      <c r="E2417" s="144" t="inlineStr">
        <is>
          <t>PU</t>
        </is>
      </c>
      <c r="F2417" s="144" t="inlineStr">
        <is>
          <t>8131YW GA</t>
        </is>
      </c>
      <c r="G2417" s="144" t="inlineStr">
        <is>
          <t>BLUE FORD</t>
        </is>
      </c>
      <c r="H2417" s="144" t="inlineStr">
        <is>
          <t>K9</t>
        </is>
      </c>
      <c r="I2417" s="144" t="inlineStr">
        <is>
          <t>CONTRACTOR</t>
        </is>
      </c>
    </row>
    <row r="2418" ht="18" customHeight="1" s="7">
      <c r="A2418" s="144" t="inlineStr">
        <is>
          <t>ROBERT COOK JR</t>
        </is>
      </c>
      <c r="B2418" s="144" t="inlineStr">
        <is>
          <t>*059123516</t>
        </is>
      </c>
      <c r="C2418" s="144" t="inlineStr">
        <is>
          <t>SPARTAN NASH</t>
        </is>
      </c>
      <c r="D2418" s="144" t="n">
        <v>7063662508</v>
      </c>
      <c r="E2418" s="144" t="inlineStr">
        <is>
          <t>BOX</t>
        </is>
      </c>
      <c r="F2418" s="144" t="inlineStr">
        <is>
          <t>424412 NB</t>
        </is>
      </c>
      <c r="G2418" s="144" t="inlineStr">
        <is>
          <t>WHITE FREIGHTLINER</t>
        </is>
      </c>
      <c r="H2418" s="144" t="n">
        <v>7501</v>
      </c>
      <c r="I2418" s="144" t="inlineStr">
        <is>
          <t>COMMERCIAL</t>
        </is>
      </c>
    </row>
    <row r="2419" ht="18" customHeight="1" s="7">
      <c r="A2419" s="144" t="inlineStr">
        <is>
          <t>DAVID SIMONS</t>
        </is>
      </c>
      <c r="B2419" s="144" t="inlineStr">
        <is>
          <t>105932054 SC</t>
        </is>
      </c>
      <c r="C2419" s="144" t="inlineStr">
        <is>
          <t>MERCER TRANS</t>
        </is>
      </c>
      <c r="D2419" s="144" t="n">
        <v>2086615885</v>
      </c>
      <c r="E2419" s="144" t="inlineStr">
        <is>
          <t>FLAT</t>
        </is>
      </c>
      <c r="F2419" s="144" t="inlineStr">
        <is>
          <t>PA29679 MT</t>
        </is>
      </c>
      <c r="G2419" s="144" t="inlineStr">
        <is>
          <t>WHITE PETERBILT</t>
        </is>
      </c>
      <c r="H2419" s="144" t="n">
        <v>1221</v>
      </c>
      <c r="I2419" s="144" t="inlineStr">
        <is>
          <t>COMMERCIAL</t>
        </is>
      </c>
    </row>
    <row r="2420" ht="18" customHeight="1" s="7">
      <c r="A2420" s="144" t="inlineStr">
        <is>
          <t>SHERROD LOUD</t>
        </is>
      </c>
      <c r="B2420" s="144" t="inlineStr">
        <is>
          <t>*055635639 GA</t>
        </is>
      </c>
      <c r="C2420" s="144" t="inlineStr">
        <is>
          <t>PTI</t>
        </is>
      </c>
      <c r="D2420" s="144" t="n">
        <v>2298869968</v>
      </c>
      <c r="E2420" s="144" t="inlineStr">
        <is>
          <t>PU</t>
        </is>
      </c>
      <c r="F2420" s="144" t="inlineStr">
        <is>
          <t>RYF6952 GA</t>
        </is>
      </c>
      <c r="G2420" s="144" t="inlineStr">
        <is>
          <t>WHITE FORD</t>
        </is>
      </c>
      <c r="H2420" s="144" t="n">
        <v>1426</v>
      </c>
      <c r="I2420" s="144" t="inlineStr">
        <is>
          <t>CONTRACTOR</t>
        </is>
      </c>
    </row>
    <row r="2421" ht="18" customHeight="1" s="7">
      <c r="A2421" s="144" t="inlineStr">
        <is>
          <t>QUATISHA COUCH</t>
        </is>
      </c>
      <c r="B2421" s="144" t="inlineStr">
        <is>
          <t>*053912277 GA</t>
        </is>
      </c>
      <c r="C2421" s="144" t="inlineStr">
        <is>
          <t>AI MOVERS</t>
        </is>
      </c>
      <c r="D2421" s="144" t="n">
        <v>7069050780</v>
      </c>
      <c r="E2421" s="144" t="inlineStr">
        <is>
          <t>BOX</t>
        </is>
      </c>
      <c r="F2421" s="144" t="inlineStr">
        <is>
          <t>EQQ596 GA</t>
        </is>
      </c>
      <c r="G2421" s="144" t="inlineStr">
        <is>
          <t>WHITE ISUZU</t>
        </is>
      </c>
      <c r="H2421" s="144" t="inlineStr">
        <is>
          <t>HOUSING</t>
        </is>
      </c>
      <c r="I2421" s="144" t="inlineStr">
        <is>
          <t>COMMERCIAL</t>
        </is>
      </c>
    </row>
    <row r="2422" ht="18" customHeight="1" s="7">
      <c r="A2422" s="144" t="inlineStr">
        <is>
          <t>JOHNNY BROWN</t>
        </is>
      </c>
      <c r="B2422" s="144" t="inlineStr">
        <is>
          <t>*056314141 GA</t>
        </is>
      </c>
      <c r="C2422" s="144" t="inlineStr">
        <is>
          <t>ESTES</t>
        </is>
      </c>
      <c r="D2422" s="144" t="n">
        <v>2295208547</v>
      </c>
      <c r="E2422" s="144" t="inlineStr">
        <is>
          <t>BOX</t>
        </is>
      </c>
      <c r="F2422" s="144" t="inlineStr">
        <is>
          <t>3584372 IN</t>
        </is>
      </c>
      <c r="G2422" s="144" t="inlineStr">
        <is>
          <t>WHITE FREIGHTLINER</t>
        </is>
      </c>
      <c r="H2422" s="144" t="n">
        <v>1221</v>
      </c>
      <c r="I2422" s="144" t="inlineStr">
        <is>
          <t>COMMERCIAL</t>
        </is>
      </c>
    </row>
    <row r="2423" ht="18" customHeight="1" s="7">
      <c r="A2423" s="144" t="inlineStr">
        <is>
          <t>TAVARSE ANDERSON</t>
        </is>
      </c>
      <c r="B2423" s="144" t="inlineStr">
        <is>
          <t>10020751 AL</t>
        </is>
      </c>
      <c r="C2423" s="144" t="inlineStr">
        <is>
          <t>ARVI</t>
        </is>
      </c>
      <c r="D2423" s="144" t="n">
        <v>8035860691</v>
      </c>
      <c r="E2423" s="144" t="inlineStr">
        <is>
          <t>BOX</t>
        </is>
      </c>
      <c r="F2423" s="144" t="inlineStr">
        <is>
          <t>AH69747 PA</t>
        </is>
      </c>
      <c r="G2423" s="144" t="inlineStr">
        <is>
          <t>WHITE FREIGHTLINER</t>
        </is>
      </c>
      <c r="H2423" s="144" t="n">
        <v>1221</v>
      </c>
      <c r="I2423" s="144" t="inlineStr">
        <is>
          <t>COMMERCIAL</t>
        </is>
      </c>
    </row>
    <row r="2424" ht="18" customHeight="1" s="7">
      <c r="A2424" s="144" t="inlineStr">
        <is>
          <t>JAMES SCHANDERA</t>
        </is>
      </c>
      <c r="B2424" s="144" t="inlineStr">
        <is>
          <t>*057735065 GA</t>
        </is>
      </c>
      <c r="C2424" s="144" t="inlineStr">
        <is>
          <t>RYDER</t>
        </is>
      </c>
      <c r="D2424" s="144" t="n">
        <v>6782017570</v>
      </c>
      <c r="E2424" s="144" t="inlineStr">
        <is>
          <t>B0X</t>
        </is>
      </c>
      <c r="F2424" s="144" t="inlineStr">
        <is>
          <t>3902346 IN</t>
        </is>
      </c>
      <c r="G2424" s="144" t="inlineStr">
        <is>
          <t>WHITE INTER</t>
        </is>
      </c>
      <c r="H2424" s="144" t="inlineStr">
        <is>
          <t>BASE POND</t>
        </is>
      </c>
      <c r="I2424" s="144" t="inlineStr">
        <is>
          <t>COMMERCIAL</t>
        </is>
      </c>
    </row>
    <row r="2425" ht="18" customHeight="1" s="7">
      <c r="A2425" s="144" t="inlineStr">
        <is>
          <t>LAURA FORTUNE</t>
        </is>
      </c>
      <c r="B2425" s="144" t="inlineStr">
        <is>
          <t>*058160316 GA</t>
        </is>
      </c>
      <c r="C2425" s="144" t="inlineStr">
        <is>
          <t>RYDER</t>
        </is>
      </c>
      <c r="D2425" s="144" t="n">
        <v>6787550061</v>
      </c>
      <c r="E2425" s="144" t="inlineStr">
        <is>
          <t>SEDAN</t>
        </is>
      </c>
      <c r="F2425" s="144" t="inlineStr">
        <is>
          <t>YNZ250 GA</t>
        </is>
      </c>
      <c r="G2425" s="144" t="inlineStr">
        <is>
          <t>WHITE DODGE</t>
        </is>
      </c>
      <c r="H2425" s="144" t="inlineStr">
        <is>
          <t>BASE POND</t>
        </is>
      </c>
      <c r="I2425" s="144" t="inlineStr">
        <is>
          <t>CONTRACTOR</t>
        </is>
      </c>
    </row>
    <row r="2426" ht="18" customHeight="1" s="7">
      <c r="A2426" s="144" t="inlineStr">
        <is>
          <t>GILMORE ALPHINE</t>
        </is>
      </c>
      <c r="B2426" s="144" t="inlineStr">
        <is>
          <t>G456013701880 FL</t>
        </is>
      </c>
      <c r="C2426" s="144" t="inlineStr">
        <is>
          <t>ATD</t>
        </is>
      </c>
      <c r="D2426" s="144" t="n">
        <v>4482481010</v>
      </c>
      <c r="E2426" s="144" t="inlineStr">
        <is>
          <t>BOX</t>
        </is>
      </c>
      <c r="F2426" s="144" t="inlineStr">
        <is>
          <t>RQZR98 FL</t>
        </is>
      </c>
      <c r="G2426" s="144" t="inlineStr">
        <is>
          <t>WHITE HINO</t>
        </is>
      </c>
      <c r="H2426" s="144" t="inlineStr">
        <is>
          <t>HOBBY SHOP</t>
        </is>
      </c>
      <c r="I2426" s="144" t="inlineStr">
        <is>
          <t>COMMERCIAL</t>
        </is>
      </c>
    </row>
    <row r="2427" ht="18" customHeight="1" s="7">
      <c r="A2427" s="144" t="inlineStr">
        <is>
          <t>RONNIE HUTCHINGS</t>
        </is>
      </c>
      <c r="B2427" s="144" t="inlineStr">
        <is>
          <t>*078209631 TN</t>
        </is>
      </c>
      <c r="C2427" s="144" t="inlineStr">
        <is>
          <t>ROAD LEGENDS</t>
        </is>
      </c>
      <c r="D2427" s="144" t="n">
        <v>6156019645</v>
      </c>
      <c r="E2427" s="144" t="inlineStr">
        <is>
          <t>BOX</t>
        </is>
      </c>
      <c r="F2427" s="144" t="inlineStr">
        <is>
          <t>P1224090 IL</t>
        </is>
      </c>
      <c r="G2427" s="144" t="inlineStr">
        <is>
          <t>BLUE KW</t>
        </is>
      </c>
      <c r="H2427" s="144" t="n">
        <v>1221</v>
      </c>
      <c r="I2427" s="144" t="inlineStr">
        <is>
          <t>COMMERCIAL</t>
        </is>
      </c>
    </row>
    <row r="2428" ht="18" customHeight="1" s="7">
      <c r="A2428" s="144" t="inlineStr">
        <is>
          <t>GILL EKOMKAR</t>
        </is>
      </c>
      <c r="B2428" s="144" t="inlineStr">
        <is>
          <t>F4984875 CAL</t>
        </is>
      </c>
      <c r="C2428" s="144" t="inlineStr">
        <is>
          <t>NEWLINE TRANS</t>
        </is>
      </c>
      <c r="D2428" s="144" t="n">
        <v>5595753414</v>
      </c>
      <c r="E2428" s="144" t="inlineStr">
        <is>
          <t>BOX</t>
        </is>
      </c>
      <c r="F2428" s="144" t="inlineStr">
        <is>
          <t>YP88295 CAL</t>
        </is>
      </c>
      <c r="G2428" s="144" t="inlineStr">
        <is>
          <t>BLACK VOLVO</t>
        </is>
      </c>
      <c r="H2428" s="144" t="n">
        <v>1221</v>
      </c>
      <c r="I2428" s="144" t="inlineStr">
        <is>
          <t>COMMERCIAL</t>
        </is>
      </c>
    </row>
    <row r="2429" ht="18" customHeight="1" s="7">
      <c r="A2429" s="144" t="inlineStr">
        <is>
          <t>JARQUEZ BROWN</t>
        </is>
      </c>
      <c r="B2429" s="144" t="inlineStr">
        <is>
          <t>*055796530 GA</t>
        </is>
      </c>
      <c r="C2429" s="144" t="inlineStr">
        <is>
          <t>MCLANE</t>
        </is>
      </c>
      <c r="D2429" s="144" t="n">
        <v>2295311078</v>
      </c>
      <c r="E2429" s="144" t="inlineStr">
        <is>
          <t>BOX</t>
        </is>
      </c>
      <c r="F2429" s="144" t="inlineStr">
        <is>
          <t>3351354 IN</t>
        </is>
      </c>
      <c r="G2429" s="144" t="inlineStr">
        <is>
          <t>WHITE FREIGHTLINER</t>
        </is>
      </c>
      <c r="H2429" s="144" t="n">
        <v>7500</v>
      </c>
      <c r="I2429" s="144" t="inlineStr">
        <is>
          <t>COMMERCIAL</t>
        </is>
      </c>
    </row>
    <row r="2430" ht="18" customHeight="1" s="7">
      <c r="A2430" s="144" t="inlineStr">
        <is>
          <t>ELROD BUTCH RAY</t>
        </is>
      </c>
      <c r="B2430" s="144" t="inlineStr">
        <is>
          <t>08842399 TX</t>
        </is>
      </c>
      <c r="C2430" s="144" t="inlineStr">
        <is>
          <t>BAR TRANSPORT</t>
        </is>
      </c>
      <c r="D2430" s="144" t="n">
        <v>7853132287</v>
      </c>
      <c r="E2430" s="144" t="inlineStr">
        <is>
          <t>FLAT</t>
        </is>
      </c>
      <c r="F2430" s="144" t="inlineStr">
        <is>
          <t>R746916 TX</t>
        </is>
      </c>
      <c r="G2430" s="144" t="inlineStr">
        <is>
          <t>WHITE KW</t>
        </is>
      </c>
      <c r="H2430" s="144" t="n">
        <v>1221</v>
      </c>
      <c r="I2430" s="144" t="inlineStr">
        <is>
          <t>COMMERCIAL</t>
        </is>
      </c>
    </row>
    <row r="2431" ht="18" customHeight="1" s="7">
      <c r="A2431" s="144" t="inlineStr">
        <is>
          <t>RONALD MILLER</t>
        </is>
      </c>
      <c r="B2431" s="144" t="inlineStr">
        <is>
          <t>938988442 AR</t>
        </is>
      </c>
      <c r="C2431" s="144" t="inlineStr">
        <is>
          <t>BAR TRANSPORT</t>
        </is>
      </c>
      <c r="D2431" s="144" t="n">
        <v>8706120337</v>
      </c>
      <c r="E2431" s="144" t="inlineStr">
        <is>
          <t>FLAT</t>
        </is>
      </c>
      <c r="F2431" s="144" t="inlineStr">
        <is>
          <t>R773660 TX</t>
        </is>
      </c>
      <c r="G2431" s="144" t="inlineStr">
        <is>
          <t>BLUE KW</t>
        </is>
      </c>
      <c r="H2431" s="144" t="n">
        <v>1221</v>
      </c>
      <c r="I2431" s="144" t="inlineStr">
        <is>
          <t>COMMERCIAL</t>
        </is>
      </c>
    </row>
    <row r="2432" ht="18" customHeight="1" s="7">
      <c r="A2432" s="144" t="inlineStr">
        <is>
          <t>CURTIS PALAN</t>
        </is>
      </c>
      <c r="B2432" s="144" t="inlineStr">
        <is>
          <t>*052507810 GA</t>
        </is>
      </c>
      <c r="C2432" s="144" t="inlineStr">
        <is>
          <t>OXFORD CONSTRUC</t>
        </is>
      </c>
      <c r="D2432" s="144" t="n">
        <v>2294073231</v>
      </c>
      <c r="E2432" s="144" t="inlineStr">
        <is>
          <t>PU</t>
        </is>
      </c>
      <c r="F2432" s="144" t="inlineStr">
        <is>
          <t>RXX5186 GA</t>
        </is>
      </c>
      <c r="G2432" s="144" t="inlineStr">
        <is>
          <t>GREEN FORD</t>
        </is>
      </c>
      <c r="H2432" s="144" t="inlineStr">
        <is>
          <t>GATE 15</t>
        </is>
      </c>
      <c r="I2432" s="144" t="inlineStr">
        <is>
          <t>CONTRACTOR</t>
        </is>
      </c>
    </row>
    <row r="2433" ht="18" customHeight="1" s="7">
      <c r="A2433" s="144" t="inlineStr">
        <is>
          <t>DONZELL BECKETT</t>
        </is>
      </c>
      <c r="B2433" s="144" t="inlineStr">
        <is>
          <t>B230149461399 MI</t>
        </is>
      </c>
      <c r="C2433" s="144" t="inlineStr">
        <is>
          <t>FREIGHT GROUP LLC</t>
        </is>
      </c>
      <c r="D2433" s="144" t="n">
        <v>4703505816</v>
      </c>
      <c r="E2433" s="144" t="inlineStr">
        <is>
          <t>FLAT</t>
        </is>
      </c>
      <c r="F2433" s="144" t="inlineStr">
        <is>
          <t>C798DK GA</t>
        </is>
      </c>
      <c r="G2433" s="144" t="inlineStr">
        <is>
          <t>WHITE VOLVO</t>
        </is>
      </c>
      <c r="H2433" s="144" t="n">
        <v>1221</v>
      </c>
      <c r="I2433" s="144" t="inlineStr">
        <is>
          <t>COMMERCIAL</t>
        </is>
      </c>
    </row>
    <row r="2434" ht="18" customHeight="1" s="7">
      <c r="A2434" s="144" t="inlineStr">
        <is>
          <t>JAMES DAVIS</t>
        </is>
      </c>
      <c r="B2434" s="144" t="inlineStr">
        <is>
          <t>*054341471 GA</t>
        </is>
      </c>
      <c r="C2434" s="144" t="inlineStr">
        <is>
          <t>A WEST</t>
        </is>
      </c>
      <c r="D2434" s="144" t="n">
        <v>2293190556</v>
      </c>
      <c r="E2434" s="144" t="inlineStr">
        <is>
          <t>PU</t>
        </is>
      </c>
      <c r="F2434" s="144" t="inlineStr">
        <is>
          <t>DDG4724 GA</t>
        </is>
      </c>
      <c r="G2434" s="144" t="inlineStr">
        <is>
          <t>WHITE CHEVY</t>
        </is>
      </c>
      <c r="H2434" s="144" t="n">
        <v>1360</v>
      </c>
      <c r="I2434" s="144" t="inlineStr">
        <is>
          <t>CONTRACTOR</t>
        </is>
      </c>
    </row>
    <row r="2435" ht="18" customHeight="1" s="7">
      <c r="A2435" s="144" t="inlineStr">
        <is>
          <t>ROMAN TUZYAK</t>
        </is>
      </c>
      <c r="B2435" s="144" t="inlineStr">
        <is>
          <t>T220720621010 FL</t>
        </is>
      </c>
      <c r="C2435" s="144" t="inlineStr">
        <is>
          <t>LANDSTAR</t>
        </is>
      </c>
      <c r="D2435" s="144" t="n">
        <v>9046356652</v>
      </c>
      <c r="E2435" s="144" t="inlineStr">
        <is>
          <t>BOX</t>
        </is>
      </c>
      <c r="F2435" s="144" t="inlineStr">
        <is>
          <t>2629709 IN</t>
        </is>
      </c>
      <c r="G2435" s="144" t="inlineStr">
        <is>
          <t>WHITE FREIGHTLINER</t>
        </is>
      </c>
      <c r="H2435" s="144" t="n">
        <v>1221</v>
      </c>
      <c r="I2435" s="144" t="inlineStr">
        <is>
          <t>COMMERCIAL</t>
        </is>
      </c>
    </row>
    <row r="2436" ht="18" customHeight="1" s="7">
      <c r="A2436" s="144" t="inlineStr">
        <is>
          <t>MERCHANT BOYD</t>
        </is>
      </c>
      <c r="B2436" s="144" t="inlineStr">
        <is>
          <t>*059074252 GA</t>
        </is>
      </c>
      <c r="C2436" s="144" t="inlineStr">
        <is>
          <t>ALBANY AIR</t>
        </is>
      </c>
      <c r="D2436" s="144" t="n">
        <v>2296039093</v>
      </c>
      <c r="E2436" s="144" t="inlineStr">
        <is>
          <t>PU</t>
        </is>
      </c>
      <c r="F2436" s="144" t="inlineStr">
        <is>
          <t>BSR9956 GA</t>
        </is>
      </c>
      <c r="G2436" s="144" t="inlineStr">
        <is>
          <t>WHITE FORD</t>
        </is>
      </c>
      <c r="H2436" s="144" t="n">
        <v>7450</v>
      </c>
      <c r="I2436" s="144" t="inlineStr">
        <is>
          <t>CONTRACTOR</t>
        </is>
      </c>
    </row>
    <row r="2437" ht="18" customHeight="1" s="7">
      <c r="A2437" s="144" t="inlineStr">
        <is>
          <t>ABNER CARBALLO</t>
        </is>
      </c>
      <c r="B2437" s="144" t="inlineStr">
        <is>
          <t>18492799 TX</t>
        </is>
      </c>
      <c r="C2437" s="144" t="inlineStr">
        <is>
          <t>GREEN VALLEY TRAN</t>
        </is>
      </c>
      <c r="D2437" s="144" t="n">
        <v>8172235763</v>
      </c>
      <c r="E2437" s="144" t="inlineStr">
        <is>
          <t>VAN</t>
        </is>
      </c>
      <c r="F2437" s="144" t="inlineStr">
        <is>
          <t>SLN0614 TX</t>
        </is>
      </c>
      <c r="G2437" s="144" t="inlineStr">
        <is>
          <t>GRAY MERCEDES</t>
        </is>
      </c>
      <c r="H2437" s="144" t="n">
        <v>1221</v>
      </c>
      <c r="I2437" s="144" t="inlineStr">
        <is>
          <t>CONTRACTOR</t>
        </is>
      </c>
    </row>
    <row r="2438" ht="18" customHeight="1" s="7">
      <c r="A2438" s="144" t="inlineStr">
        <is>
          <t>EMMANUEL DALTON</t>
        </is>
      </c>
      <c r="B2438" s="144" t="inlineStr">
        <is>
          <t>45510743 TX</t>
        </is>
      </c>
      <c r="C2438" s="144" t="inlineStr">
        <is>
          <t>PTS WORLDWIDE</t>
        </is>
      </c>
      <c r="D2438" s="144" t="n">
        <v>2542488903</v>
      </c>
      <c r="E2438" s="144" t="inlineStr">
        <is>
          <t>BOX</t>
        </is>
      </c>
      <c r="F2438" s="144" t="inlineStr">
        <is>
          <t>P1053519 IL</t>
        </is>
      </c>
      <c r="G2438" s="144" t="inlineStr">
        <is>
          <t>WHITE FREIGHTLINER</t>
        </is>
      </c>
      <c r="H2438" s="144" t="n">
        <v>1221</v>
      </c>
      <c r="I2438" s="144" t="inlineStr">
        <is>
          <t>COMMERCIAL</t>
        </is>
      </c>
    </row>
    <row r="2439" ht="18" customHeight="1" s="7">
      <c r="A2439" s="144" t="inlineStr">
        <is>
          <t>LINCOLN GRAHAM</t>
        </is>
      </c>
      <c r="B2439" s="144" t="inlineStr">
        <is>
          <t>6555535 AL</t>
        </is>
      </c>
      <c r="C2439" s="144" t="inlineStr">
        <is>
          <t>ALBANY ELEVATOR</t>
        </is>
      </c>
      <c r="D2439" s="144" t="n">
        <v>3346187299</v>
      </c>
      <c r="E2439" s="144" t="inlineStr">
        <is>
          <t>PU</t>
        </is>
      </c>
      <c r="F2439" s="144" t="inlineStr">
        <is>
          <t>EJJ304 GA</t>
        </is>
      </c>
      <c r="G2439" s="144" t="inlineStr">
        <is>
          <t>WHITE CHEVY</t>
        </is>
      </c>
      <c r="H2439" s="144" t="inlineStr">
        <is>
          <t>BASEWIDE</t>
        </is>
      </c>
      <c r="I2439" s="144" t="inlineStr">
        <is>
          <t>CONTRACTOR</t>
        </is>
      </c>
    </row>
    <row r="2440" ht="18" customHeight="1" s="7">
      <c r="A2440" s="144" t="inlineStr">
        <is>
          <t>TERRENCE WASHINGTON</t>
        </is>
      </c>
      <c r="B2440" s="144" t="inlineStr">
        <is>
          <t>*054414970 GA</t>
        </is>
      </c>
      <c r="C2440" s="144" t="inlineStr">
        <is>
          <t>PATRIOT LOGIST</t>
        </is>
      </c>
      <c r="D2440" s="144" t="n">
        <v>6786623728</v>
      </c>
      <c r="E2440" s="144" t="inlineStr">
        <is>
          <t>FLAT</t>
        </is>
      </c>
      <c r="F2440" s="144" t="inlineStr">
        <is>
          <t>809355 AR</t>
        </is>
      </c>
      <c r="G2440" s="144" t="inlineStr">
        <is>
          <t>RED PETERBILT</t>
        </is>
      </c>
      <c r="H2440" s="144" t="n">
        <v>1221</v>
      </c>
      <c r="I2440" s="144" t="inlineStr">
        <is>
          <t>COMMERCIAL</t>
        </is>
      </c>
    </row>
    <row r="2441" ht="18" customHeight="1" s="7">
      <c r="A2441" s="144" t="inlineStr">
        <is>
          <t>NAING SALAI AUNG</t>
        </is>
      </c>
      <c r="B2441" s="144" t="inlineStr">
        <is>
          <t>40091812 TX</t>
        </is>
      </c>
      <c r="C2441" s="144" t="inlineStr">
        <is>
          <t>BSL</t>
        </is>
      </c>
      <c r="D2441" s="144" t="n">
        <v>4696706118</v>
      </c>
      <c r="E2441" s="144" t="inlineStr">
        <is>
          <t>FLAT</t>
        </is>
      </c>
      <c r="F2441" s="144" t="inlineStr">
        <is>
          <t>P1027787 IL</t>
        </is>
      </c>
      <c r="G2441" s="144" t="inlineStr">
        <is>
          <t>WHITE VOLVO</t>
        </is>
      </c>
      <c r="H2441" s="144" t="n">
        <v>1221</v>
      </c>
      <c r="I2441" s="144" t="inlineStr">
        <is>
          <t>COMMERCIAL</t>
        </is>
      </c>
    </row>
    <row r="2442" ht="18" customHeight="1" s="7">
      <c r="A2442" s="144" t="inlineStr">
        <is>
          <t>KIRBY PFANNKUCH</t>
        </is>
      </c>
      <c r="B2442" s="144" t="inlineStr">
        <is>
          <t>*060776287 GA</t>
        </is>
      </c>
      <c r="C2442" s="144" t="inlineStr">
        <is>
          <t>SEPTIC SOLUTIONS</t>
        </is>
      </c>
      <c r="D2442" s="144" t="n">
        <v>2294325376</v>
      </c>
      <c r="E2442" s="144" t="inlineStr">
        <is>
          <t>BOX</t>
        </is>
      </c>
      <c r="F2442" s="144" t="inlineStr">
        <is>
          <t>CXD2341 GA</t>
        </is>
      </c>
      <c r="G2442" s="144" t="inlineStr">
        <is>
          <t>WHITE FORD</t>
        </is>
      </c>
      <c r="H2442" s="144" t="n">
        <v>3010</v>
      </c>
      <c r="I2442" s="144" t="inlineStr">
        <is>
          <t>COMMERCIAL</t>
        </is>
      </c>
    </row>
    <row r="2443" ht="18" customHeight="1" s="7">
      <c r="A2443" s="144" t="inlineStr">
        <is>
          <t>ROBERT CHAMBERS</t>
        </is>
      </c>
      <c r="B2443" s="144" t="inlineStr">
        <is>
          <t>*00721096 TX</t>
        </is>
      </c>
      <c r="C2443" s="144" t="inlineStr">
        <is>
          <t>LANDSTAR</t>
        </is>
      </c>
      <c r="D2443" s="144" t="n">
        <v>2145437773</v>
      </c>
      <c r="E2443" s="144" t="inlineStr">
        <is>
          <t>VAN</t>
        </is>
      </c>
      <c r="F2443" s="144" t="inlineStr">
        <is>
          <t>JURNEY TX</t>
        </is>
      </c>
      <c r="G2443" s="144" t="inlineStr">
        <is>
          <t>MERCEDES GRAY</t>
        </is>
      </c>
      <c r="H2443" s="144" t="n">
        <v>1221</v>
      </c>
      <c r="I2443" s="144" t="inlineStr">
        <is>
          <t>CONTRACTOR</t>
        </is>
      </c>
    </row>
    <row r="2444" ht="18" customHeight="1" s="7">
      <c r="A2444" s="144" t="inlineStr">
        <is>
          <t>KEVIN STAINES</t>
        </is>
      </c>
      <c r="B2444" s="144" t="inlineStr">
        <is>
          <t>*059869218 GA</t>
        </is>
      </c>
      <c r="C2444" s="144" t="inlineStr">
        <is>
          <t>OXFORD CONSTRUC</t>
        </is>
      </c>
      <c r="D2444" s="144" t="n">
        <v>2293763686</v>
      </c>
      <c r="E2444" s="144" t="inlineStr">
        <is>
          <t>ROLLBACK</t>
        </is>
      </c>
      <c r="F2444" s="144" t="inlineStr">
        <is>
          <t>EZN937 GA</t>
        </is>
      </c>
      <c r="G2444" s="144" t="inlineStr">
        <is>
          <t>WHITE INTERNATIONAL</t>
        </is>
      </c>
      <c r="H2444" s="144" t="inlineStr">
        <is>
          <t>GATE 15</t>
        </is>
      </c>
      <c r="I2444" s="144" t="inlineStr">
        <is>
          <t>COMMERCIAL</t>
        </is>
      </c>
    </row>
    <row r="2445" ht="18" customHeight="1" s="7">
      <c r="A2445" s="144" t="inlineStr">
        <is>
          <t>BRICE GREEN</t>
        </is>
      </c>
      <c r="B2445" s="144" t="inlineStr">
        <is>
          <t>G359312010000 FL</t>
        </is>
      </c>
      <c r="C2445" s="144" t="inlineStr">
        <is>
          <t>RIVER SIDE</t>
        </is>
      </c>
      <c r="D2445" s="144" t="n">
        <v>9152730120</v>
      </c>
      <c r="E2445" s="144" t="inlineStr">
        <is>
          <t>PU</t>
        </is>
      </c>
      <c r="F2445" s="144" t="inlineStr">
        <is>
          <t>DH87IP GA</t>
        </is>
      </c>
      <c r="G2445" s="144" t="inlineStr">
        <is>
          <t>RED CHEVY</t>
        </is>
      </c>
      <c r="H2445" s="144" t="n">
        <v>1221</v>
      </c>
      <c r="I2445" s="144" t="inlineStr">
        <is>
          <t>CONTRACTOR</t>
        </is>
      </c>
    </row>
    <row r="2446" ht="18" customHeight="1" s="7">
      <c r="A2446" s="144" t="inlineStr">
        <is>
          <t>GUITO LAMOTHE</t>
        </is>
      </c>
      <c r="B2446" s="144" t="inlineStr">
        <is>
          <t>L530280840420 FL</t>
        </is>
      </c>
      <c r="C2446" s="144" t="inlineStr">
        <is>
          <t>WISE WHEELER</t>
        </is>
      </c>
      <c r="D2446" s="144" t="n">
        <v>4074080642</v>
      </c>
      <c r="E2446" s="144" t="inlineStr">
        <is>
          <t>BOX</t>
        </is>
      </c>
      <c r="F2446" s="144" t="inlineStr">
        <is>
          <t>P1239774 IL</t>
        </is>
      </c>
      <c r="G2446" s="144" t="inlineStr">
        <is>
          <t>WHITE FREIGHTLINER</t>
        </is>
      </c>
      <c r="H2446" s="144" t="n">
        <v>1221</v>
      </c>
      <c r="I2446" s="144" t="inlineStr">
        <is>
          <t>COMMERCIAL</t>
        </is>
      </c>
    </row>
    <row r="2447" ht="18" customHeight="1" s="7">
      <c r="A2447" s="144" t="inlineStr">
        <is>
          <t>RICKY MOORE</t>
        </is>
      </c>
      <c r="B2447" s="144" t="inlineStr">
        <is>
          <t>*059809338 GA</t>
        </is>
      </c>
      <c r="C2447" s="144" t="inlineStr">
        <is>
          <t>UNITED RENTALS</t>
        </is>
      </c>
      <c r="D2447" s="144" t="n">
        <v>8008773687</v>
      </c>
      <c r="E2447" s="144" t="inlineStr">
        <is>
          <t>PU</t>
        </is>
      </c>
      <c r="F2447" s="144" t="inlineStr">
        <is>
          <t>GBL897 GA</t>
        </is>
      </c>
      <c r="G2447" s="144" t="inlineStr">
        <is>
          <t>WHITE FORD</t>
        </is>
      </c>
      <c r="H2447" s="144" t="n">
        <v>1221</v>
      </c>
      <c r="I2447" s="144" t="inlineStr">
        <is>
          <t>CONTRACTOR</t>
        </is>
      </c>
    </row>
    <row r="2448" ht="18" customHeight="1" s="7">
      <c r="A2448" s="144" t="inlineStr">
        <is>
          <t>SCOTT KERBY</t>
        </is>
      </c>
      <c r="B2448" s="144" t="inlineStr">
        <is>
          <t>*053358612 GA</t>
        </is>
      </c>
      <c r="C2448" s="144" t="inlineStr">
        <is>
          <t>MERCER TRANS</t>
        </is>
      </c>
      <c r="D2448" s="144" t="n">
        <v>9126566593</v>
      </c>
      <c r="E2448" s="144" t="inlineStr">
        <is>
          <t>FLAT</t>
        </is>
      </c>
      <c r="F2448" s="144" t="inlineStr">
        <is>
          <t>3010393 IN</t>
        </is>
      </c>
      <c r="G2448" s="144" t="inlineStr">
        <is>
          <t>BLUE PETERBILT</t>
        </is>
      </c>
      <c r="H2448" s="144" t="n">
        <v>1221</v>
      </c>
      <c r="I2448" s="144" t="inlineStr">
        <is>
          <t>COMMERCIAL</t>
        </is>
      </c>
    </row>
    <row r="2449" ht="18" customHeight="1" s="7">
      <c r="A2449" s="144" t="inlineStr">
        <is>
          <t>JAMES HARDCASTLE</t>
        </is>
      </c>
      <c r="B2449" s="144" t="inlineStr">
        <is>
          <t>8559430 AL</t>
        </is>
      </c>
      <c r="C2449" s="144" t="inlineStr">
        <is>
          <t>KERENSI TRANS</t>
        </is>
      </c>
      <c r="D2449" s="144" t="n">
        <v>2562837796</v>
      </c>
      <c r="E2449" s="144" t="inlineStr">
        <is>
          <t>PU</t>
        </is>
      </c>
      <c r="F2449" s="144" t="inlineStr">
        <is>
          <t>11C1332 AL</t>
        </is>
      </c>
      <c r="G2449" s="144" t="inlineStr">
        <is>
          <t>BLACK GMC</t>
        </is>
      </c>
      <c r="H2449" s="144" t="n">
        <v>1221</v>
      </c>
      <c r="I2449" s="144" t="inlineStr">
        <is>
          <t>CONTRACTOR</t>
        </is>
      </c>
    </row>
    <row r="2450" ht="18" customHeight="1" s="7">
      <c r="A2450" s="144" t="inlineStr">
        <is>
          <t>PATRICK SMITH</t>
        </is>
      </c>
      <c r="B2450" s="144" t="inlineStr">
        <is>
          <t>S530676914270 FL</t>
        </is>
      </c>
      <c r="C2450" s="144" t="inlineStr">
        <is>
          <t>LIGHTHOUSE</t>
        </is>
      </c>
      <c r="D2450" s="144" t="n">
        <v>9043840180</v>
      </c>
      <c r="E2450" s="144" t="inlineStr">
        <is>
          <t>PU</t>
        </is>
      </c>
      <c r="F2450" s="144" t="inlineStr">
        <is>
          <t>RZKN65 FL</t>
        </is>
      </c>
      <c r="G2450" s="144" t="inlineStr">
        <is>
          <t>WHITE FORD</t>
        </is>
      </c>
      <c r="H2450" s="144" t="inlineStr">
        <is>
          <t>GATE 15</t>
        </is>
      </c>
      <c r="I2450" s="144" t="inlineStr">
        <is>
          <t>CONTRACTOR</t>
        </is>
      </c>
    </row>
    <row r="2451" ht="18" customHeight="1" s="7">
      <c r="A2451" s="144" t="inlineStr">
        <is>
          <t>RONALD LINDSEY</t>
        </is>
      </c>
      <c r="B2451" s="144" t="inlineStr">
        <is>
          <t>*049849247 GA</t>
        </is>
      </c>
      <c r="C2451" s="144" t="inlineStr">
        <is>
          <t>CITY OF ALBANY</t>
        </is>
      </c>
      <c r="D2451" s="144" t="n">
        <v>2298941859</v>
      </c>
      <c r="E2451" s="144" t="inlineStr">
        <is>
          <t>PU</t>
        </is>
      </c>
      <c r="F2451" s="144" t="inlineStr">
        <is>
          <t>GV3292P GA</t>
        </is>
      </c>
      <c r="G2451" s="144" t="inlineStr">
        <is>
          <t>WHITE FORD</t>
        </is>
      </c>
      <c r="H2451" s="144" t="inlineStr">
        <is>
          <t>WATER TOWER</t>
        </is>
      </c>
      <c r="I2451" s="144" t="inlineStr">
        <is>
          <t>CONTRACTOR</t>
        </is>
      </c>
    </row>
    <row r="2452" ht="18" customHeight="1" s="7">
      <c r="A2452" s="144" t="inlineStr">
        <is>
          <t>JAMES CLIFFTON</t>
        </is>
      </c>
      <c r="B2452" s="144" t="inlineStr">
        <is>
          <t>*000009995767 NC</t>
        </is>
      </c>
      <c r="C2452" s="144" t="inlineStr">
        <is>
          <t>LANDSTAR</t>
        </is>
      </c>
      <c r="D2452" s="144" t="n">
        <v>7045627757</v>
      </c>
      <c r="E2452" s="144" t="inlineStr">
        <is>
          <t>BOX</t>
        </is>
      </c>
      <c r="F2452" s="144" t="inlineStr">
        <is>
          <t>NV6031 NC</t>
        </is>
      </c>
      <c r="G2452" s="144" t="inlineStr">
        <is>
          <t>GREEN FREIGHTLINER</t>
        </is>
      </c>
      <c r="H2452" s="144" t="n">
        <v>1221</v>
      </c>
      <c r="I2452" s="144" t="inlineStr">
        <is>
          <t>COMMERCIAL</t>
        </is>
      </c>
    </row>
    <row r="2453" ht="18" customHeight="1" s="7">
      <c r="A2453" s="144" t="inlineStr">
        <is>
          <t>DEVON POOLE</t>
        </is>
      </c>
      <c r="B2453" s="144" t="inlineStr">
        <is>
          <t>*060803506 GA</t>
        </is>
      </c>
      <c r="C2453" s="144" t="inlineStr">
        <is>
          <t>RHC</t>
        </is>
      </c>
      <c r="D2453" s="144" t="n">
        <v>8632586380</v>
      </c>
      <c r="E2453" s="144" t="inlineStr">
        <is>
          <t>PU</t>
        </is>
      </c>
      <c r="F2453" s="144" t="inlineStr">
        <is>
          <t>PLX3051 GA</t>
        </is>
      </c>
      <c r="G2453" s="144" t="inlineStr">
        <is>
          <t>GREY FORD</t>
        </is>
      </c>
      <c r="H2453" s="144" t="inlineStr">
        <is>
          <t>HOUSING</t>
        </is>
      </c>
      <c r="I2453" s="144" t="inlineStr">
        <is>
          <t>CONTRACTOR</t>
        </is>
      </c>
    </row>
    <row r="2454" ht="18" customHeight="1" s="7">
      <c r="A2454" s="144" t="inlineStr">
        <is>
          <t>JAMES KINCEY</t>
        </is>
      </c>
      <c r="B2454" s="144" t="inlineStr">
        <is>
          <t>6777147 AL</t>
        </is>
      </c>
      <c r="C2454" s="144" t="inlineStr">
        <is>
          <t>JAMES HAMILTON</t>
        </is>
      </c>
      <c r="D2454" s="144" t="n">
        <v>3343553339</v>
      </c>
      <c r="E2454" s="144" t="inlineStr">
        <is>
          <t>BOX</t>
        </is>
      </c>
      <c r="F2454" s="144" t="inlineStr">
        <is>
          <t>1196248 AL</t>
        </is>
      </c>
      <c r="G2454" s="144" t="inlineStr">
        <is>
          <t>TEAL PETERBILT</t>
        </is>
      </c>
      <c r="H2454" s="144" t="n">
        <v>1221</v>
      </c>
      <c r="I2454" s="144" t="inlineStr">
        <is>
          <t>COMMERCIAL</t>
        </is>
      </c>
    </row>
    <row r="2455" ht="18" customHeight="1" s="7">
      <c r="A2455" s="144" t="inlineStr">
        <is>
          <t>WILLIAM GRIMES</t>
        </is>
      </c>
      <c r="B2455" s="144" t="inlineStr">
        <is>
          <t>G652925442940 FL</t>
        </is>
      </c>
      <c r="C2455" s="144" t="inlineStr">
        <is>
          <t>GRIMES INC</t>
        </is>
      </c>
      <c r="D2455" s="144" t="n">
        <v>8508771767</v>
      </c>
      <c r="E2455" s="144" t="inlineStr">
        <is>
          <t>SUV</t>
        </is>
      </c>
      <c r="F2455" s="144" t="inlineStr">
        <is>
          <t>ENA2V FL</t>
        </is>
      </c>
      <c r="G2455" s="144" t="inlineStr">
        <is>
          <t>GREY AVIATOR</t>
        </is>
      </c>
      <c r="H2455" s="144" t="n">
        <v>5651</v>
      </c>
      <c r="I2455" s="144" t="inlineStr">
        <is>
          <t>CONTRACTOR</t>
        </is>
      </c>
    </row>
    <row r="2456" ht="18" customHeight="1" s="7">
      <c r="A2456" s="144" t="inlineStr">
        <is>
          <t>TYMON GREER</t>
        </is>
      </c>
      <c r="B2456" s="144" t="inlineStr">
        <is>
          <t>057727661 GA</t>
        </is>
      </c>
      <c r="C2456" s="144" t="inlineStr">
        <is>
          <t>LINK II LINK</t>
        </is>
      </c>
      <c r="D2456" s="144" t="n">
        <v>1041656474</v>
      </c>
      <c r="E2456" s="144" t="inlineStr">
        <is>
          <t>BOX</t>
        </is>
      </c>
      <c r="F2456" s="144" t="inlineStr">
        <is>
          <t>YHJ383 GA</t>
        </is>
      </c>
      <c r="G2456" s="144" t="inlineStr">
        <is>
          <t>WHITE FORD</t>
        </is>
      </c>
      <c r="H2456" s="144" t="n">
        <v>1221</v>
      </c>
      <c r="I2456" s="144" t="inlineStr">
        <is>
          <t>CONTRACTOR</t>
        </is>
      </c>
    </row>
    <row r="2457" ht="18" customHeight="1" s="7">
      <c r="A2457" s="144" t="inlineStr">
        <is>
          <t>JOHNATHAN HARRIS</t>
        </is>
      </c>
      <c r="B2457" s="144" t="inlineStr">
        <is>
          <t>*058636263 GA</t>
        </is>
      </c>
      <c r="C2457" s="144" t="inlineStr">
        <is>
          <t>BRIGGS</t>
        </is>
      </c>
      <c r="D2457" s="144" t="n">
        <v>2298687540</v>
      </c>
      <c r="E2457" s="144" t="inlineStr">
        <is>
          <t>PU</t>
        </is>
      </c>
      <c r="F2457" s="144" t="inlineStr">
        <is>
          <t>EXF116 GA</t>
        </is>
      </c>
      <c r="G2457" s="144" t="inlineStr">
        <is>
          <t>WHITE DODGE</t>
        </is>
      </c>
      <c r="H2457" s="144" t="inlineStr">
        <is>
          <t>P947</t>
        </is>
      </c>
      <c r="I2457" s="144" t="inlineStr">
        <is>
          <t>CONTRACTOR</t>
        </is>
      </c>
    </row>
    <row r="2458" ht="18" customHeight="1" s="7">
      <c r="A2458" s="144" t="inlineStr">
        <is>
          <t>HOWARD TEASTER</t>
        </is>
      </c>
      <c r="B2458" s="144" t="inlineStr">
        <is>
          <t>6947797 AL</t>
        </is>
      </c>
      <c r="C2458" s="144" t="inlineStr">
        <is>
          <t>SA REYCLING</t>
        </is>
      </c>
      <c r="D2458" s="144" t="n">
        <v>2246146021</v>
      </c>
      <c r="E2458" s="144" t="inlineStr">
        <is>
          <t>DUMP</t>
        </is>
      </c>
      <c r="F2458" s="144" t="inlineStr">
        <is>
          <t>S4705HY TN</t>
        </is>
      </c>
      <c r="G2458" s="144" t="inlineStr">
        <is>
          <t>WHITE PETERBILT</t>
        </is>
      </c>
      <c r="H2458" s="144" t="n">
        <v>2215</v>
      </c>
      <c r="I2458" s="144" t="inlineStr">
        <is>
          <t>COMMERCIAL</t>
        </is>
      </c>
    </row>
    <row r="2459" ht="18" customHeight="1" s="7">
      <c r="A2459" s="144" t="inlineStr">
        <is>
          <t>MARTON ENDRE</t>
        </is>
      </c>
      <c r="B2459" s="144" t="inlineStr">
        <is>
          <t>M635200742931 FL</t>
        </is>
      </c>
      <c r="C2459" s="144" t="inlineStr">
        <is>
          <t>YK EXPRESS</t>
        </is>
      </c>
      <c r="D2459" s="144" t="n">
        <v>9045146881</v>
      </c>
      <c r="E2459" s="144" t="inlineStr">
        <is>
          <t>FLAT</t>
        </is>
      </c>
      <c r="F2459" s="144" t="inlineStr">
        <is>
          <t>XE820S FL</t>
        </is>
      </c>
      <c r="G2459" s="144" t="inlineStr">
        <is>
          <t>BLUE FREIGHTLINER</t>
        </is>
      </c>
      <c r="H2459" s="144" t="n">
        <v>1221</v>
      </c>
      <c r="I2459" s="144" t="inlineStr">
        <is>
          <t>COMMERCIAL</t>
        </is>
      </c>
    </row>
    <row r="2460" ht="18" customHeight="1" s="7">
      <c r="A2460" s="144" t="inlineStr">
        <is>
          <t>GONCHAR SERGII</t>
        </is>
      </c>
      <c r="B2460" s="144" t="inlineStr">
        <is>
          <t>106383338 SC</t>
        </is>
      </c>
      <c r="C2460" s="144" t="inlineStr">
        <is>
          <t>AVTOMEDON INC</t>
        </is>
      </c>
      <c r="D2460" s="144" t="n">
        <v>9164128683</v>
      </c>
      <c r="E2460" s="144" t="inlineStr">
        <is>
          <t>FLAT</t>
        </is>
      </c>
      <c r="F2460" s="144" t="inlineStr">
        <is>
          <t>YP17293 CA</t>
        </is>
      </c>
      <c r="G2460" s="144" t="inlineStr">
        <is>
          <t>WHITE VOLVO</t>
        </is>
      </c>
      <c r="H2460" s="144" t="n">
        <v>1221</v>
      </c>
      <c r="I2460" s="144" t="inlineStr">
        <is>
          <t>COMMERCIAL</t>
        </is>
      </c>
    </row>
    <row r="2461" ht="18" customHeight="1" s="7">
      <c r="A2461" s="144" t="inlineStr">
        <is>
          <t>LEGESE YOSEF</t>
        </is>
      </c>
      <c r="B2461" s="144" t="inlineStr">
        <is>
          <t>B58089557 VA</t>
        </is>
      </c>
      <c r="C2461" s="144" t="inlineStr">
        <is>
          <t>SPEAR TRANS</t>
        </is>
      </c>
      <c r="D2461" s="144" t="n">
        <v>2029103339</v>
      </c>
      <c r="E2461" s="144" t="inlineStr">
        <is>
          <t>BOX</t>
        </is>
      </c>
      <c r="F2461" s="144" t="inlineStr">
        <is>
          <t>54219 PZ VA</t>
        </is>
      </c>
      <c r="G2461" s="144" t="inlineStr">
        <is>
          <t>GREEN FREIGHTLINER</t>
        </is>
      </c>
      <c r="H2461" s="144" t="n">
        <v>1221</v>
      </c>
      <c r="I2461" s="144" t="inlineStr">
        <is>
          <t>COMMERICAL</t>
        </is>
      </c>
    </row>
    <row r="2462" ht="18" customHeight="1" s="7">
      <c r="A2462" s="144" t="inlineStr">
        <is>
          <t>DAVID LOWE</t>
        </is>
      </c>
      <c r="B2462" s="144" t="inlineStr">
        <is>
          <t>061516678 GA</t>
        </is>
      </c>
      <c r="C2462" s="144" t="inlineStr">
        <is>
          <t>S&amp;S CONCRETE</t>
        </is>
      </c>
      <c r="D2462" s="144" t="n">
        <v>2294398566</v>
      </c>
      <c r="E2462" s="144" t="inlineStr">
        <is>
          <t>PU</t>
        </is>
      </c>
      <c r="F2462" s="144" t="inlineStr">
        <is>
          <t>SSCRET3 GA</t>
        </is>
      </c>
      <c r="G2462" s="144" t="inlineStr">
        <is>
          <t>WHITE DODGE</t>
        </is>
      </c>
      <c r="H2462" s="144" t="n">
        <v>2200</v>
      </c>
      <c r="I2462" s="144" t="inlineStr">
        <is>
          <t>CONTRACTOR</t>
        </is>
      </c>
    </row>
    <row r="2463" ht="18" customHeight="1" s="7">
      <c r="A2463" s="144" t="inlineStr">
        <is>
          <t>TONY BURKS</t>
        </is>
      </c>
      <c r="B2463" s="144" t="inlineStr">
        <is>
          <t>033260526 GA</t>
        </is>
      </c>
      <c r="C2463" s="144" t="inlineStr">
        <is>
          <t>SA REYCLING</t>
        </is>
      </c>
      <c r="D2463" s="144" t="n">
        <v>7065668433</v>
      </c>
      <c r="E2463" s="144" t="inlineStr">
        <is>
          <t>DUMP</t>
        </is>
      </c>
      <c r="F2463" s="144" t="inlineStr">
        <is>
          <t>S4679Y TN</t>
        </is>
      </c>
      <c r="G2463" s="144" t="inlineStr">
        <is>
          <t>WHITE PETERBILT</t>
        </is>
      </c>
      <c r="H2463" s="144" t="inlineStr">
        <is>
          <t>GATE 15</t>
        </is>
      </c>
      <c r="I2463" s="144" t="inlineStr">
        <is>
          <t>COMMERICAL</t>
        </is>
      </c>
    </row>
    <row r="2464" ht="18" customHeight="1" s="7">
      <c r="A2464" s="144" t="inlineStr">
        <is>
          <t>EDWARD SHORT</t>
        </is>
      </c>
      <c r="B2464" s="144" t="inlineStr">
        <is>
          <t>050859089 GA</t>
        </is>
      </c>
      <c r="C2464" s="144" t="inlineStr">
        <is>
          <t>SAFETY MAX</t>
        </is>
      </c>
      <c r="D2464" s="144" t="n">
        <v>2298780300</v>
      </c>
      <c r="E2464" s="144" t="inlineStr">
        <is>
          <t>PU</t>
        </is>
      </c>
      <c r="F2464" s="144" t="inlineStr">
        <is>
          <t>CQL5333 GA</t>
        </is>
      </c>
      <c r="G2464" s="144" t="inlineStr">
        <is>
          <t>WHITE FORD</t>
        </is>
      </c>
      <c r="H2464" s="144" t="n">
        <v>7000</v>
      </c>
      <c r="I2464" s="144" t="inlineStr">
        <is>
          <t>CONTRACTOR</t>
        </is>
      </c>
    </row>
    <row r="2465" ht="18" customHeight="1" s="7">
      <c r="A2465" s="144" t="inlineStr">
        <is>
          <t>BRIAN HARSH</t>
        </is>
      </c>
      <c r="B2465" s="144" t="inlineStr">
        <is>
          <t>055763774 GA</t>
        </is>
      </c>
      <c r="C2465" s="144" t="inlineStr">
        <is>
          <t>JONES WELDING</t>
        </is>
      </c>
      <c r="D2465" s="144" t="n">
        <v>2298883917</v>
      </c>
      <c r="E2465" s="144" t="inlineStr">
        <is>
          <t>PU</t>
        </is>
      </c>
      <c r="F2465" s="144" t="inlineStr">
        <is>
          <t>WQF564 GA</t>
        </is>
      </c>
      <c r="G2465" s="144" t="inlineStr">
        <is>
          <t>WHITE FORD</t>
        </is>
      </c>
      <c r="H2465" s="144" t="n">
        <v>5702</v>
      </c>
      <c r="I2465" s="144" t="inlineStr">
        <is>
          <t>CONTRACTOR</t>
        </is>
      </c>
    </row>
    <row r="2466" ht="18" customHeight="1" s="7">
      <c r="A2466" s="144" t="inlineStr">
        <is>
          <t>RYAN WHITE</t>
        </is>
      </c>
      <c r="B2466" s="144" t="inlineStr">
        <is>
          <t>056600903 GA</t>
        </is>
      </c>
      <c r="C2466" s="144" t="inlineStr">
        <is>
          <t>JBH TRANSPORT</t>
        </is>
      </c>
      <c r="D2466" s="144" t="n">
        <v>7702518921</v>
      </c>
      <c r="E2466" s="144" t="inlineStr">
        <is>
          <t>FLAT</t>
        </is>
      </c>
      <c r="F2466" s="144" t="inlineStr">
        <is>
          <t>C639FC GA</t>
        </is>
      </c>
      <c r="G2466" s="144" t="inlineStr">
        <is>
          <t>GREEN PETERBILT</t>
        </is>
      </c>
      <c r="H2466" s="144" t="n">
        <v>1221</v>
      </c>
      <c r="I2466" s="144" t="inlineStr">
        <is>
          <t>COMMERCIAL</t>
        </is>
      </c>
    </row>
    <row r="2467" ht="18" customHeight="1" s="7">
      <c r="A2467" s="144" t="inlineStr">
        <is>
          <t>ANTONIO ADAME</t>
        </is>
      </c>
      <c r="B2467" s="144" t="inlineStr">
        <is>
          <t>060795945 GA</t>
        </is>
      </c>
      <c r="C2467" s="144" t="inlineStr">
        <is>
          <t>MD ENTERPRISE</t>
        </is>
      </c>
      <c r="D2467" s="144" t="n">
        <v>4044347263</v>
      </c>
      <c r="E2467" s="144" t="inlineStr">
        <is>
          <t>BOX</t>
        </is>
      </c>
      <c r="F2467" s="144" t="inlineStr">
        <is>
          <t>YDF286 GA</t>
        </is>
      </c>
      <c r="G2467" s="144" t="inlineStr">
        <is>
          <t>WHITE FREIGHTLINER</t>
        </is>
      </c>
      <c r="H2467" s="144" t="inlineStr">
        <is>
          <t>HOUSING</t>
        </is>
      </c>
      <c r="I2467" s="144" t="inlineStr">
        <is>
          <t>COMMERICAL</t>
        </is>
      </c>
    </row>
    <row r="2468" ht="18" customHeight="1" s="7">
      <c r="A2468" s="144" t="inlineStr">
        <is>
          <t>VIKTOR NGUYEN</t>
        </is>
      </c>
      <c r="B2468" s="144" t="inlineStr">
        <is>
          <t>A6067024 CA</t>
        </is>
      </c>
      <c r="C2468" s="144" t="inlineStr">
        <is>
          <t>BOOMERANG EXPRESS</t>
        </is>
      </c>
      <c r="D2468" s="144" t="n">
        <v>7147496666</v>
      </c>
      <c r="E2468" s="144" t="inlineStr">
        <is>
          <t>BOX</t>
        </is>
      </c>
      <c r="F2468" s="144" t="inlineStr">
        <is>
          <t>ZP10951 CA</t>
        </is>
      </c>
      <c r="G2468" s="144" t="inlineStr">
        <is>
          <t>BLUE PETERBILT</t>
        </is>
      </c>
      <c r="H2468" s="144" t="n">
        <v>1221</v>
      </c>
      <c r="I2468" s="144" t="inlineStr">
        <is>
          <t>COMMERCIAL</t>
        </is>
      </c>
    </row>
    <row r="2469" ht="18" customHeight="1" s="7">
      <c r="A2469" s="144" t="inlineStr">
        <is>
          <t>STEPHEN SMITH</t>
        </is>
      </c>
      <c r="B2469" s="144" t="inlineStr">
        <is>
          <t>055429048 GA</t>
        </is>
      </c>
      <c r="C2469" s="144" t="inlineStr">
        <is>
          <t>JIM BOYD CONSTRUCTION</t>
        </is>
      </c>
      <c r="D2469" s="144" t="n">
        <v>2294209898</v>
      </c>
      <c r="E2469" s="144" t="inlineStr">
        <is>
          <t>TANK</t>
        </is>
      </c>
      <c r="F2469" s="144" t="inlineStr">
        <is>
          <t>GEL635 GA</t>
        </is>
      </c>
      <c r="G2469" s="144" t="inlineStr">
        <is>
          <t>WHITE FREIGHTLINER</t>
        </is>
      </c>
      <c r="H2469" s="144" t="inlineStr">
        <is>
          <t>BASE WIDE</t>
        </is>
      </c>
      <c r="I2469" s="144" t="inlineStr">
        <is>
          <t>COMMERCIAL</t>
        </is>
      </c>
    </row>
    <row r="2470" ht="18" customHeight="1" s="7">
      <c r="A2470" s="144" t="inlineStr">
        <is>
          <t>PABLO PADILLA</t>
        </is>
      </c>
      <c r="B2470" s="144" t="inlineStr">
        <is>
          <t>P346660692280 FL</t>
        </is>
      </c>
      <c r="C2470" s="144" t="inlineStr">
        <is>
          <t>ENTERPRISE</t>
        </is>
      </c>
      <c r="D2470" s="144" t="n">
        <v>7542622496</v>
      </c>
      <c r="E2470" s="144" t="inlineStr">
        <is>
          <t>BOX</t>
        </is>
      </c>
      <c r="F2470" s="144" t="inlineStr">
        <is>
          <t>75EYXLC FL</t>
        </is>
      </c>
      <c r="G2470" s="144" t="inlineStr">
        <is>
          <t>WHITE INTERNATIONAL</t>
        </is>
      </c>
      <c r="H2470" s="144" t="inlineStr">
        <is>
          <t>HOUSING</t>
        </is>
      </c>
      <c r="I2470" s="144" t="inlineStr">
        <is>
          <t>COMMERCIAL</t>
        </is>
      </c>
    </row>
    <row r="2471" ht="18" customHeight="1" s="7">
      <c r="A2471" s="144" t="inlineStr">
        <is>
          <t>MARCUS GRAYSON</t>
        </is>
      </c>
      <c r="B2471" s="144" t="inlineStr">
        <is>
          <t>G625553841061 FL</t>
        </is>
      </c>
      <c r="C2471" s="144" t="inlineStr">
        <is>
          <t>ENTERPRISE</t>
        </is>
      </c>
      <c r="D2471" s="144" t="n">
        <v>7868186488</v>
      </c>
      <c r="E2471" s="144" t="inlineStr">
        <is>
          <t>BOX</t>
        </is>
      </c>
      <c r="F2471" s="144" t="inlineStr">
        <is>
          <t>IEPM99 FL</t>
        </is>
      </c>
      <c r="G2471" s="144" t="inlineStr">
        <is>
          <t>WHITE INTERNATIONAL</t>
        </is>
      </c>
      <c r="H2471" s="144" t="inlineStr">
        <is>
          <t>HOUSING</t>
        </is>
      </c>
      <c r="I2471" s="144" t="inlineStr">
        <is>
          <t>COMMERCIAL</t>
        </is>
      </c>
    </row>
    <row r="2472" ht="18" customHeight="1" s="7">
      <c r="A2472" s="144" t="inlineStr">
        <is>
          <t>DALE TAYLOR</t>
        </is>
      </c>
      <c r="B2472" s="144" t="inlineStr">
        <is>
          <t>T460163633290 FL</t>
        </is>
      </c>
      <c r="C2472" s="144" t="inlineStr">
        <is>
          <t xml:space="preserve">FCI </t>
        </is>
      </c>
      <c r="D2472" s="144" t="n">
        <v>3212431430</v>
      </c>
      <c r="E2472" s="144" t="inlineStr">
        <is>
          <t>BOX</t>
        </is>
      </c>
      <c r="F2472" s="144" t="inlineStr">
        <is>
          <t>AY161U NJ</t>
        </is>
      </c>
      <c r="G2472" s="144" t="inlineStr">
        <is>
          <t>RED PETERBILT</t>
        </is>
      </c>
      <c r="H2472" s="144" t="n">
        <v>2200</v>
      </c>
      <c r="I2472" s="144" t="inlineStr">
        <is>
          <t>COMMERCIAL</t>
        </is>
      </c>
    </row>
    <row r="2473" ht="18" customHeight="1" s="7">
      <c r="A2473" s="144" t="inlineStr">
        <is>
          <t>REGINALD MCKEVER</t>
        </is>
      </c>
      <c r="B2473" s="144" t="inlineStr">
        <is>
          <t>055931586 GA</t>
        </is>
      </c>
      <c r="C2473" s="144" t="inlineStr">
        <is>
          <t xml:space="preserve">SOUTHEASTERN </t>
        </is>
      </c>
      <c r="D2473" s="144" t="n">
        <v>2293229497</v>
      </c>
      <c r="E2473" s="144" t="inlineStr">
        <is>
          <t>BOX</t>
        </is>
      </c>
      <c r="F2473" s="144" t="inlineStr">
        <is>
          <t>R613HY TN</t>
        </is>
      </c>
      <c r="G2473" s="144" t="inlineStr">
        <is>
          <t>RED KENWORTH</t>
        </is>
      </c>
      <c r="H2473" s="144" t="n">
        <v>1330</v>
      </c>
      <c r="I2473" s="144" t="inlineStr">
        <is>
          <t>COMMERCIAL</t>
        </is>
      </c>
    </row>
    <row r="2474" ht="18" customHeight="1" s="7">
      <c r="A2474" s="144" t="inlineStr">
        <is>
          <t>JUSTIN LABOMBARD</t>
        </is>
      </c>
      <c r="B2474" s="144" t="inlineStr">
        <is>
          <t>L384244960000</t>
        </is>
      </c>
      <c r="C2474" s="144" t="inlineStr">
        <is>
          <t>GREEN VALLEY TRAN</t>
        </is>
      </c>
      <c r="D2474" s="144" t="n">
        <v>3864052635</v>
      </c>
      <c r="E2474" s="144" t="inlineStr">
        <is>
          <t>BOX</t>
        </is>
      </c>
      <c r="F2474" s="144" t="inlineStr">
        <is>
          <t>V5144HY TN</t>
        </is>
      </c>
      <c r="G2474" s="144" t="inlineStr">
        <is>
          <t>WHITE VOLVO</t>
        </is>
      </c>
      <c r="H2474" s="144" t="n">
        <v>1221</v>
      </c>
      <c r="I2474" s="144" t="inlineStr">
        <is>
          <t>COMMERCIAL</t>
        </is>
      </c>
    </row>
    <row r="2475" ht="18" customHeight="1" s="7">
      <c r="A2475" s="144" t="inlineStr">
        <is>
          <t>MAXWELL LYONS</t>
        </is>
      </c>
      <c r="B2475" s="144" t="n">
        <v>10536234</v>
      </c>
      <c r="C2475" s="144" t="inlineStr">
        <is>
          <t>MAX LION CONCRETE</t>
        </is>
      </c>
      <c r="D2475" s="144" t="n">
        <v>8546033548</v>
      </c>
      <c r="E2475" s="144" t="inlineStr">
        <is>
          <t>PU</t>
        </is>
      </c>
      <c r="F2475" s="144" t="inlineStr">
        <is>
          <t>23A2332 AL</t>
        </is>
      </c>
      <c r="G2475" s="144" t="inlineStr">
        <is>
          <t>BLUE FORD</t>
        </is>
      </c>
      <c r="H2475" s="144" t="inlineStr">
        <is>
          <t>K9</t>
        </is>
      </c>
      <c r="I2475" s="144" t="inlineStr">
        <is>
          <t>CONTRACTOR</t>
        </is>
      </c>
    </row>
    <row r="2476" ht="18" customHeight="1" s="7">
      <c r="A2476" s="144" t="inlineStr">
        <is>
          <t>LOYCELL HENRY JR</t>
        </is>
      </c>
      <c r="B2476" s="144" t="inlineStr">
        <is>
          <t>*051968362 GA</t>
        </is>
      </c>
      <c r="C2476" s="144" t="inlineStr">
        <is>
          <t>SPARTAN NASH</t>
        </is>
      </c>
      <c r="D2476" s="144" t="n">
        <v>7064422245</v>
      </c>
      <c r="E2476" s="144" t="inlineStr">
        <is>
          <t>BOX</t>
        </is>
      </c>
      <c r="F2476" s="144" t="inlineStr">
        <is>
          <t>404727 NB</t>
        </is>
      </c>
      <c r="G2476" s="144" t="inlineStr">
        <is>
          <t>WHITE INTERNATIONAL</t>
        </is>
      </c>
      <c r="H2476" s="144" t="n">
        <v>7500</v>
      </c>
      <c r="I2476" s="144" t="inlineStr">
        <is>
          <t>COMMERCIAL</t>
        </is>
      </c>
    </row>
    <row r="2477" ht="18" customHeight="1" s="7">
      <c r="A2477" s="144" t="inlineStr">
        <is>
          <t>NDIAYE ADAMA</t>
        </is>
      </c>
      <c r="B2477" s="144" t="inlineStr">
        <is>
          <t>N17935732 KY</t>
        </is>
      </c>
      <c r="C2477" s="144" t="inlineStr">
        <is>
          <t>AFT TRANS</t>
        </is>
      </c>
      <c r="D2477" s="144" t="n">
        <v>9176316383</v>
      </c>
      <c r="E2477" s="144" t="inlineStr">
        <is>
          <t>BOX</t>
        </is>
      </c>
      <c r="F2477" s="144" t="inlineStr">
        <is>
          <t>P1198052 IL</t>
        </is>
      </c>
      <c r="G2477" s="144" t="inlineStr">
        <is>
          <t>BLACK VOLVO</t>
        </is>
      </c>
      <c r="H2477" s="144" t="n">
        <v>1221</v>
      </c>
      <c r="I2477" s="144" t="inlineStr">
        <is>
          <t>COMMERCIAL</t>
        </is>
      </c>
    </row>
    <row r="2478" ht="18" customHeight="1" s="7">
      <c r="A2478" s="144" t="inlineStr">
        <is>
          <t>QUETANT JOSEPH</t>
        </is>
      </c>
      <c r="B2478" s="144" t="inlineStr">
        <is>
          <t>25799159 TX</t>
        </is>
      </c>
      <c r="C2478" s="144" t="inlineStr">
        <is>
          <t>FREEMONT TRANS</t>
        </is>
      </c>
      <c r="D2478" s="144" t="n">
        <v>4695059453</v>
      </c>
      <c r="E2478" s="144" t="inlineStr">
        <is>
          <t>BOX</t>
        </is>
      </c>
      <c r="F2478" s="144" t="inlineStr">
        <is>
          <t>P1011445 IL</t>
        </is>
      </c>
      <c r="G2478" s="144" t="inlineStr">
        <is>
          <t>WHITE FREIGHTLINER</t>
        </is>
      </c>
      <c r="H2478" s="144" t="n">
        <v>1221</v>
      </c>
      <c r="I2478" s="144" t="inlineStr">
        <is>
          <t>COMMERCIAL</t>
        </is>
      </c>
    </row>
    <row r="2479" ht="18" customHeight="1" s="7">
      <c r="A2479" s="144" t="inlineStr">
        <is>
          <t>ALI MOHAMED ISSA</t>
        </is>
      </c>
      <c r="B2479" s="144" t="inlineStr">
        <is>
          <t>US219688 OH</t>
        </is>
      </c>
      <c r="C2479" s="144" t="inlineStr">
        <is>
          <t>POP TRANS</t>
        </is>
      </c>
      <c r="D2479" s="144" t="n">
        <v>6023942773</v>
      </c>
      <c r="E2479" s="144" t="inlineStr">
        <is>
          <t>BOX</t>
        </is>
      </c>
      <c r="F2479" s="144" t="inlineStr">
        <is>
          <t>P1300123 IL</t>
        </is>
      </c>
      <c r="G2479" s="144" t="inlineStr">
        <is>
          <t>WHITE FREIGHTLINER</t>
        </is>
      </c>
      <c r="H2479" s="144" t="n">
        <v>1221</v>
      </c>
      <c r="I2479" s="144" t="inlineStr">
        <is>
          <t>COMMERCIAL</t>
        </is>
      </c>
    </row>
    <row r="2480" ht="18" customHeight="1" s="7">
      <c r="A2480" s="144" t="inlineStr">
        <is>
          <t>RODERICK  WILLIAMS</t>
        </is>
      </c>
      <c r="B2480" s="144" t="inlineStr">
        <is>
          <t>*050556655 GA</t>
        </is>
      </c>
      <c r="C2480" s="144" t="inlineStr">
        <is>
          <t>R&amp;W TRANS</t>
        </is>
      </c>
      <c r="D2480" s="144" t="n">
        <v>2293497748</v>
      </c>
      <c r="E2480" s="144" t="inlineStr">
        <is>
          <t>BOX</t>
        </is>
      </c>
      <c r="F2480" s="144" t="inlineStr">
        <is>
          <t>IC40JX GA</t>
        </is>
      </c>
      <c r="G2480" s="144" t="inlineStr">
        <is>
          <t>WHITE VOLVO</t>
        </is>
      </c>
      <c r="H2480" s="144" t="n">
        <v>1221</v>
      </c>
      <c r="I2480" s="144" t="inlineStr">
        <is>
          <t>COMMERCIAL</t>
        </is>
      </c>
    </row>
    <row r="2481" ht="18" customHeight="1" s="7">
      <c r="A2481" s="144" t="inlineStr">
        <is>
          <t>ISTAMOV MEKJROJ</t>
        </is>
      </c>
      <c r="B2481" s="144" t="inlineStr">
        <is>
          <t>997605194 NY</t>
        </is>
      </c>
      <c r="C2481" s="144" t="inlineStr">
        <is>
          <t>M PLUS TRANS</t>
        </is>
      </c>
      <c r="D2481" s="144" t="n">
        <v>9147707777</v>
      </c>
      <c r="E2481" s="144" t="inlineStr">
        <is>
          <t>BOX</t>
        </is>
      </c>
      <c r="F2481" s="144" t="inlineStr">
        <is>
          <t>9121397 IL</t>
        </is>
      </c>
      <c r="G2481" s="144" t="inlineStr">
        <is>
          <t>WHIYE VOLVO</t>
        </is>
      </c>
      <c r="H2481" s="144" t="n">
        <v>1221</v>
      </c>
      <c r="I2481" s="144" t="inlineStr">
        <is>
          <t>COMMERCIAL</t>
        </is>
      </c>
    </row>
    <row r="2482" ht="18" customHeight="1" s="7">
      <c r="A2482" s="144" t="inlineStr">
        <is>
          <t>SADRACH CHAVEZ</t>
        </is>
      </c>
      <c r="B2482" s="144" t="inlineStr">
        <is>
          <t>*056763826 GA</t>
        </is>
      </c>
      <c r="C2482" s="144" t="inlineStr">
        <is>
          <t>AIR TOUCH</t>
        </is>
      </c>
      <c r="D2482" s="144" t="n">
        <v>6787328562</v>
      </c>
      <c r="E2482" s="144" t="inlineStr">
        <is>
          <t>VAN</t>
        </is>
      </c>
      <c r="F2482" s="144" t="inlineStr">
        <is>
          <t>CPN3191 GA</t>
        </is>
      </c>
      <c r="G2482" s="144" t="inlineStr">
        <is>
          <t>WHITE FORD</t>
        </is>
      </c>
      <c r="H2482" s="144" t="inlineStr">
        <is>
          <t>NAVY FED</t>
        </is>
      </c>
      <c r="I2482" s="144" t="inlineStr">
        <is>
          <t>CONTRACTOR</t>
        </is>
      </c>
    </row>
    <row r="2483" ht="18" customHeight="1" s="7">
      <c r="A2483" s="144" t="inlineStr">
        <is>
          <t>MARIO WRIGHT</t>
        </is>
      </c>
      <c r="B2483" s="144" t="inlineStr">
        <is>
          <t>*052959048 GA</t>
        </is>
      </c>
      <c r="C2483" s="144" t="inlineStr">
        <is>
          <t>A-1</t>
        </is>
      </c>
      <c r="D2483" s="144" t="n">
        <v>2294398123</v>
      </c>
      <c r="E2483" s="144" t="inlineStr">
        <is>
          <t>PU</t>
        </is>
      </c>
      <c r="F2483" s="144" t="inlineStr">
        <is>
          <t>RJT9677 GA</t>
        </is>
      </c>
      <c r="G2483" s="144" t="inlineStr">
        <is>
          <t>WHITE GMC</t>
        </is>
      </c>
      <c r="H2483" s="144" t="inlineStr">
        <is>
          <t>BW</t>
        </is>
      </c>
      <c r="I2483" s="144" t="inlineStr">
        <is>
          <t>CONTRACTOR</t>
        </is>
      </c>
    </row>
    <row r="2484" ht="18" customHeight="1" s="7">
      <c r="A2484" s="144" t="inlineStr">
        <is>
          <t>YUSUPOV MUKHAMMED</t>
        </is>
      </c>
      <c r="B2484" s="144" t="inlineStr">
        <is>
          <t>HC224849F ID</t>
        </is>
      </c>
      <c r="C2484" s="144" t="inlineStr">
        <is>
          <t>B13</t>
        </is>
      </c>
      <c r="D2484" s="144" t="n">
        <v>2088053186</v>
      </c>
      <c r="E2484" s="144" t="inlineStr">
        <is>
          <t>FLAT</t>
        </is>
      </c>
      <c r="F2484" s="144" t="inlineStr">
        <is>
          <t>AN1935 ID</t>
        </is>
      </c>
      <c r="G2484" s="144" t="inlineStr">
        <is>
          <t>GRAY FREIGHT</t>
        </is>
      </c>
      <c r="H2484" s="144" t="n">
        <v>1221</v>
      </c>
      <c r="I2484" s="144" t="inlineStr">
        <is>
          <t>COMMERCIAL</t>
        </is>
      </c>
    </row>
    <row r="2485" ht="18" customHeight="1" s="7">
      <c r="A2485" s="144" t="inlineStr">
        <is>
          <t>HONROE LOUISKENSON</t>
        </is>
      </c>
      <c r="B2485" s="144" t="inlineStr">
        <is>
          <t>H611098021000 FL</t>
        </is>
      </c>
      <c r="C2485" s="144" t="inlineStr">
        <is>
          <t>ISP GLOBAL</t>
        </is>
      </c>
      <c r="D2485" s="144" t="n">
        <v>4632676710</v>
      </c>
      <c r="E2485" s="144" t="inlineStr">
        <is>
          <t>BOX</t>
        </is>
      </c>
      <c r="F2485" s="144" t="inlineStr">
        <is>
          <t>P1253363 IL</t>
        </is>
      </c>
      <c r="G2485" s="144" t="inlineStr">
        <is>
          <t>WHITE VOLVO</t>
        </is>
      </c>
      <c r="H2485" s="144" t="n">
        <v>1221</v>
      </c>
      <c r="I2485" s="144" t="inlineStr">
        <is>
          <t>COMMERCIAL</t>
        </is>
      </c>
    </row>
    <row r="2486" ht="18" customHeight="1" s="7">
      <c r="A2486" s="144" t="inlineStr">
        <is>
          <t>CURTIS MURPHY</t>
        </is>
      </c>
      <c r="B2486" s="144" t="inlineStr">
        <is>
          <t>*054850601 GA</t>
        </is>
      </c>
      <c r="C2486" s="144" t="inlineStr">
        <is>
          <t>R&amp;L</t>
        </is>
      </c>
      <c r="D2486" s="144" t="n">
        <v>2292883781</v>
      </c>
      <c r="E2486" s="144" t="inlineStr">
        <is>
          <t>BOX</t>
        </is>
      </c>
      <c r="F2486" s="144" t="inlineStr">
        <is>
          <t>3083607 IN</t>
        </is>
      </c>
      <c r="G2486" s="144" t="inlineStr">
        <is>
          <t>GREEN INTERNATIONAL</t>
        </is>
      </c>
      <c r="H2486" s="144" t="n">
        <v>5400</v>
      </c>
      <c r="I2486" s="144" t="inlineStr">
        <is>
          <t>COMMERCIAL</t>
        </is>
      </c>
    </row>
    <row r="2487" ht="18" customHeight="1" s="7">
      <c r="A2487" s="144" t="inlineStr">
        <is>
          <t>PIERRE ENODUL</t>
        </is>
      </c>
      <c r="B2487" s="144" t="inlineStr">
        <is>
          <t>9370150837 IN</t>
        </is>
      </c>
      <c r="C2487" s="144" t="inlineStr">
        <is>
          <t>DELI-EMMA</t>
        </is>
      </c>
      <c r="D2487" s="144" t="n">
        <v>3177666067</v>
      </c>
      <c r="E2487" s="144" t="inlineStr">
        <is>
          <t>BOX</t>
        </is>
      </c>
      <c r="F2487" s="144" t="inlineStr">
        <is>
          <t>3771986 IN</t>
        </is>
      </c>
      <c r="G2487" s="144" t="inlineStr">
        <is>
          <t>RED FREIGHTLINER</t>
        </is>
      </c>
      <c r="H2487" s="144" t="n">
        <v>1221</v>
      </c>
      <c r="I2487" s="144" t="inlineStr">
        <is>
          <t>COMMERCIAL</t>
        </is>
      </c>
    </row>
    <row r="2488" ht="18" customHeight="1" s="7">
      <c r="A2488" s="144" t="inlineStr">
        <is>
          <t>NATHAN LAUCK</t>
        </is>
      </c>
      <c r="B2488" s="144" t="inlineStr">
        <is>
          <t>*049050836 GA</t>
        </is>
      </c>
      <c r="C2488" s="144" t="inlineStr">
        <is>
          <t>ALBANY BEVRAGE</t>
        </is>
      </c>
      <c r="D2488" s="144" t="n">
        <v>2298694402</v>
      </c>
      <c r="E2488" s="144" t="inlineStr">
        <is>
          <t>SEDAN</t>
        </is>
      </c>
      <c r="F2488" s="144" t="inlineStr">
        <is>
          <t>RIT8553 GA</t>
        </is>
      </c>
      <c r="G2488" s="144" t="inlineStr">
        <is>
          <t>WHITE FORD</t>
        </is>
      </c>
      <c r="H2488" s="144" t="n">
        <v>7500</v>
      </c>
      <c r="I2488" s="144" t="inlineStr">
        <is>
          <t>CONTRACTOR</t>
        </is>
      </c>
    </row>
    <row r="2489" ht="18" customHeight="1" s="7">
      <c r="A2489" s="144" t="inlineStr">
        <is>
          <t>MARKEITH WILLIAMS</t>
        </is>
      </c>
      <c r="B2489" s="144" t="inlineStr">
        <is>
          <t>9983696 AL</t>
        </is>
      </c>
      <c r="C2489" s="144" t="inlineStr">
        <is>
          <t>COVAN</t>
        </is>
      </c>
      <c r="D2489" s="144" t="n">
        <v>3344322378</v>
      </c>
      <c r="E2489" s="144" t="inlineStr">
        <is>
          <t>BOX</t>
        </is>
      </c>
      <c r="F2489" s="144" t="inlineStr">
        <is>
          <t>1175903 AL</t>
        </is>
      </c>
      <c r="G2489" s="144" t="inlineStr">
        <is>
          <t>WHIYE FREIGHTLINER</t>
        </is>
      </c>
      <c r="H2489" s="144" t="inlineStr">
        <is>
          <t>HOUSING</t>
        </is>
      </c>
      <c r="I2489" s="144" t="inlineStr">
        <is>
          <t>COMMERCIAL</t>
        </is>
      </c>
    </row>
    <row r="2490" ht="18" customHeight="1" s="7">
      <c r="A2490" s="144" t="inlineStr">
        <is>
          <t>SAVANNAH RAYNE</t>
        </is>
      </c>
      <c r="B2490" s="144" t="inlineStr">
        <is>
          <t>8875604 AL</t>
        </is>
      </c>
      <c r="C2490" s="144" t="inlineStr">
        <is>
          <t>DIRECT SCAFFOLD</t>
        </is>
      </c>
      <c r="D2490" s="144" t="n">
        <v>2513589659</v>
      </c>
      <c r="E2490" s="144" t="inlineStr">
        <is>
          <t>FLAT</t>
        </is>
      </c>
      <c r="F2490" s="144" t="inlineStr">
        <is>
          <t>3266519 IN</t>
        </is>
      </c>
      <c r="G2490" s="144" t="inlineStr">
        <is>
          <t>WHITE FREIGHTLINER</t>
        </is>
      </c>
      <c r="H2490" s="144" t="inlineStr">
        <is>
          <t>BW</t>
        </is>
      </c>
      <c r="I2490" s="144" t="inlineStr">
        <is>
          <t>COMMERCIAL</t>
        </is>
      </c>
    </row>
    <row r="2491" ht="18" customHeight="1" s="7">
      <c r="A2491" s="144" t="inlineStr">
        <is>
          <t>LEAMON FOXWORTH</t>
        </is>
      </c>
      <c r="B2491" s="144" t="inlineStr">
        <is>
          <t>8016877107 MI</t>
        </is>
      </c>
      <c r="C2491" s="144" t="inlineStr">
        <is>
          <t>FOXWORTH</t>
        </is>
      </c>
      <c r="D2491" s="144" t="n">
        <v>6626166498</v>
      </c>
      <c r="E2491" s="144" t="inlineStr">
        <is>
          <t>BOX</t>
        </is>
      </c>
      <c r="F2491" s="144" t="inlineStr">
        <is>
          <t>A521190 MI</t>
        </is>
      </c>
      <c r="G2491" s="144" t="inlineStr">
        <is>
          <t>PURPLE FREIGHTLINER</t>
        </is>
      </c>
      <c r="H2491" s="144" t="n">
        <v>1221</v>
      </c>
      <c r="I2491" s="144" t="inlineStr">
        <is>
          <t>COMMERCIAL</t>
        </is>
      </c>
    </row>
    <row r="2492" ht="18" customHeight="1" s="7">
      <c r="A2492" s="144" t="inlineStr">
        <is>
          <t>GREEN CALVIN</t>
        </is>
      </c>
      <c r="B2492" s="144" t="inlineStr">
        <is>
          <t>*007217875 SC</t>
        </is>
      </c>
      <c r="C2492" s="144" t="inlineStr">
        <is>
          <t>CAROLINA LOGISTIC</t>
        </is>
      </c>
      <c r="D2492" s="144" t="n">
        <v>8032907914</v>
      </c>
      <c r="E2492" s="144" t="inlineStr">
        <is>
          <t>BOX</t>
        </is>
      </c>
      <c r="F2492" s="144" t="inlineStr">
        <is>
          <t>NM4704 NC</t>
        </is>
      </c>
      <c r="G2492" s="144" t="inlineStr">
        <is>
          <t>WHITE FREIGHTLINER</t>
        </is>
      </c>
      <c r="H2492" s="144" t="n">
        <v>1221</v>
      </c>
      <c r="I2492" s="144" t="inlineStr">
        <is>
          <t>COMMERCIAL</t>
        </is>
      </c>
    </row>
    <row r="2493" ht="18" customHeight="1" s="7">
      <c r="A2493" s="144" t="inlineStr">
        <is>
          <t>CONNELL BENNETT</t>
        </is>
      </c>
      <c r="B2493" s="144" t="inlineStr">
        <is>
          <t>*058866754 GA</t>
        </is>
      </c>
      <c r="C2493" s="144" t="inlineStr">
        <is>
          <t xml:space="preserve">BENNETT </t>
        </is>
      </c>
      <c r="D2493" s="144" t="n">
        <v>7068772537</v>
      </c>
      <c r="E2493" s="144" t="inlineStr">
        <is>
          <t>FLAT</t>
        </is>
      </c>
      <c r="F2493" s="144" t="inlineStr">
        <is>
          <t>C046EM GA</t>
        </is>
      </c>
      <c r="G2493" s="144" t="inlineStr">
        <is>
          <t>BLUE INTER</t>
        </is>
      </c>
      <c r="H2493" s="144" t="inlineStr">
        <is>
          <t>GATE 1/5</t>
        </is>
      </c>
      <c r="I2493" s="144" t="inlineStr">
        <is>
          <t>COMMERCIAL</t>
        </is>
      </c>
    </row>
    <row r="2494" ht="18" customHeight="1" s="7">
      <c r="A2494" s="144" t="inlineStr">
        <is>
          <t>MICHEAL AUTREY</t>
        </is>
      </c>
      <c r="B2494" s="144" t="inlineStr">
        <is>
          <t>*000009777461 NC</t>
        </is>
      </c>
      <c r="C2494" s="144" t="inlineStr">
        <is>
          <t>FIRE SPRINKLER</t>
        </is>
      </c>
      <c r="D2494" s="144" t="n">
        <v>3363185659</v>
      </c>
      <c r="E2494" s="144" t="inlineStr">
        <is>
          <t>PU</t>
        </is>
      </c>
      <c r="F2494" s="144" t="inlineStr">
        <is>
          <t>TL8609 NC</t>
        </is>
      </c>
      <c r="G2494" s="144" t="inlineStr">
        <is>
          <t>WHITE CHEVY</t>
        </is>
      </c>
      <c r="H2494" s="144" t="n">
        <v>5500</v>
      </c>
      <c r="I2494" s="144" t="inlineStr">
        <is>
          <t>CONTRACTOR</t>
        </is>
      </c>
    </row>
    <row r="2495" ht="18" customHeight="1" s="7">
      <c r="A2495" s="144" t="inlineStr">
        <is>
          <t>DELALUZ JOSE</t>
        </is>
      </c>
      <c r="B2495" s="144" t="inlineStr">
        <is>
          <t>D5527277 CA</t>
        </is>
      </c>
      <c r="C2495" s="144" t="inlineStr">
        <is>
          <t>JM ANGELS</t>
        </is>
      </c>
      <c r="D2495" s="144" t="n">
        <v>8183977442</v>
      </c>
      <c r="E2495" s="144" t="inlineStr">
        <is>
          <t>BOX</t>
        </is>
      </c>
      <c r="F2495" s="144" t="inlineStr">
        <is>
          <t>YP48740 CA</t>
        </is>
      </c>
      <c r="G2495" s="144" t="inlineStr">
        <is>
          <t>BLUE KENWORTH</t>
        </is>
      </c>
      <c r="H2495" s="144" t="n">
        <v>1221</v>
      </c>
      <c r="I2495" s="144" t="inlineStr">
        <is>
          <t>COMMERCIAL</t>
        </is>
      </c>
    </row>
    <row r="2496" ht="18" customHeight="1" s="7">
      <c r="A2496" s="144" t="inlineStr">
        <is>
          <t>CHARLES MARSHALL B</t>
        </is>
      </c>
      <c r="B2496" s="144" t="inlineStr">
        <is>
          <t>*053333550 GA</t>
        </is>
      </c>
      <c r="C2496" s="144" t="inlineStr">
        <is>
          <t>PPT ALBANY</t>
        </is>
      </c>
      <c r="D2496" s="144" t="n">
        <v>2294349800</v>
      </c>
      <c r="E2496" s="144" t="inlineStr">
        <is>
          <t>TOW</t>
        </is>
      </c>
      <c r="F2496" s="144" t="inlineStr">
        <is>
          <t>XZZ3334 GA</t>
        </is>
      </c>
      <c r="G2496" s="144" t="inlineStr">
        <is>
          <t>WHITE CHEVY</t>
        </is>
      </c>
      <c r="H2496" s="144" t="inlineStr">
        <is>
          <t>HOUSING</t>
        </is>
      </c>
      <c r="I2496" s="144" t="inlineStr">
        <is>
          <t>COMMERCIAL</t>
        </is>
      </c>
    </row>
    <row r="2497" ht="18" customHeight="1" s="7">
      <c r="A2497" s="144" t="inlineStr">
        <is>
          <t>JONATHAN MATHIS</t>
        </is>
      </c>
      <c r="B2497" s="144" t="inlineStr">
        <is>
          <t>*051175955 GA</t>
        </is>
      </c>
      <c r="C2497" s="144" t="inlineStr">
        <is>
          <t>KDA LOGISTIC</t>
        </is>
      </c>
      <c r="D2497" s="144" t="n">
        <v>4046189594</v>
      </c>
      <c r="E2497" s="144" t="inlineStr">
        <is>
          <t>BOX</t>
        </is>
      </c>
      <c r="F2497" s="144" t="inlineStr">
        <is>
          <t>P1294267 IL</t>
        </is>
      </c>
      <c r="G2497" s="144" t="inlineStr">
        <is>
          <t>RED KENWORTH</t>
        </is>
      </c>
      <c r="H2497" s="144" t="n">
        <v>1221</v>
      </c>
      <c r="I2497" s="144" t="inlineStr">
        <is>
          <t>COMMERCIAL</t>
        </is>
      </c>
    </row>
    <row r="2498" ht="18" customHeight="1" s="7">
      <c r="A2498" s="144" t="inlineStr">
        <is>
          <t>DON GRANT</t>
        </is>
      </c>
      <c r="B2498" s="144" t="inlineStr">
        <is>
          <t>*055292855 GA</t>
        </is>
      </c>
      <c r="C2498" s="144" t="inlineStr">
        <is>
          <t>FEDEX</t>
        </is>
      </c>
      <c r="D2498" s="144" t="n">
        <v>4044724819</v>
      </c>
      <c r="E2498" s="144" t="inlineStr">
        <is>
          <t>BOX</t>
        </is>
      </c>
      <c r="F2498" s="144" t="inlineStr">
        <is>
          <t>B809HU TN</t>
        </is>
      </c>
      <c r="G2498" s="144" t="inlineStr">
        <is>
          <t>WHITE FREIGHTLINER</t>
        </is>
      </c>
      <c r="H2498" s="144" t="n">
        <v>1221</v>
      </c>
      <c r="I2498" s="144" t="inlineStr">
        <is>
          <t>COMMERCIAL</t>
        </is>
      </c>
    </row>
    <row r="2499" ht="18" customHeight="1" s="7">
      <c r="A2499" s="144" t="inlineStr">
        <is>
          <t>SAFAROV KHUSAN</t>
        </is>
      </c>
      <c r="B2499" s="144" t="inlineStr">
        <is>
          <t>590177173 NY</t>
        </is>
      </c>
      <c r="C2499" s="144" t="inlineStr">
        <is>
          <t>BUKHARA TRANS</t>
        </is>
      </c>
      <c r="D2499" s="144" t="n">
        <v>4352004411</v>
      </c>
      <c r="E2499" s="144" t="inlineStr">
        <is>
          <t>BOX</t>
        </is>
      </c>
      <c r="F2499" s="144" t="inlineStr">
        <is>
          <t>P1144666 IL</t>
        </is>
      </c>
      <c r="G2499" s="144" t="inlineStr">
        <is>
          <t>WHITE FREIGHTLINER</t>
        </is>
      </c>
      <c r="H2499" s="144" t="n">
        <v>1221</v>
      </c>
      <c r="I2499" s="144" t="inlineStr">
        <is>
          <t>COMMERCIAL</t>
        </is>
      </c>
    </row>
    <row r="2500" ht="18" customHeight="1" s="7">
      <c r="A2500" s="144" t="inlineStr">
        <is>
          <t>FLEITA YUSLIER</t>
        </is>
      </c>
      <c r="B2500" s="144" t="inlineStr">
        <is>
          <t>F432960821100 FL</t>
        </is>
      </c>
      <c r="C2500" s="144" t="inlineStr">
        <is>
          <t>ONE WAY EXPRESS</t>
        </is>
      </c>
      <c r="D2500" s="144" t="n">
        <v>9548508340</v>
      </c>
      <c r="E2500" s="144" t="inlineStr">
        <is>
          <t>BOX</t>
        </is>
      </c>
      <c r="F2500" s="144" t="inlineStr">
        <is>
          <t>P1306307 IL</t>
        </is>
      </c>
      <c r="G2500" s="144" t="inlineStr">
        <is>
          <t>RED FREIGHTLINER</t>
        </is>
      </c>
      <c r="H2500" s="144" t="n">
        <v>1221</v>
      </c>
      <c r="I2500" s="144" t="inlineStr">
        <is>
          <t>COMMERCIAL</t>
        </is>
      </c>
    </row>
    <row r="2501" ht="18" customHeight="1" s="7">
      <c r="A2501" s="144" t="inlineStr">
        <is>
          <t>MANRIQUEZ OMAR</t>
        </is>
      </c>
      <c r="B2501" s="144" t="inlineStr">
        <is>
          <t>M56264091005 IL</t>
        </is>
      </c>
      <c r="C2501" s="144" t="inlineStr">
        <is>
          <t>KATA</t>
        </is>
      </c>
      <c r="D2501" s="144" t="n">
        <v>7087244721</v>
      </c>
      <c r="E2501" s="144" t="inlineStr">
        <is>
          <t>BOX</t>
        </is>
      </c>
      <c r="F2501" s="144" t="inlineStr">
        <is>
          <t>3612009 IN</t>
        </is>
      </c>
      <c r="G2501" s="144" t="inlineStr">
        <is>
          <t>SILVER FREIGHTLINER</t>
        </is>
      </c>
      <c r="H2501" s="144" t="n">
        <v>1221</v>
      </c>
      <c r="I2501" s="144" t="inlineStr">
        <is>
          <t>COMMERCIAL</t>
        </is>
      </c>
    </row>
    <row r="2502" ht="18" customHeight="1" s="7">
      <c r="A2502" s="144" t="inlineStr">
        <is>
          <t>CHRISTOPHER HUDSON</t>
        </is>
      </c>
      <c r="B2502" s="144" t="inlineStr">
        <is>
          <t>*051833607 GA</t>
        </is>
      </c>
      <c r="C2502" s="144" t="inlineStr">
        <is>
          <t>AIR TOUCH</t>
        </is>
      </c>
      <c r="D2502" s="144" t="n">
        <v>6784016821</v>
      </c>
      <c r="E2502" s="144" t="inlineStr">
        <is>
          <t>VAN</t>
        </is>
      </c>
      <c r="F2502" s="144" t="inlineStr">
        <is>
          <t>CPN3191 GA</t>
        </is>
      </c>
      <c r="G2502" s="144" t="inlineStr">
        <is>
          <t>WHITE FORD</t>
        </is>
      </c>
      <c r="H2502" s="144" t="n">
        <v>3600</v>
      </c>
      <c r="I2502" s="144" t="inlineStr">
        <is>
          <t>CONTRACTOR</t>
        </is>
      </c>
    </row>
    <row r="2503" ht="18" customHeight="1" s="7">
      <c r="A2503" s="144" t="inlineStr">
        <is>
          <t xml:space="preserve">DEMETRIUS JACKSON </t>
        </is>
      </c>
      <c r="B2503" s="144" t="inlineStr">
        <is>
          <t>*051053750 GA</t>
        </is>
      </c>
      <c r="C2503" s="144" t="inlineStr">
        <is>
          <t>ESS</t>
        </is>
      </c>
      <c r="D2503" s="144" t="n">
        <v>2294499921</v>
      </c>
      <c r="E2503" s="144" t="inlineStr">
        <is>
          <t>VAN</t>
        </is>
      </c>
      <c r="F2503" s="144" t="inlineStr">
        <is>
          <t>PVT2918 GA</t>
        </is>
      </c>
      <c r="G2503" s="144" t="inlineStr">
        <is>
          <t>WHITE FORD</t>
        </is>
      </c>
      <c r="H2503" s="144" t="inlineStr">
        <is>
          <t>GYM</t>
        </is>
      </c>
      <c r="I2503" s="144" t="inlineStr">
        <is>
          <t>CONTRACTOR</t>
        </is>
      </c>
    </row>
    <row r="2504" ht="18" customHeight="1" s="7">
      <c r="A2504" s="144" t="inlineStr">
        <is>
          <t>NDAZIRAMIYE SAMMY</t>
        </is>
      </c>
      <c r="B2504" s="144" t="inlineStr">
        <is>
          <t>N16865000 KY</t>
        </is>
      </c>
      <c r="C2504" s="144" t="inlineStr">
        <is>
          <t>TRANSFREIGHT SUPPORT</t>
        </is>
      </c>
      <c r="D2504" s="144" t="n">
        <v>3072569280</v>
      </c>
      <c r="E2504" s="144" t="inlineStr">
        <is>
          <t>BOX</t>
        </is>
      </c>
      <c r="F2504" s="144" t="inlineStr">
        <is>
          <t>P1243412 IL</t>
        </is>
      </c>
      <c r="G2504" s="144" t="inlineStr">
        <is>
          <t>RED KENWORTH</t>
        </is>
      </c>
      <c r="H2504" s="144" t="n">
        <v>1221</v>
      </c>
      <c r="I2504" s="144" t="inlineStr">
        <is>
          <t>COMMERCIAL</t>
        </is>
      </c>
    </row>
    <row r="2505" ht="18" customHeight="1" s="7">
      <c r="A2505" s="144" t="inlineStr">
        <is>
          <t>ODELL NATHAN</t>
        </is>
      </c>
      <c r="B2505" s="144" t="inlineStr">
        <is>
          <t>A60392023 VA</t>
        </is>
      </c>
      <c r="C2505" s="144" t="inlineStr">
        <is>
          <t xml:space="preserve">308 LOGISTIC </t>
        </is>
      </c>
      <c r="D2505" s="144" t="n">
        <v>7579680330</v>
      </c>
      <c r="E2505" s="144" t="inlineStr">
        <is>
          <t>FLAT</t>
        </is>
      </c>
      <c r="F2505" s="144" t="inlineStr">
        <is>
          <t>45879 VA</t>
        </is>
      </c>
      <c r="G2505" s="144" t="inlineStr">
        <is>
          <t>BLUE KENWORTH</t>
        </is>
      </c>
      <c r="H2505" s="144" t="n">
        <v>1221</v>
      </c>
      <c r="I2505" s="144" t="inlineStr">
        <is>
          <t>COMMERCIAL</t>
        </is>
      </c>
    </row>
    <row r="2506" ht="18" customHeight="1" s="7">
      <c r="A2506" s="144" t="inlineStr">
        <is>
          <t>FELICHA BAILEY</t>
        </is>
      </c>
      <c r="B2506" s="144" t="inlineStr">
        <is>
          <t>*002663948 GA</t>
        </is>
      </c>
      <c r="C2506" s="144" t="inlineStr">
        <is>
          <t>SOUTH WEST TRANS</t>
        </is>
      </c>
      <c r="D2506" s="144" t="n">
        <v>2294492003</v>
      </c>
      <c r="E2506" s="144" t="inlineStr">
        <is>
          <t>BUS</t>
        </is>
      </c>
      <c r="F2506" s="144" t="inlineStr">
        <is>
          <t>GV5269M GA</t>
        </is>
      </c>
      <c r="G2506" s="144" t="inlineStr">
        <is>
          <t>WHITE FORD</t>
        </is>
      </c>
      <c r="H2506" s="144" t="inlineStr">
        <is>
          <t>BASEWIDE</t>
        </is>
      </c>
      <c r="I2506" s="144" t="inlineStr">
        <is>
          <t>COMMERCIAL</t>
        </is>
      </c>
    </row>
    <row r="2507" ht="18" customHeight="1" s="7">
      <c r="A2507" s="144" t="inlineStr">
        <is>
          <t xml:space="preserve">PATRICK CANSLER </t>
        </is>
      </c>
      <c r="B2507" s="144" t="inlineStr">
        <is>
          <t>*056863856 GA</t>
        </is>
      </c>
      <c r="C2507" s="144" t="inlineStr">
        <is>
          <t>TTL</t>
        </is>
      </c>
      <c r="D2507" s="144" t="n">
        <v>2293815846</v>
      </c>
      <c r="E2507" s="144" t="inlineStr">
        <is>
          <t>PU</t>
        </is>
      </c>
      <c r="F2507" s="144" t="inlineStr">
        <is>
          <t>TGR7823 GA</t>
        </is>
      </c>
      <c r="G2507" s="144" t="inlineStr">
        <is>
          <t>WHITE TOT</t>
        </is>
      </c>
      <c r="H2507" s="144" t="n">
        <v>1330</v>
      </c>
      <c r="I2507" s="144" t="inlineStr">
        <is>
          <t>CONTRACTOR</t>
        </is>
      </c>
    </row>
    <row r="2508" ht="18" customHeight="1" s="7">
      <c r="A2508" s="144" t="inlineStr">
        <is>
          <t>HASSAN JELANI</t>
        </is>
      </c>
      <c r="B2508" s="144" t="inlineStr">
        <is>
          <t>H08736385 KY</t>
        </is>
      </c>
      <c r="C2508" s="144" t="inlineStr">
        <is>
          <t>CADCENCE LOGISTIC</t>
        </is>
      </c>
      <c r="D2508" s="144" t="n">
        <v>5023807889</v>
      </c>
      <c r="E2508" s="144" t="inlineStr">
        <is>
          <t>BOX</t>
        </is>
      </c>
      <c r="F2508" s="144" t="inlineStr">
        <is>
          <t>P1261914 IL</t>
        </is>
      </c>
      <c r="G2508" s="144" t="inlineStr">
        <is>
          <t>WHITE FREIGHTLINER</t>
        </is>
      </c>
      <c r="H2508" s="144" t="n">
        <v>1221</v>
      </c>
      <c r="I2508" s="144" t="inlineStr">
        <is>
          <t>COMMERCIAL</t>
        </is>
      </c>
    </row>
    <row r="2509" ht="18" customHeight="1" s="7">
      <c r="A2509" s="144" t="inlineStr">
        <is>
          <t>REED EARNEST</t>
        </is>
      </c>
      <c r="B2509" s="144" t="inlineStr">
        <is>
          <t>A3521593 CA</t>
        </is>
      </c>
      <c r="C2509" s="144" t="inlineStr">
        <is>
          <t>X PRO</t>
        </is>
      </c>
      <c r="D2509" s="144" t="n">
        <v>3102798302</v>
      </c>
      <c r="E2509" s="144" t="inlineStr">
        <is>
          <t>BOX</t>
        </is>
      </c>
      <c r="F2509" s="144" t="inlineStr">
        <is>
          <t>TNL527211 IL</t>
        </is>
      </c>
      <c r="G2509" s="144" t="inlineStr">
        <is>
          <t>GRAY KENWORTH</t>
        </is>
      </c>
      <c r="H2509" s="144" t="n">
        <v>1221</v>
      </c>
      <c r="I2509" s="144" t="inlineStr">
        <is>
          <t>COMMERCIAL</t>
        </is>
      </c>
    </row>
    <row r="2510" ht="18" customHeight="1" s="7">
      <c r="A2510" s="144" t="inlineStr">
        <is>
          <t>GAGE DONNELL</t>
        </is>
      </c>
      <c r="B2510" s="144" t="inlineStr">
        <is>
          <t>*056890412 GA</t>
        </is>
      </c>
      <c r="C2510" s="144" t="inlineStr">
        <is>
          <t xml:space="preserve">BENNETT </t>
        </is>
      </c>
      <c r="D2510" s="144" t="n">
        <v>2299420562</v>
      </c>
      <c r="E2510" s="144" t="inlineStr">
        <is>
          <t>FLAT</t>
        </is>
      </c>
      <c r="F2510" s="144" t="inlineStr">
        <is>
          <t>C046EM GA</t>
        </is>
      </c>
      <c r="G2510" s="144" t="inlineStr">
        <is>
          <t>BLUE INTERNATIONAL</t>
        </is>
      </c>
      <c r="H2510" s="144" t="inlineStr">
        <is>
          <t>GATE 15</t>
        </is>
      </c>
      <c r="I2510" s="144" t="inlineStr">
        <is>
          <t>COMMERCIAL</t>
        </is>
      </c>
    </row>
    <row r="2511" ht="18" customHeight="1" s="7">
      <c r="A2511" s="144" t="inlineStr">
        <is>
          <t>MELISSA CAETANO</t>
        </is>
      </c>
      <c r="B2511" s="144" t="inlineStr">
        <is>
          <t>M078333002 MO</t>
        </is>
      </c>
      <c r="C2511" s="144" t="inlineStr">
        <is>
          <t>LANDSTAR</t>
        </is>
      </c>
      <c r="D2511" s="144" t="n">
        <v>4177183892</v>
      </c>
      <c r="E2511" s="144" t="inlineStr">
        <is>
          <t>BOX</t>
        </is>
      </c>
      <c r="F2511" s="144" t="inlineStr">
        <is>
          <t>3619513 IN</t>
        </is>
      </c>
      <c r="G2511" s="144" t="inlineStr">
        <is>
          <t>PURPLE WS</t>
        </is>
      </c>
      <c r="H2511" s="144" t="n">
        <v>1221</v>
      </c>
      <c r="I2511" s="144" t="inlineStr">
        <is>
          <t>COMMERCIAL</t>
        </is>
      </c>
    </row>
    <row r="2512" ht="18" customHeight="1" s="7">
      <c r="A2512" s="144" t="inlineStr">
        <is>
          <t>RAINIER ROJAS</t>
        </is>
      </c>
      <c r="B2512" s="144" t="inlineStr">
        <is>
          <t>R14541510 KY</t>
        </is>
      </c>
      <c r="C2512" s="144" t="inlineStr">
        <is>
          <t>AMA LOGISTICS</t>
        </is>
      </c>
      <c r="D2512" s="144" t="n">
        <v>5025728317</v>
      </c>
      <c r="E2512" s="144" t="inlineStr">
        <is>
          <t>BOX</t>
        </is>
      </c>
      <c r="F2512" s="144" t="inlineStr">
        <is>
          <t>010323A KY</t>
        </is>
      </c>
      <c r="G2512" s="144" t="inlineStr">
        <is>
          <t>YELLOW FREIGHTLINER</t>
        </is>
      </c>
      <c r="H2512" s="144" t="n">
        <v>1221</v>
      </c>
      <c r="I2512" s="144" t="inlineStr">
        <is>
          <t>COMMERCIAL</t>
        </is>
      </c>
    </row>
    <row r="2513" ht="18" customHeight="1" s="7">
      <c r="A2513" s="144" t="inlineStr">
        <is>
          <t>ALI AHMED FARAH</t>
        </is>
      </c>
      <c r="B2513" s="144" t="inlineStr">
        <is>
          <t>UK904324 OH</t>
        </is>
      </c>
      <c r="C2513" s="144" t="inlineStr">
        <is>
          <t>RELAXED LOGIST</t>
        </is>
      </c>
      <c r="D2513" s="144" t="n">
        <v>6148865506</v>
      </c>
      <c r="E2513" s="144" t="inlineStr">
        <is>
          <t>BOX</t>
        </is>
      </c>
      <c r="F2513" s="144" t="inlineStr">
        <is>
          <t>PYZ6201 OH</t>
        </is>
      </c>
      <c r="G2513" s="144" t="inlineStr">
        <is>
          <t>WHITE VOLVO</t>
        </is>
      </c>
      <c r="H2513" s="144" t="n">
        <v>1360</v>
      </c>
      <c r="I2513" s="144" t="inlineStr">
        <is>
          <t>COMMERCIAL</t>
        </is>
      </c>
    </row>
    <row r="2514" ht="18" customHeight="1" s="7">
      <c r="A2514" s="144" t="inlineStr">
        <is>
          <t>TORRES CHRISTIAN</t>
        </is>
      </c>
      <c r="B2514" s="144" t="inlineStr">
        <is>
          <t>*061220311 GA</t>
        </is>
      </c>
      <c r="C2514" s="144" t="inlineStr">
        <is>
          <t>ATLANTA GLASS</t>
        </is>
      </c>
      <c r="D2514" s="144" t="n">
        <v>7708409566</v>
      </c>
      <c r="E2514" s="144" t="inlineStr">
        <is>
          <t>PU</t>
        </is>
      </c>
      <c r="F2514" s="144" t="inlineStr">
        <is>
          <t>SFL1507 GA</t>
        </is>
      </c>
      <c r="G2514" s="144" t="inlineStr">
        <is>
          <t>WHITE CHEVY</t>
        </is>
      </c>
      <c r="H2514" s="144" t="n">
        <v>7500</v>
      </c>
      <c r="I2514" s="144" t="inlineStr">
        <is>
          <t>CONTRACTOR</t>
        </is>
      </c>
    </row>
    <row r="2515" ht="18" customHeight="1" s="7">
      <c r="A2515" s="144" t="inlineStr">
        <is>
          <t>DAVID THOMAS</t>
        </is>
      </c>
      <c r="B2515" s="144" t="inlineStr">
        <is>
          <t>*051296485 GA</t>
        </is>
      </c>
      <c r="C2515" s="144" t="inlineStr">
        <is>
          <t>SOUTH WEST TRANS</t>
        </is>
      </c>
      <c r="D2515" s="144" t="n">
        <v>6788363288</v>
      </c>
      <c r="E2515" s="144" t="inlineStr">
        <is>
          <t>BUS</t>
        </is>
      </c>
      <c r="F2515" s="144" t="inlineStr">
        <is>
          <t>GV0279L GA</t>
        </is>
      </c>
      <c r="G2515" s="144" t="inlineStr">
        <is>
          <t>WHITE FORD</t>
        </is>
      </c>
      <c r="H2515" s="144" t="inlineStr">
        <is>
          <t>BASEWIDE</t>
        </is>
      </c>
      <c r="I2515" s="144" t="inlineStr">
        <is>
          <t>COMMERCIAL</t>
        </is>
      </c>
    </row>
    <row r="2516" ht="18" customHeight="1" s="7">
      <c r="A2516" s="144" t="inlineStr">
        <is>
          <t>TAMAYA PETTY</t>
        </is>
      </c>
      <c r="B2516" s="144" t="inlineStr">
        <is>
          <t>*052642137 GA</t>
        </is>
      </c>
      <c r="C2516" s="144" t="inlineStr">
        <is>
          <t>MHS</t>
        </is>
      </c>
      <c r="D2516" s="144" t="n">
        <v>6789992199</v>
      </c>
      <c r="E2516" s="144" t="inlineStr">
        <is>
          <t>PU</t>
        </is>
      </c>
      <c r="F2516" s="144" t="inlineStr">
        <is>
          <t>RBY5796 GA</t>
        </is>
      </c>
      <c r="G2516" s="144" t="inlineStr">
        <is>
          <t>WHITE DODGE</t>
        </is>
      </c>
      <c r="H2516" s="144" t="n">
        <v>2200</v>
      </c>
      <c r="I2516" s="144" t="inlineStr">
        <is>
          <t>CONTRACTOR</t>
        </is>
      </c>
    </row>
    <row r="2517" ht="18" customHeight="1" s="7">
      <c r="A2517" s="144" t="inlineStr">
        <is>
          <t>MAKSIMOVIC VELIMIR</t>
        </is>
      </c>
      <c r="B2517" s="144" t="inlineStr">
        <is>
          <t>M25186060117 IL</t>
        </is>
      </c>
      <c r="C2517" s="144" t="inlineStr">
        <is>
          <t>EXIT FREIGHT</t>
        </is>
      </c>
      <c r="D2517" s="144" t="n">
        <v>7085719729</v>
      </c>
      <c r="E2517" s="144" t="inlineStr">
        <is>
          <t>BOX</t>
        </is>
      </c>
      <c r="F2517" s="144" t="inlineStr">
        <is>
          <t>P1300725 IL</t>
        </is>
      </c>
      <c r="G2517" s="144" t="inlineStr">
        <is>
          <t>RED VOLVO</t>
        </is>
      </c>
      <c r="H2517" s="144" t="n">
        <v>1221</v>
      </c>
      <c r="I2517" s="144" t="inlineStr">
        <is>
          <t>COMMERCIAL</t>
        </is>
      </c>
    </row>
    <row r="2518" ht="18" customHeight="1" s="7">
      <c r="A2518" s="144" t="inlineStr">
        <is>
          <t>THOMAS SAMUEL</t>
        </is>
      </c>
      <c r="B2518" s="144" t="inlineStr">
        <is>
          <t>26248722 PA</t>
        </is>
      </c>
      <c r="C2518" s="144" t="inlineStr">
        <is>
          <t>STRAP AND TOW LCC</t>
        </is>
      </c>
      <c r="D2518" s="144" t="n">
        <v>6104709070</v>
      </c>
      <c r="E2518" s="144" t="inlineStr">
        <is>
          <t>PU</t>
        </is>
      </c>
      <c r="F2518" s="144" t="inlineStr">
        <is>
          <t>AH65105 PA</t>
        </is>
      </c>
      <c r="G2518" s="144" t="inlineStr">
        <is>
          <t>BLUE CHEV</t>
        </is>
      </c>
      <c r="H2518" s="144" t="n">
        <v>1221</v>
      </c>
      <c r="I2518" s="144" t="inlineStr">
        <is>
          <t>CONTRACTOR</t>
        </is>
      </c>
    </row>
    <row r="2519" ht="18" customHeight="1" s="7">
      <c r="A2519" s="144" t="inlineStr">
        <is>
          <t>PETRU MUSCINSCHI</t>
        </is>
      </c>
      <c r="B2519" s="144" t="inlineStr">
        <is>
          <t>M252660953650 FL</t>
        </is>
      </c>
      <c r="C2519" s="144" t="inlineStr">
        <is>
          <t>CLICK EXPRESS</t>
        </is>
      </c>
      <c r="D2519" s="144" t="n">
        <v>3055271091</v>
      </c>
      <c r="E2519" s="144" t="inlineStr">
        <is>
          <t>BOX</t>
        </is>
      </c>
      <c r="F2519" s="144" t="inlineStr">
        <is>
          <t>DF35CI FL</t>
        </is>
      </c>
      <c r="G2519" s="144" t="inlineStr">
        <is>
          <t>ORANGE INTER</t>
        </is>
      </c>
      <c r="H2519" s="144" t="n">
        <v>1221</v>
      </c>
      <c r="I2519" s="144" t="inlineStr">
        <is>
          <t>COMMERICAL</t>
        </is>
      </c>
    </row>
    <row r="2520" ht="18" customHeight="1" s="7">
      <c r="A2520" s="144" t="inlineStr">
        <is>
          <t>JOSEPH HINDS</t>
        </is>
      </c>
      <c r="B2520" s="144" t="n">
        <v>6290159029</v>
      </c>
      <c r="C2520" s="144" t="inlineStr">
        <is>
          <t>RJ TRUCKING</t>
        </is>
      </c>
      <c r="D2520" s="144" t="n">
        <v>5026392405</v>
      </c>
      <c r="E2520" s="144" t="inlineStr">
        <is>
          <t>BOX</t>
        </is>
      </c>
      <c r="F2520" s="144" t="inlineStr">
        <is>
          <t>3827459 IN</t>
        </is>
      </c>
      <c r="G2520" s="144" t="inlineStr">
        <is>
          <t>WHITE VOLVO</t>
        </is>
      </c>
      <c r="H2520" s="144" t="n">
        <v>1221</v>
      </c>
      <c r="I2520" s="144" t="inlineStr">
        <is>
          <t>COMMERICAL</t>
        </is>
      </c>
    </row>
    <row r="2521" ht="18" customHeight="1" s="7">
      <c r="A2521" s="144" t="inlineStr">
        <is>
          <t>DERRAG YOUSSEF</t>
        </is>
      </c>
      <c r="B2521" s="144" t="inlineStr">
        <is>
          <t>C60049147 VA</t>
        </is>
      </c>
      <c r="C2521" s="144" t="inlineStr">
        <is>
          <t>IDS TRANSPORT</t>
        </is>
      </c>
      <c r="D2521" s="144" t="n">
        <v>2244071864</v>
      </c>
      <c r="E2521" s="144" t="inlineStr">
        <is>
          <t>BOX</t>
        </is>
      </c>
      <c r="F2521" s="144" t="inlineStr">
        <is>
          <t>RP13466 WA</t>
        </is>
      </c>
      <c r="G2521" s="144" t="inlineStr">
        <is>
          <t>WHITE KENWORTH</t>
        </is>
      </c>
      <c r="H2521" s="144" t="n">
        <v>1221</v>
      </c>
      <c r="I2521" s="144" t="inlineStr">
        <is>
          <t>COMMERICAL</t>
        </is>
      </c>
    </row>
    <row r="2522" ht="18" customHeight="1" s="7">
      <c r="A2522" s="144" t="inlineStr">
        <is>
          <t xml:space="preserve"> NORMAN TRUELOVE </t>
        </is>
      </c>
      <c r="B2522" s="144" t="inlineStr">
        <is>
          <t>64163262296 IL</t>
        </is>
      </c>
      <c r="C2522" s="144" t="inlineStr">
        <is>
          <t>TRUE LOVE FAMILY</t>
        </is>
      </c>
      <c r="D2522" s="144" t="n">
        <v>2175491411</v>
      </c>
      <c r="E2522" s="144" t="inlineStr">
        <is>
          <t>BOX</t>
        </is>
      </c>
      <c r="F2522" s="144" t="inlineStr">
        <is>
          <t>PP114318 IL</t>
        </is>
      </c>
      <c r="G2522" s="144" t="inlineStr">
        <is>
          <t>BLACK MACK</t>
        </is>
      </c>
      <c r="H2522" s="144" t="n">
        <v>1221</v>
      </c>
      <c r="I2522" s="144" t="inlineStr">
        <is>
          <t>COMMERICAL</t>
        </is>
      </c>
    </row>
    <row r="2523" ht="18" customHeight="1" s="7">
      <c r="A2523" s="144" t="inlineStr">
        <is>
          <t>RONNIE EVANS</t>
        </is>
      </c>
      <c r="B2523" s="144" t="inlineStr">
        <is>
          <t>071060342 GA</t>
        </is>
      </c>
      <c r="C2523" s="144" t="inlineStr">
        <is>
          <t>LANDSTAR</t>
        </is>
      </c>
      <c r="D2523" s="144" t="n">
        <v>3863150102</v>
      </c>
      <c r="E2523" s="144" t="inlineStr">
        <is>
          <t>FLAT</t>
        </is>
      </c>
      <c r="F2523" s="144" t="inlineStr">
        <is>
          <t>P276CL GA</t>
        </is>
      </c>
      <c r="G2523" s="144" t="inlineStr">
        <is>
          <t>ORANGE FREIGHTLINER</t>
        </is>
      </c>
      <c r="H2523" s="144" t="n">
        <v>1221</v>
      </c>
      <c r="I2523" s="144" t="inlineStr">
        <is>
          <t>COMMERICAL</t>
        </is>
      </c>
    </row>
    <row r="2524" ht="18" customHeight="1" s="7">
      <c r="A2524" s="144" t="inlineStr">
        <is>
          <t>JOSHUA JANES</t>
        </is>
      </c>
      <c r="B2524" s="144" t="inlineStr">
        <is>
          <t>054301493 GA</t>
        </is>
      </c>
      <c r="C2524" s="144" t="inlineStr">
        <is>
          <t>SOUTHWAY</t>
        </is>
      </c>
      <c r="D2524" s="144" t="n">
        <v>229434444</v>
      </c>
      <c r="E2524" s="144" t="inlineStr">
        <is>
          <t>PU</t>
        </is>
      </c>
      <c r="F2524" s="144" t="inlineStr">
        <is>
          <t>MLY7954 TX</t>
        </is>
      </c>
      <c r="G2524" s="144" t="inlineStr">
        <is>
          <t>WHITE FORD</t>
        </is>
      </c>
      <c r="H2524" s="144" t="inlineStr">
        <is>
          <t xml:space="preserve">GATE 15 </t>
        </is>
      </c>
      <c r="I2524" s="144" t="inlineStr">
        <is>
          <t>CONTRACTOR</t>
        </is>
      </c>
    </row>
    <row r="2525" ht="18" customHeight="1" s="7">
      <c r="A2525" s="144" t="inlineStr">
        <is>
          <t>KENT EDWARDS</t>
        </is>
      </c>
      <c r="B2525" s="144" t="inlineStr">
        <is>
          <t>055325856 GA</t>
        </is>
      </c>
      <c r="C2525" s="144" t="inlineStr">
        <is>
          <t>LOWES</t>
        </is>
      </c>
      <c r="D2525" s="144" t="n">
        <v>2295893698</v>
      </c>
      <c r="E2525" s="144" t="inlineStr">
        <is>
          <t>BOX</t>
        </is>
      </c>
      <c r="F2525" s="144" t="inlineStr">
        <is>
          <t>3260795 IN</t>
        </is>
      </c>
      <c r="G2525" s="144" t="inlineStr">
        <is>
          <t>WHITE PENSKE</t>
        </is>
      </c>
      <c r="H2525" s="144" t="n">
        <v>5651</v>
      </c>
      <c r="I2525" s="144" t="inlineStr">
        <is>
          <t>CONTRACTOR</t>
        </is>
      </c>
    </row>
    <row r="2526" ht="18" customHeight="1" s="7">
      <c r="A2526" s="144" t="inlineStr">
        <is>
          <t>KYRON WALKER</t>
        </is>
      </c>
      <c r="B2526" s="144" t="inlineStr">
        <is>
          <t>W234041734000 FL</t>
        </is>
      </c>
      <c r="C2526" s="144" t="inlineStr">
        <is>
          <t>NT SOLUTIONS</t>
        </is>
      </c>
      <c r="D2526" s="144" t="n">
        <v>8507033901</v>
      </c>
      <c r="E2526" s="144" t="inlineStr">
        <is>
          <t>BOX</t>
        </is>
      </c>
      <c r="F2526" s="144" t="inlineStr">
        <is>
          <t>P1229539 IL</t>
        </is>
      </c>
      <c r="G2526" s="144" t="inlineStr">
        <is>
          <t>GREY CASCADIA</t>
        </is>
      </c>
      <c r="H2526" s="144" t="n">
        <v>1221</v>
      </c>
      <c r="I2526" s="144" t="inlineStr">
        <is>
          <t>COMMERICAL</t>
        </is>
      </c>
    </row>
    <row r="2527" ht="18" customHeight="1" s="7">
      <c r="A2527" s="144" t="inlineStr">
        <is>
          <t>ANDRE MCMILLAN</t>
        </is>
      </c>
      <c r="B2527" s="144" t="inlineStr">
        <is>
          <t>*056206000 GA</t>
        </is>
      </c>
      <c r="C2527" s="144" t="inlineStr">
        <is>
          <t>SANERA</t>
        </is>
      </c>
      <c r="D2527" s="144" t="n">
        <v>7065715805</v>
      </c>
      <c r="E2527" s="144" t="inlineStr">
        <is>
          <t>BOX</t>
        </is>
      </c>
      <c r="F2527" s="144" t="inlineStr">
        <is>
          <t>3209804 IN</t>
        </is>
      </c>
      <c r="G2527" s="144" t="inlineStr">
        <is>
          <t>WHITE INTER</t>
        </is>
      </c>
      <c r="H2527" s="144" t="n">
        <v>7130</v>
      </c>
      <c r="I2527" s="144" t="inlineStr">
        <is>
          <t>COMMERCIAL</t>
        </is>
      </c>
    </row>
    <row r="2528" ht="18" customHeight="1" s="7">
      <c r="A2528" s="144" t="inlineStr">
        <is>
          <t>BRANDON SHANER</t>
        </is>
      </c>
      <c r="B2528" s="144" t="inlineStr">
        <is>
          <t>058927202 GA</t>
        </is>
      </c>
      <c r="C2528" s="144" t="inlineStr">
        <is>
          <t xml:space="preserve">TURNER'S </t>
        </is>
      </c>
      <c r="D2528" s="144" t="n">
        <v>2296032171</v>
      </c>
      <c r="E2528" s="144" t="inlineStr">
        <is>
          <t>BOX</t>
        </is>
      </c>
      <c r="F2528" s="144" t="inlineStr">
        <is>
          <t>3758427 IN</t>
        </is>
      </c>
      <c r="G2528" s="144" t="inlineStr">
        <is>
          <t>GREEN FREIGHTLINER</t>
        </is>
      </c>
      <c r="H2528" s="144" t="inlineStr">
        <is>
          <t>HOUSING</t>
        </is>
      </c>
      <c r="I2528" s="144" t="inlineStr">
        <is>
          <t>COMMERICAL</t>
        </is>
      </c>
    </row>
    <row r="2529" ht="18" customHeight="1" s="7">
      <c r="A2529" s="144" t="inlineStr">
        <is>
          <t>ABDI MOHAMED</t>
        </is>
      </c>
      <c r="B2529" s="144" t="inlineStr">
        <is>
          <t>S229124302413 MI</t>
        </is>
      </c>
      <c r="C2529" s="144" t="inlineStr">
        <is>
          <t>KORNEL TRANS</t>
        </is>
      </c>
      <c r="D2529" s="144" t="n">
        <v>3202233011</v>
      </c>
      <c r="E2529" s="144" t="inlineStr">
        <is>
          <t>BOX</t>
        </is>
      </c>
      <c r="F2529" s="144" t="inlineStr">
        <is>
          <t>902727 WI</t>
        </is>
      </c>
      <c r="G2529" s="144" t="inlineStr">
        <is>
          <t>GREY FREIGHTLINER</t>
        </is>
      </c>
      <c r="H2529" s="144" t="n">
        <v>1221</v>
      </c>
      <c r="I2529" s="144" t="inlineStr">
        <is>
          <t>COMMERICAL</t>
        </is>
      </c>
    </row>
    <row r="2530" ht="18" customHeight="1" s="7">
      <c r="A2530" s="144" t="inlineStr">
        <is>
          <t>AMY JENKINS</t>
        </is>
      </c>
      <c r="B2530" s="144" t="inlineStr">
        <is>
          <t>J12341400 KY</t>
        </is>
      </c>
      <c r="C2530" s="144" t="inlineStr">
        <is>
          <t>AVALON</t>
        </is>
      </c>
      <c r="D2530" s="144" t="n">
        <v>6063696475</v>
      </c>
      <c r="E2530" s="144" t="inlineStr">
        <is>
          <t>BOX</t>
        </is>
      </c>
      <c r="F2530" s="144" t="inlineStr">
        <is>
          <t>004730A KY</t>
        </is>
      </c>
      <c r="G2530" s="144" t="inlineStr">
        <is>
          <t>GREY FREIGHTLINER</t>
        </is>
      </c>
      <c r="H2530" s="144" t="n">
        <v>1260</v>
      </c>
      <c r="I2530" s="144" t="inlineStr">
        <is>
          <t>COMMERICAL</t>
        </is>
      </c>
    </row>
    <row r="2531" ht="18" customHeight="1" s="7">
      <c r="A2531" s="144" t="inlineStr">
        <is>
          <t>CODY ELSASSER</t>
        </is>
      </c>
      <c r="B2531" s="144" t="inlineStr">
        <is>
          <t>057905606 GA</t>
        </is>
      </c>
      <c r="C2531" s="144" t="inlineStr">
        <is>
          <t>MEDIACOM</t>
        </is>
      </c>
      <c r="D2531" s="144" t="n">
        <v>2293131909</v>
      </c>
      <c r="E2531" s="144" t="inlineStr">
        <is>
          <t>VAN</t>
        </is>
      </c>
      <c r="F2531" s="144" t="inlineStr">
        <is>
          <t>SJB3535 GA</t>
        </is>
      </c>
      <c r="G2531" s="144" t="inlineStr">
        <is>
          <t>WHITE FORD</t>
        </is>
      </c>
      <c r="H2531" s="144" t="n">
        <v>7500</v>
      </c>
      <c r="I2531" s="144" t="inlineStr">
        <is>
          <t>CONTRACTOR</t>
        </is>
      </c>
    </row>
    <row r="2532" ht="18" customHeight="1" s="7">
      <c r="A2532" s="144" t="inlineStr">
        <is>
          <t>IGOR IVANYUTIN</t>
        </is>
      </c>
      <c r="B2532" s="144" t="inlineStr">
        <is>
          <t>26707057 PA</t>
        </is>
      </c>
      <c r="C2532" s="144" t="inlineStr">
        <is>
          <t>LUXTON</t>
        </is>
      </c>
      <c r="D2532" s="144" t="n">
        <v>7174481681</v>
      </c>
      <c r="E2532" s="144" t="inlineStr">
        <is>
          <t>BOX</t>
        </is>
      </c>
      <c r="F2532" s="144" t="inlineStr">
        <is>
          <t>AH45233 PA</t>
        </is>
      </c>
      <c r="G2532" s="144" t="inlineStr">
        <is>
          <t>GREY FREIGHTLINER</t>
        </is>
      </c>
      <c r="H2532" s="144" t="n">
        <v>1221</v>
      </c>
      <c r="I2532" s="144" t="inlineStr">
        <is>
          <t>COMMERICAL</t>
        </is>
      </c>
    </row>
    <row r="2533" ht="18" customHeight="1" s="7">
      <c r="A2533" s="144" t="inlineStr">
        <is>
          <t>ASH JAMES</t>
        </is>
      </c>
      <c r="B2533" s="144" t="inlineStr">
        <is>
          <t>000030442529 NC</t>
        </is>
      </c>
      <c r="C2533" s="144" t="inlineStr">
        <is>
          <t>NEOMIA FAMILY</t>
        </is>
      </c>
      <c r="D2533" s="144" t="n">
        <v>9108805290</v>
      </c>
      <c r="E2533" s="144" t="inlineStr">
        <is>
          <t>FLAT</t>
        </is>
      </c>
      <c r="F2533" s="144" t="inlineStr">
        <is>
          <t>VT6398NC</t>
        </is>
      </c>
      <c r="G2533" s="144" t="inlineStr">
        <is>
          <t>RED PETERBILT</t>
        </is>
      </c>
      <c r="H2533" s="144" t="n">
        <v>1221</v>
      </c>
      <c r="I2533" s="144" t="inlineStr">
        <is>
          <t>COMMERICAL</t>
        </is>
      </c>
    </row>
    <row r="2534" ht="18" customHeight="1" s="7">
      <c r="A2534" s="144" t="inlineStr">
        <is>
          <t>GANIEV DONIYOR</t>
        </is>
      </c>
      <c r="B2534" s="144" t="inlineStr">
        <is>
          <t>33111355 PA</t>
        </is>
      </c>
      <c r="C2534" s="144" t="inlineStr">
        <is>
          <t>ARTUR LOGIST</t>
        </is>
      </c>
      <c r="D2534" s="144" t="n">
        <v>2257191989</v>
      </c>
      <c r="E2534" s="144" t="inlineStr">
        <is>
          <t>BOX</t>
        </is>
      </c>
      <c r="F2534" s="144" t="inlineStr">
        <is>
          <t>AH57847 PA</t>
        </is>
      </c>
      <c r="G2534" s="144" t="inlineStr">
        <is>
          <t>BLUE KW</t>
        </is>
      </c>
      <c r="H2534" s="144" t="n">
        <v>1221</v>
      </c>
      <c r="I2534" s="144" t="inlineStr">
        <is>
          <t>COMMERCIAL</t>
        </is>
      </c>
    </row>
    <row r="2535" ht="18" customHeight="1" s="7">
      <c r="A2535" s="144" t="inlineStr">
        <is>
          <t>DMITRII POLTAVTSEV</t>
        </is>
      </c>
      <c r="B2535" s="144" t="inlineStr">
        <is>
          <t>48933607 TX</t>
        </is>
      </c>
      <c r="C2535" s="144" t="inlineStr">
        <is>
          <t>SUNRAY EXPRESS</t>
        </is>
      </c>
      <c r="D2535" s="144" t="n">
        <v>9038202222</v>
      </c>
      <c r="E2535" s="144" t="inlineStr">
        <is>
          <t>FLAT</t>
        </is>
      </c>
      <c r="F2535" s="144" t="inlineStr">
        <is>
          <t>P1237600 IL</t>
        </is>
      </c>
      <c r="G2535" s="144" t="inlineStr">
        <is>
          <t>GRAY FREIGHT</t>
        </is>
      </c>
      <c r="H2535" s="144" t="n">
        <v>1221</v>
      </c>
      <c r="I2535" s="144" t="inlineStr">
        <is>
          <t>COMMERCIAL</t>
        </is>
      </c>
    </row>
    <row r="2536" ht="18" customHeight="1" s="7">
      <c r="A2536" s="144" t="inlineStr">
        <is>
          <t>NATHAN WOODS</t>
        </is>
      </c>
      <c r="B2536" s="144" t="inlineStr">
        <is>
          <t>*061070163 GA</t>
        </is>
      </c>
      <c r="C2536" s="144" t="inlineStr">
        <is>
          <t>COCA COLA</t>
        </is>
      </c>
      <c r="D2536" s="144" t="n">
        <v>2294720465</v>
      </c>
      <c r="E2536" s="144" t="inlineStr">
        <is>
          <t>BOX</t>
        </is>
      </c>
      <c r="F2536" s="144" t="inlineStr">
        <is>
          <t>P683CL GA</t>
        </is>
      </c>
      <c r="G2536" s="144" t="inlineStr">
        <is>
          <t>RED INTERNATIONAL</t>
        </is>
      </c>
      <c r="H2536" s="144" t="n">
        <v>7450</v>
      </c>
      <c r="I2536" s="144" t="inlineStr">
        <is>
          <t>COMMERCIAL</t>
        </is>
      </c>
    </row>
    <row r="2537" ht="18" customHeight="1" s="7">
      <c r="A2537" s="144" t="inlineStr">
        <is>
          <t>DAVID DOUTHIT</t>
        </is>
      </c>
      <c r="B2537" s="144" t="inlineStr">
        <is>
          <t>*056617026 GA</t>
        </is>
      </c>
      <c r="C2537" s="144" t="inlineStr">
        <is>
          <t>SAFE AIR</t>
        </is>
      </c>
      <c r="D2537" s="144" t="n">
        <v>2298835100</v>
      </c>
      <c r="E2537" s="144" t="inlineStr">
        <is>
          <t>PU</t>
        </is>
      </c>
      <c r="F2537" s="144" t="inlineStr">
        <is>
          <t>PHD4384 GA</t>
        </is>
      </c>
      <c r="G2537" s="144" t="inlineStr">
        <is>
          <t>WHITE FORD</t>
        </is>
      </c>
      <c r="H2537" s="144" t="inlineStr">
        <is>
          <t>K9</t>
        </is>
      </c>
      <c r="I2537" s="144" t="inlineStr">
        <is>
          <t>CONTRACTOR</t>
        </is>
      </c>
    </row>
    <row r="2538" ht="18" customHeight="1" s="7">
      <c r="A2538" s="144" t="inlineStr">
        <is>
          <t>DAUD MOHAMED</t>
        </is>
      </c>
      <c r="B2538" s="144" t="inlineStr">
        <is>
          <t>943AA1462 IO</t>
        </is>
      </c>
      <c r="C2538" s="144" t="inlineStr">
        <is>
          <t>NEP TRUCKING</t>
        </is>
      </c>
      <c r="D2538" s="144" t="n">
        <v>5152500923</v>
      </c>
      <c r="E2538" s="144" t="inlineStr">
        <is>
          <t>BOX</t>
        </is>
      </c>
      <c r="F2538" s="144" t="inlineStr">
        <is>
          <t>LR0728  IO</t>
        </is>
      </c>
      <c r="G2538" s="144" t="inlineStr">
        <is>
          <t>WHITE FREIGHTLINER</t>
        </is>
      </c>
      <c r="H2538" s="144" t="inlineStr">
        <is>
          <t>HOUSING</t>
        </is>
      </c>
      <c r="I2538" s="144" t="inlineStr">
        <is>
          <t>COMMERCIAL</t>
        </is>
      </c>
    </row>
    <row r="2539" ht="18" customHeight="1" s="7">
      <c r="A2539" s="144" t="inlineStr">
        <is>
          <t>DANNY BROWN</t>
        </is>
      </c>
      <c r="B2539" s="144" t="inlineStr">
        <is>
          <t>*054299170 GA</t>
        </is>
      </c>
      <c r="C2539" s="144" t="inlineStr">
        <is>
          <t>POPHAM</t>
        </is>
      </c>
      <c r="D2539" s="144" t="n">
        <v>2298947447</v>
      </c>
      <c r="E2539" s="144" t="inlineStr">
        <is>
          <t>PU</t>
        </is>
      </c>
      <c r="F2539" s="144" t="inlineStr">
        <is>
          <t>PLJ4013 GA</t>
        </is>
      </c>
      <c r="G2539" s="144" t="inlineStr">
        <is>
          <t>WHITE FORD</t>
        </is>
      </c>
      <c r="H2539" s="144" t="inlineStr">
        <is>
          <t>WTP</t>
        </is>
      </c>
      <c r="I2539" s="144" t="inlineStr">
        <is>
          <t>CONTRACTOR</t>
        </is>
      </c>
    </row>
    <row r="2540" ht="18" customHeight="1" s="7">
      <c r="A2540" s="144" t="inlineStr">
        <is>
          <t>WILLIAM PRESCOTT</t>
        </is>
      </c>
      <c r="B2540" s="144" t="inlineStr">
        <is>
          <t>P623936750450 FL</t>
        </is>
      </c>
      <c r="C2540" s="144" t="inlineStr">
        <is>
          <t>LANDSTAR</t>
        </is>
      </c>
      <c r="D2540" s="144" t="n">
        <v>3868671042</v>
      </c>
      <c r="E2540" s="144" t="inlineStr">
        <is>
          <t>BOX</t>
        </is>
      </c>
      <c r="F2540" s="144" t="inlineStr">
        <is>
          <t>3619541 IN</t>
        </is>
      </c>
      <c r="G2540" s="144" t="inlineStr">
        <is>
          <t>WHITE FREIGHTLINER</t>
        </is>
      </c>
      <c r="H2540" s="144" t="n">
        <v>1221</v>
      </c>
      <c r="I2540" s="144" t="inlineStr">
        <is>
          <t>COMMERCIAL</t>
        </is>
      </c>
    </row>
    <row r="2541" ht="18" customHeight="1" s="7">
      <c r="A2541" s="144" t="inlineStr">
        <is>
          <t>BAYYAC MOHAMED</t>
        </is>
      </c>
      <c r="B2541" s="144" t="inlineStr">
        <is>
          <t>C543093637012 MN</t>
        </is>
      </c>
      <c r="C2541" s="144" t="inlineStr">
        <is>
          <t>FIRST TRANS</t>
        </is>
      </c>
      <c r="D2541" s="144" t="n">
        <v>6307962343</v>
      </c>
      <c r="E2541" s="144" t="inlineStr">
        <is>
          <t>BOX</t>
        </is>
      </c>
      <c r="F2541" s="144" t="inlineStr">
        <is>
          <t>P1302428 IL</t>
        </is>
      </c>
      <c r="G2541" s="144" t="inlineStr">
        <is>
          <t>WHITE INTERNATIONAL</t>
        </is>
      </c>
      <c r="H2541" s="144" t="n">
        <v>1221</v>
      </c>
      <c r="I2541" s="144" t="inlineStr">
        <is>
          <t>COMMERCIAL</t>
        </is>
      </c>
    </row>
    <row r="2542" ht="18" customHeight="1" s="7">
      <c r="A2542" s="144" t="inlineStr">
        <is>
          <t>MAHBOOB ALAM</t>
        </is>
      </c>
      <c r="B2542" s="144" t="inlineStr">
        <is>
          <t>F5703294 CA</t>
        </is>
      </c>
      <c r="C2542" s="144" t="inlineStr">
        <is>
          <t>INTER AMERICAN</t>
        </is>
      </c>
      <c r="D2542" s="144" t="n">
        <v>9094857684</v>
      </c>
      <c r="E2542" s="144" t="inlineStr">
        <is>
          <t>BOX</t>
        </is>
      </c>
      <c r="F2542" s="144" t="inlineStr">
        <is>
          <t>ZP04785 CA</t>
        </is>
      </c>
      <c r="G2542" s="144" t="inlineStr">
        <is>
          <t>WHITE FREIGHTLINER</t>
        </is>
      </c>
      <c r="H2542" s="144" t="n">
        <v>1221</v>
      </c>
      <c r="I2542" s="144" t="inlineStr">
        <is>
          <t>COMMERCIAL</t>
        </is>
      </c>
    </row>
    <row r="2543" ht="18" customHeight="1" s="7">
      <c r="A2543" s="144" t="inlineStr">
        <is>
          <t>ROBERT WOOD</t>
        </is>
      </c>
      <c r="B2543" s="144" t="inlineStr">
        <is>
          <t>*056012603 GA</t>
        </is>
      </c>
      <c r="C2543" s="144" t="inlineStr">
        <is>
          <t xml:space="preserve">PIEPER </t>
        </is>
      </c>
      <c r="D2543" s="144" t="n">
        <v>2298862949</v>
      </c>
      <c r="E2543" s="144" t="inlineStr">
        <is>
          <t>PU</t>
        </is>
      </c>
      <c r="F2543" s="144" t="inlineStr">
        <is>
          <t>RCI0898 GA</t>
        </is>
      </c>
      <c r="G2543" s="144" t="inlineStr">
        <is>
          <t>SILVER FORD</t>
        </is>
      </c>
      <c r="H2543" s="144" t="n">
        <v>2600</v>
      </c>
      <c r="I2543" s="144" t="inlineStr">
        <is>
          <t>CONTRACTOR</t>
        </is>
      </c>
    </row>
    <row r="2544" ht="18" customHeight="1" s="7">
      <c r="A2544" s="144" t="inlineStr">
        <is>
          <t>JOSEPH BELL</t>
        </is>
      </c>
      <c r="B2544" s="144" t="inlineStr">
        <is>
          <t>*032030620 GA</t>
        </is>
      </c>
      <c r="C2544" s="144" t="inlineStr">
        <is>
          <t>SOL LOEB MOVING</t>
        </is>
      </c>
      <c r="D2544" s="144" t="n">
        <v>7066605193</v>
      </c>
      <c r="E2544" s="144" t="inlineStr">
        <is>
          <t>VAN</t>
        </is>
      </c>
      <c r="F2544" s="144" t="inlineStr">
        <is>
          <t>TFD0382 GA</t>
        </is>
      </c>
      <c r="G2544" s="144" t="inlineStr">
        <is>
          <t>WHITE CHEVY</t>
        </is>
      </c>
      <c r="H2544" s="144" t="inlineStr">
        <is>
          <t>HOUSING</t>
        </is>
      </c>
      <c r="I2544" s="144" t="inlineStr">
        <is>
          <t>CONTRACTOR</t>
        </is>
      </c>
    </row>
    <row r="2545" ht="18" customHeight="1" s="7">
      <c r="A2545" s="144" t="inlineStr">
        <is>
          <t>BRANDON SMITH</t>
        </is>
      </c>
      <c r="B2545" s="144" t="inlineStr">
        <is>
          <t>*052196365 GA</t>
        </is>
      </c>
      <c r="C2545" s="144" t="inlineStr">
        <is>
          <t>UPS</t>
        </is>
      </c>
      <c r="D2545" s="144" t="n">
        <v>2298814740</v>
      </c>
      <c r="E2545" s="144" t="inlineStr">
        <is>
          <t>BOX</t>
        </is>
      </c>
      <c r="F2545" s="144" t="inlineStr">
        <is>
          <t>XBJ883 GA</t>
        </is>
      </c>
      <c r="G2545" s="144" t="inlineStr">
        <is>
          <t>BROWN FORD</t>
        </is>
      </c>
      <c r="H2545" s="144" t="inlineStr">
        <is>
          <t>BASEWIDE</t>
        </is>
      </c>
      <c r="I2545" s="144" t="inlineStr">
        <is>
          <t>CONTRACTOR</t>
        </is>
      </c>
    </row>
    <row r="2546" ht="18" customHeight="1" s="7">
      <c r="A2546" s="144" t="inlineStr">
        <is>
          <t>DEAN LEWIS</t>
        </is>
      </c>
      <c r="B2546" s="144" t="inlineStr">
        <is>
          <t>*054620644 GA</t>
        </is>
      </c>
      <c r="C2546" s="144" t="inlineStr">
        <is>
          <t>LEWIS TREE SERVICE</t>
        </is>
      </c>
      <c r="D2546" s="144" t="n">
        <v>2294353852</v>
      </c>
      <c r="E2546" s="144" t="inlineStr">
        <is>
          <t>PU</t>
        </is>
      </c>
      <c r="F2546" s="144" t="inlineStr">
        <is>
          <t>SBC9956 GA</t>
        </is>
      </c>
      <c r="G2546" s="144" t="inlineStr">
        <is>
          <t>GRAY DODGE</t>
        </is>
      </c>
      <c r="H2546" s="144" t="inlineStr">
        <is>
          <t>POWERWORKS</t>
        </is>
      </c>
      <c r="I2546" s="144" t="inlineStr">
        <is>
          <t>CONTRACTOR</t>
        </is>
      </c>
    </row>
    <row r="2547" ht="18" customHeight="1" s="7">
      <c r="A2547" s="144" t="inlineStr">
        <is>
          <t>WALLACE EVANS</t>
        </is>
      </c>
      <c r="B2547" s="144" t="inlineStr">
        <is>
          <t>6477209 AL</t>
        </is>
      </c>
      <c r="C2547" s="144" t="inlineStr">
        <is>
          <t>ROBBIE D WOOD</t>
        </is>
      </c>
      <c r="D2547" s="144" t="n">
        <v>2054128351</v>
      </c>
      <c r="E2547" s="144" t="inlineStr">
        <is>
          <t>BOX</t>
        </is>
      </c>
      <c r="F2547" s="144" t="inlineStr">
        <is>
          <t>1213175 AL</t>
        </is>
      </c>
      <c r="G2547" s="144" t="inlineStr">
        <is>
          <t>RED KENWORTH</t>
        </is>
      </c>
      <c r="H2547" s="144" t="n">
        <v>1221</v>
      </c>
      <c r="I2547" s="144" t="inlineStr">
        <is>
          <t>COMMERCIAL</t>
        </is>
      </c>
    </row>
    <row r="2548" ht="18" customHeight="1" s="7">
      <c r="A2548" s="144" t="inlineStr">
        <is>
          <t>WILLIAM RAINES</t>
        </is>
      </c>
      <c r="B2548" s="144" t="inlineStr">
        <is>
          <t>*052410033 GA</t>
        </is>
      </c>
      <c r="C2548" s="144" t="inlineStr">
        <is>
          <t xml:space="preserve">SOWEGA </t>
        </is>
      </c>
      <c r="D2548" s="144" t="n">
        <v>2298150009</v>
      </c>
      <c r="E2548" s="144" t="inlineStr">
        <is>
          <t>PU</t>
        </is>
      </c>
      <c r="F2548" s="144" t="inlineStr">
        <is>
          <t>EGK320 GA</t>
        </is>
      </c>
      <c r="G2548" s="144" t="inlineStr">
        <is>
          <t>BLACK DODGE</t>
        </is>
      </c>
      <c r="H2548" s="144" t="inlineStr">
        <is>
          <t>WTP</t>
        </is>
      </c>
      <c r="I2548" s="144" t="inlineStr">
        <is>
          <t>CONTRACTOR</t>
        </is>
      </c>
    </row>
    <row r="2549" ht="18" customHeight="1" s="7">
      <c r="A2549" s="144" t="inlineStr">
        <is>
          <t>KENDRIX HALL</t>
        </is>
      </c>
      <c r="B2549" s="144" t="inlineStr">
        <is>
          <t>*059622499 GA</t>
        </is>
      </c>
      <c r="C2549" s="144" t="inlineStr">
        <is>
          <t>SAFETY MAX</t>
        </is>
      </c>
      <c r="D2549" s="144" t="n">
        <v>2298780300</v>
      </c>
      <c r="E2549" s="144" t="inlineStr">
        <is>
          <t>VAN</t>
        </is>
      </c>
      <c r="F2549" s="144" t="inlineStr">
        <is>
          <t>RLN7803 GA</t>
        </is>
      </c>
      <c r="G2549" s="144" t="inlineStr">
        <is>
          <t>WHITE FORD</t>
        </is>
      </c>
      <c r="H2549" s="144" t="inlineStr">
        <is>
          <t>GOODWILL</t>
        </is>
      </c>
      <c r="I2549" s="144" t="inlineStr">
        <is>
          <t>CONTRACTOR</t>
        </is>
      </c>
    </row>
    <row r="2550" ht="18" customHeight="1" s="7">
      <c r="A2550" s="144" t="inlineStr">
        <is>
          <t>THOMAS SMITH</t>
        </is>
      </c>
      <c r="B2550" s="144" t="inlineStr">
        <is>
          <t>*033711675 GA</t>
        </is>
      </c>
      <c r="C2550" s="144" t="inlineStr">
        <is>
          <t>STORM TRANSP</t>
        </is>
      </c>
      <c r="D2550" s="144" t="n">
        <v>4706302839</v>
      </c>
      <c r="E2550" s="144" t="inlineStr">
        <is>
          <t>BOX</t>
        </is>
      </c>
      <c r="F2550" s="144" t="inlineStr">
        <is>
          <t>GKY754 GA</t>
        </is>
      </c>
      <c r="G2550" s="144" t="inlineStr">
        <is>
          <t>WHITE FREIGHTLINER</t>
        </is>
      </c>
      <c r="H2550" s="144" t="n">
        <v>1221</v>
      </c>
      <c r="I2550" s="144" t="inlineStr">
        <is>
          <t>CONTRACTOR</t>
        </is>
      </c>
    </row>
    <row r="2551" ht="18" customHeight="1" s="7">
      <c r="A2551" s="144" t="inlineStr">
        <is>
          <t>CHELSEY GOLDEN</t>
        </is>
      </c>
      <c r="B2551" s="144" t="inlineStr">
        <is>
          <t>37200669 TX</t>
        </is>
      </c>
      <c r="C2551" s="144" t="inlineStr">
        <is>
          <t>PANTHER</t>
        </is>
      </c>
      <c r="D2551" s="144" t="n">
        <v>3258997890</v>
      </c>
      <c r="E2551" s="144" t="inlineStr">
        <is>
          <t>BOX</t>
        </is>
      </c>
      <c r="F2551" s="144" t="inlineStr">
        <is>
          <t>3874712 IN</t>
        </is>
      </c>
      <c r="G2551" s="144" t="inlineStr">
        <is>
          <t>WHITE FREIGHTLINER</t>
        </is>
      </c>
      <c r="H2551" s="144" t="n">
        <v>1221</v>
      </c>
      <c r="I2551" s="144" t="inlineStr">
        <is>
          <t>COMMERCIAL</t>
        </is>
      </c>
    </row>
    <row r="2552" ht="18" customHeight="1" s="7">
      <c r="A2552" s="144" t="inlineStr">
        <is>
          <t>STEVEN BARBEE</t>
        </is>
      </c>
      <c r="B2552" s="144" t="inlineStr">
        <is>
          <t>*074328717 TN</t>
        </is>
      </c>
      <c r="C2552" s="144" t="inlineStr">
        <is>
          <t>HALLAHAN TRANS</t>
        </is>
      </c>
      <c r="D2552" s="144" t="n">
        <v>8657658221</v>
      </c>
      <c r="E2552" s="144" t="inlineStr">
        <is>
          <t>FLAT</t>
        </is>
      </c>
      <c r="F2552" s="144" t="inlineStr">
        <is>
          <t>U3018HY TN</t>
        </is>
      </c>
      <c r="G2552" s="144" t="inlineStr">
        <is>
          <t>SILVER PETERBILT</t>
        </is>
      </c>
      <c r="H2552" s="144" t="n">
        <v>1221</v>
      </c>
      <c r="I2552" s="144" t="inlineStr">
        <is>
          <t>COMMERCIAL</t>
        </is>
      </c>
    </row>
    <row r="2553" ht="18" customHeight="1" s="7">
      <c r="A2553" s="144" t="inlineStr">
        <is>
          <t>DENOVIAN BROWN</t>
        </is>
      </c>
      <c r="B2553" s="144" t="inlineStr">
        <is>
          <t>*058746669 GA</t>
        </is>
      </c>
      <c r="C2553" s="144" t="inlineStr">
        <is>
          <t>ENTERPRISE</t>
        </is>
      </c>
      <c r="D2553" s="144" t="n">
        <v>8432870341</v>
      </c>
      <c r="E2553" s="144" t="inlineStr">
        <is>
          <t>BOX</t>
        </is>
      </c>
      <c r="F2553" s="144" t="inlineStr">
        <is>
          <t>LHLP95 FL</t>
        </is>
      </c>
      <c r="G2553" s="144" t="inlineStr">
        <is>
          <t>WHITE FREIGHTLINER</t>
        </is>
      </c>
      <c r="H2553" s="144" t="n">
        <v>7501</v>
      </c>
      <c r="I2553" s="144" t="inlineStr">
        <is>
          <t>COMMERCIAL</t>
        </is>
      </c>
    </row>
    <row r="2554" ht="18" customHeight="1" s="7">
      <c r="A2554" s="144" t="inlineStr">
        <is>
          <t>MARKO TOMIC</t>
        </is>
      </c>
      <c r="B2554" s="144" t="inlineStr">
        <is>
          <t>T52054086149 IL</t>
        </is>
      </c>
      <c r="C2554" s="144" t="inlineStr">
        <is>
          <t>ALBATROSS</t>
        </is>
      </c>
      <c r="D2554" s="144" t="n">
        <v>3122574490</v>
      </c>
      <c r="E2554" s="144" t="inlineStr">
        <is>
          <t>BOX</t>
        </is>
      </c>
      <c r="F2554" s="144" t="inlineStr">
        <is>
          <t>P1269609 IL</t>
        </is>
      </c>
      <c r="G2554" s="144" t="inlineStr">
        <is>
          <t>WHITE VOLVO</t>
        </is>
      </c>
      <c r="H2554" s="144" t="n">
        <v>1221</v>
      </c>
      <c r="I2554" s="144" t="inlineStr">
        <is>
          <t>COMMERCIAL</t>
        </is>
      </c>
    </row>
    <row r="2555" ht="18" customHeight="1" s="7">
      <c r="A2555" s="144" t="inlineStr">
        <is>
          <t>LEBRON ISMAEL</t>
        </is>
      </c>
      <c r="B2555" s="144" t="inlineStr">
        <is>
          <t>40334167 TX</t>
        </is>
      </c>
      <c r="C2555" s="144" t="inlineStr">
        <is>
          <t>D SPECIALIZED</t>
        </is>
      </c>
      <c r="D2555" s="144" t="n">
        <v>9182138193</v>
      </c>
      <c r="E2555" s="144" t="inlineStr">
        <is>
          <t>BOX</t>
        </is>
      </c>
      <c r="F2555" s="144" t="inlineStr">
        <is>
          <t>3KE17A OK</t>
        </is>
      </c>
      <c r="G2555" s="144" t="inlineStr">
        <is>
          <t>WHITE VOLVO</t>
        </is>
      </c>
      <c r="H2555" s="144" t="n">
        <v>1221</v>
      </c>
      <c r="I2555" s="144" t="inlineStr">
        <is>
          <t>COMMERCIAL</t>
        </is>
      </c>
    </row>
    <row r="2556" ht="18" customHeight="1" s="7">
      <c r="A2556" s="144" t="inlineStr">
        <is>
          <t>SAMPAIO FERNANDO</t>
        </is>
      </c>
      <c r="B2556" s="144" t="inlineStr">
        <is>
          <t>D19625881 AZ</t>
        </is>
      </c>
      <c r="C2556" s="144" t="inlineStr">
        <is>
          <t>DIVINE STAR</t>
        </is>
      </c>
      <c r="D2556" s="144" t="n">
        <v>5189658756</v>
      </c>
      <c r="E2556" s="144" t="inlineStr">
        <is>
          <t>PU</t>
        </is>
      </c>
      <c r="F2556" s="144" t="inlineStr">
        <is>
          <t>4NA1BS AZ</t>
        </is>
      </c>
      <c r="G2556" s="144" t="inlineStr">
        <is>
          <t>WHITE CHEVY</t>
        </is>
      </c>
      <c r="H2556" s="144" t="n">
        <v>1221</v>
      </c>
      <c r="I2556" s="144" t="inlineStr">
        <is>
          <t>CONTRACTOR</t>
        </is>
      </c>
    </row>
    <row r="2557" ht="18" customHeight="1" s="7">
      <c r="A2557" s="144" t="inlineStr">
        <is>
          <t xml:space="preserve">WILLIE HOWIE </t>
        </is>
      </c>
      <c r="B2557" s="144" t="inlineStr">
        <is>
          <t>*049422083 GA</t>
        </is>
      </c>
      <c r="C2557" s="144" t="inlineStr">
        <is>
          <t>MAYBACH</t>
        </is>
      </c>
      <c r="D2557" s="144" t="n">
        <v>6789270044</v>
      </c>
      <c r="E2557" s="144" t="inlineStr">
        <is>
          <t>BOX</t>
        </is>
      </c>
      <c r="F2557" s="144" t="inlineStr">
        <is>
          <t>P1193807 IL</t>
        </is>
      </c>
      <c r="G2557" s="144" t="inlineStr">
        <is>
          <t>WHITE PETERBILT</t>
        </is>
      </c>
      <c r="H2557" s="144" t="n">
        <v>1221</v>
      </c>
      <c r="I2557" s="144" t="inlineStr">
        <is>
          <t>COMMERCIAL</t>
        </is>
      </c>
    </row>
    <row r="2558" ht="18" customHeight="1" s="7">
      <c r="A2558" s="144" t="inlineStr">
        <is>
          <t>SHANNON JACKSON</t>
        </is>
      </c>
      <c r="B2558" s="144" t="inlineStr">
        <is>
          <t>*049335161 GA</t>
        </is>
      </c>
      <c r="C2558" s="144" t="inlineStr">
        <is>
          <t>FEDEX</t>
        </is>
      </c>
      <c r="D2558" s="144" t="n">
        <v>2293442591</v>
      </c>
      <c r="E2558" s="144" t="inlineStr">
        <is>
          <t>BOX</t>
        </is>
      </c>
      <c r="F2558" s="144" t="inlineStr">
        <is>
          <t>3509481 IN</t>
        </is>
      </c>
      <c r="G2558" s="144" t="inlineStr">
        <is>
          <t>WHITE PETERBILT</t>
        </is>
      </c>
      <c r="H2558" s="144" t="n">
        <v>1221</v>
      </c>
      <c r="I2558" s="144" t="inlineStr">
        <is>
          <t>COMMERCIAL</t>
        </is>
      </c>
    </row>
    <row r="2559" ht="18" customHeight="1" s="7">
      <c r="A2559" s="144" t="inlineStr">
        <is>
          <t xml:space="preserve">BELA SZABO </t>
        </is>
      </c>
      <c r="B2559" s="144" t="inlineStr">
        <is>
          <t>S100060751090 FL</t>
        </is>
      </c>
      <c r="C2559" s="144" t="inlineStr">
        <is>
          <t>YK EXPRESS</t>
        </is>
      </c>
      <c r="D2559" s="144" t="n">
        <v>9048810197</v>
      </c>
      <c r="E2559" s="144" t="inlineStr">
        <is>
          <t>FLAT</t>
        </is>
      </c>
      <c r="F2559" s="144" t="inlineStr">
        <is>
          <t>XEA24S FL</t>
        </is>
      </c>
      <c r="G2559" s="144" t="inlineStr">
        <is>
          <t>RED PETERBILT</t>
        </is>
      </c>
      <c r="H2559" s="144" t="n">
        <v>1221</v>
      </c>
      <c r="I2559" s="144" t="inlineStr">
        <is>
          <t>COMMERCIAL</t>
        </is>
      </c>
    </row>
    <row r="2560" ht="18" customHeight="1" s="7">
      <c r="A2560" s="144" t="inlineStr">
        <is>
          <t>CEDRIC HOWZE</t>
        </is>
      </c>
      <c r="B2560" s="144" t="inlineStr">
        <is>
          <t>007644709 SC</t>
        </is>
      </c>
      <c r="C2560" s="144" t="inlineStr">
        <is>
          <t>IURCCENI</t>
        </is>
      </c>
      <c r="D2560" s="144" t="n">
        <v>8035793691</v>
      </c>
      <c r="E2560" s="144" t="inlineStr">
        <is>
          <t>FLAT</t>
        </is>
      </c>
      <c r="F2560" s="144" t="inlineStr">
        <is>
          <t>27E62 VT</t>
        </is>
      </c>
      <c r="G2560" s="144" t="inlineStr">
        <is>
          <t>BLUE INTERNATIONAL</t>
        </is>
      </c>
      <c r="H2560" s="144" t="n">
        <v>1221</v>
      </c>
      <c r="I2560" s="144" t="inlineStr">
        <is>
          <t>COMMERICAL</t>
        </is>
      </c>
    </row>
    <row r="2561" ht="18" customHeight="1" s="7">
      <c r="A2561" s="144" t="inlineStr">
        <is>
          <t>KIMANI SAILOR</t>
        </is>
      </c>
      <c r="B2561" s="144" t="inlineStr">
        <is>
          <t>S221362182000 FL</t>
        </is>
      </c>
      <c r="C2561" s="144" t="inlineStr">
        <is>
          <t>MAYTRUCKING</t>
        </is>
      </c>
      <c r="D2561" s="144" t="n">
        <v>8507560642</v>
      </c>
      <c r="E2561" s="144" t="inlineStr">
        <is>
          <t>BOX</t>
        </is>
      </c>
      <c r="F2561" s="144" t="inlineStr">
        <is>
          <t>3513505 IN</t>
        </is>
      </c>
      <c r="G2561" s="144" t="inlineStr">
        <is>
          <t>GREY FREIGHTLINER</t>
        </is>
      </c>
      <c r="H2561" s="144" t="n">
        <v>1221</v>
      </c>
      <c r="I2561" s="144" t="inlineStr">
        <is>
          <t>COMMERICAL</t>
        </is>
      </c>
    </row>
    <row r="2562" ht="18" customHeight="1" s="7">
      <c r="A2562" s="144" t="inlineStr">
        <is>
          <t>LAURENCE FERFUSON</t>
        </is>
      </c>
      <c r="B2562" s="144" t="inlineStr">
        <is>
          <t>739360364 NY</t>
        </is>
      </c>
      <c r="C2562" s="144" t="inlineStr">
        <is>
          <t>MB GLOBAL</t>
        </is>
      </c>
      <c r="D2562" s="144" t="n">
        <v>7179619572</v>
      </c>
      <c r="E2562" s="144" t="inlineStr">
        <is>
          <t>BOX</t>
        </is>
      </c>
      <c r="F2562" s="144" t="inlineStr">
        <is>
          <t>3572847 IN</t>
        </is>
      </c>
      <c r="G2562" s="144" t="inlineStr">
        <is>
          <t>WHITE FREIGHTLINER</t>
        </is>
      </c>
      <c r="H2562" s="144" t="n">
        <v>1221</v>
      </c>
      <c r="I2562" s="144" t="inlineStr">
        <is>
          <t>COMMERICLA</t>
        </is>
      </c>
    </row>
    <row r="2563" ht="18" customHeight="1" s="7">
      <c r="A2563" s="144" t="inlineStr">
        <is>
          <t>DONALD ELLIBY</t>
        </is>
      </c>
      <c r="B2563" s="144" t="inlineStr">
        <is>
          <t>16037224 TX</t>
        </is>
      </c>
      <c r="C2563" s="144" t="inlineStr">
        <is>
          <t>FEDEX</t>
        </is>
      </c>
      <c r="D2563" s="144" t="n">
        <v>2107108035</v>
      </c>
      <c r="E2563" s="144" t="inlineStr">
        <is>
          <t>BOX</t>
        </is>
      </c>
      <c r="F2563" s="144" t="inlineStr">
        <is>
          <t>K012378 TX</t>
        </is>
      </c>
      <c r="G2563" s="144" t="inlineStr">
        <is>
          <t>WHITE FREIGHTLINER</t>
        </is>
      </c>
      <c r="H2563" s="144" t="n">
        <v>1221</v>
      </c>
      <c r="I2563" s="144" t="inlineStr">
        <is>
          <t>COMMERICAL</t>
        </is>
      </c>
    </row>
    <row r="2564" ht="18" customHeight="1" s="7">
      <c r="A2564" s="144" t="inlineStr">
        <is>
          <t>ROVIN DIAZRIVAS</t>
        </is>
      </c>
      <c r="B2564" s="144" t="inlineStr">
        <is>
          <t>E2525211 CA</t>
        </is>
      </c>
      <c r="C2564" s="144" t="inlineStr">
        <is>
          <t>AC TRUCKING</t>
        </is>
      </c>
      <c r="D2564" s="144" t="n">
        <v>6618652772</v>
      </c>
      <c r="E2564" s="144" t="inlineStr">
        <is>
          <t>FLAT</t>
        </is>
      </c>
      <c r="F2564" s="144" t="inlineStr">
        <is>
          <t>ZP29407 CA</t>
        </is>
      </c>
      <c r="G2564" s="144" t="inlineStr">
        <is>
          <t>ORANGE PETERBILT</t>
        </is>
      </c>
      <c r="H2564" s="144" t="n">
        <v>1221</v>
      </c>
      <c r="I2564" s="144" t="inlineStr">
        <is>
          <t>COMMERICAL</t>
        </is>
      </c>
    </row>
    <row r="2565" ht="18" customHeight="1" s="7">
      <c r="A2565" s="144" t="inlineStr">
        <is>
          <t>EL HAISSOUFI AYOUB</t>
        </is>
      </c>
      <c r="B2565" s="144" t="inlineStr">
        <is>
          <t>E613702065000</t>
        </is>
      </c>
      <c r="C2565" s="144" t="inlineStr">
        <is>
          <t>SLI EXPRESS</t>
        </is>
      </c>
      <c r="D2565" s="144" t="n">
        <v>4074607852</v>
      </c>
      <c r="E2565" s="144" t="inlineStr">
        <is>
          <t>BOX</t>
        </is>
      </c>
      <c r="F2565" s="144" t="inlineStr">
        <is>
          <t>P1181387 IL</t>
        </is>
      </c>
      <c r="G2565" s="144" t="inlineStr">
        <is>
          <t>BLUE VOLVO</t>
        </is>
      </c>
      <c r="H2565" s="144" t="n">
        <v>1221</v>
      </c>
      <c r="I2565" s="144" t="inlineStr">
        <is>
          <t>COMMERICAL</t>
        </is>
      </c>
    </row>
    <row r="2566" ht="18" customHeight="1" s="7">
      <c r="A2566" s="144" t="inlineStr">
        <is>
          <t>WILLIAM PROCTOR</t>
        </is>
      </c>
      <c r="B2566" s="144" t="inlineStr">
        <is>
          <t>P608784099000 FL</t>
        </is>
      </c>
      <c r="C2566" s="144" t="inlineStr">
        <is>
          <t>YK EXPRESS</t>
        </is>
      </c>
      <c r="D2566" s="144" t="n">
        <v>9418304769</v>
      </c>
      <c r="E2566" s="144" t="inlineStr">
        <is>
          <t>FLAT</t>
        </is>
      </c>
      <c r="F2566" s="144" t="inlineStr">
        <is>
          <t>XE821S FL</t>
        </is>
      </c>
      <c r="G2566" s="144" t="inlineStr">
        <is>
          <t>BLACK PETERBILT</t>
        </is>
      </c>
      <c r="H2566" s="144" t="n">
        <v>1221</v>
      </c>
      <c r="I2566" s="144" t="inlineStr">
        <is>
          <t>COMMERICAL</t>
        </is>
      </c>
    </row>
    <row r="2567" ht="18" customHeight="1" s="7">
      <c r="A2567" s="144" t="inlineStr">
        <is>
          <t>JAQUEZ NORTON</t>
        </is>
      </c>
      <c r="B2567" s="144" t="inlineStr">
        <is>
          <t>N635426990090 FL</t>
        </is>
      </c>
      <c r="C2567" s="144" t="inlineStr">
        <is>
          <t>HAULAGE FREIGHT</t>
        </is>
      </c>
      <c r="D2567" s="144" t="n">
        <v>8136059209</v>
      </c>
      <c r="E2567" s="144" t="inlineStr">
        <is>
          <t>BOX</t>
        </is>
      </c>
      <c r="F2567" s="144" t="inlineStr">
        <is>
          <t>3818627 IN</t>
        </is>
      </c>
      <c r="G2567" s="144" t="inlineStr">
        <is>
          <t>WHITE INTERNATIONAL</t>
        </is>
      </c>
      <c r="H2567" s="144" t="n">
        <v>1221</v>
      </c>
      <c r="I2567" s="144" t="inlineStr">
        <is>
          <t>COMMERCIAL</t>
        </is>
      </c>
    </row>
    <row r="2568" ht="18" customHeight="1" s="7">
      <c r="A2568" s="144" t="inlineStr">
        <is>
          <t>EBONY ANDERSON</t>
        </is>
      </c>
      <c r="B2568" s="144" t="inlineStr">
        <is>
          <t>A2316525980000 FL</t>
        </is>
      </c>
      <c r="C2568" s="144" t="inlineStr">
        <is>
          <t>AAT CARRIERS</t>
        </is>
      </c>
      <c r="D2568" s="144" t="n">
        <v>3215279035</v>
      </c>
      <c r="E2568" s="144" t="inlineStr">
        <is>
          <t>BOX</t>
        </is>
      </c>
      <c r="F2568" s="144" t="inlineStr">
        <is>
          <t>3619919 IN</t>
        </is>
      </c>
      <c r="G2568" s="144" t="inlineStr">
        <is>
          <t>WHITE VOLVO</t>
        </is>
      </c>
      <c r="H2568" s="144" t="n">
        <v>1221</v>
      </c>
      <c r="I2568" s="144" t="inlineStr">
        <is>
          <t>COMMERCIAL</t>
        </is>
      </c>
    </row>
    <row r="2569" ht="18" customHeight="1" s="7">
      <c r="A2569" s="144" t="inlineStr">
        <is>
          <t>KEITH HERRINGTON</t>
        </is>
      </c>
      <c r="B2569" s="144" t="inlineStr">
        <is>
          <t>H652512663080 FL</t>
        </is>
      </c>
      <c r="C2569" s="144" t="inlineStr">
        <is>
          <t>XLG TRANS</t>
        </is>
      </c>
      <c r="D2569" s="144" t="n">
        <v>8503827829</v>
      </c>
      <c r="E2569" s="144" t="inlineStr">
        <is>
          <t>BOX</t>
        </is>
      </c>
      <c r="F2569" s="144" t="inlineStr">
        <is>
          <t>XE786W FL</t>
        </is>
      </c>
      <c r="G2569" s="144" t="inlineStr">
        <is>
          <t>WHITE KENWORTH</t>
        </is>
      </c>
      <c r="H2569" s="144" t="n">
        <v>1221</v>
      </c>
      <c r="I2569" s="144" t="inlineStr">
        <is>
          <t>COMMERCIAL</t>
        </is>
      </c>
    </row>
    <row r="2570" ht="18" customHeight="1" s="7">
      <c r="A2570" s="144" t="inlineStr">
        <is>
          <t>MOHIT LAMBRA</t>
        </is>
      </c>
      <c r="B2570" s="144" t="inlineStr">
        <is>
          <t>945366074 NY</t>
        </is>
      </c>
      <c r="C2570" s="144" t="inlineStr">
        <is>
          <t>PUNIA TRANS</t>
        </is>
      </c>
      <c r="D2570" s="144" t="n">
        <v>5513428525</v>
      </c>
      <c r="E2570" s="144" t="inlineStr">
        <is>
          <t>BOX</t>
        </is>
      </c>
      <c r="F2570" s="144" t="inlineStr">
        <is>
          <t>3684162 IN</t>
        </is>
      </c>
      <c r="G2570" s="144" t="inlineStr">
        <is>
          <t>WHITE VOLVO</t>
        </is>
      </c>
      <c r="H2570" s="144" t="n">
        <v>1221</v>
      </c>
      <c r="I2570" s="144" t="inlineStr">
        <is>
          <t>COMMERCIAL</t>
        </is>
      </c>
    </row>
    <row r="2571" ht="18" customHeight="1" s="7">
      <c r="A2571" s="144" t="inlineStr">
        <is>
          <t>RAY BRIDGEFORTH</t>
        </is>
      </c>
      <c r="B2571" s="144" t="inlineStr">
        <is>
          <t>121608987 TN</t>
        </is>
      </c>
      <c r="C2571" s="144" t="inlineStr">
        <is>
          <t>NOOR EXPRESS</t>
        </is>
      </c>
      <c r="D2571" s="144" t="n">
        <v>9015845874</v>
      </c>
      <c r="E2571" s="144" t="inlineStr">
        <is>
          <t>BOX</t>
        </is>
      </c>
      <c r="F2571" s="144" t="inlineStr">
        <is>
          <t>3964308 IN</t>
        </is>
      </c>
      <c r="G2571" s="144" t="inlineStr">
        <is>
          <t>WHITE FREIGHTLINER</t>
        </is>
      </c>
      <c r="H2571" s="144" t="n">
        <v>1221</v>
      </c>
      <c r="I2571" s="144" t="inlineStr">
        <is>
          <t>COMMERCIAL</t>
        </is>
      </c>
    </row>
    <row r="2572" ht="18" customHeight="1" s="7">
      <c r="A2572" s="144" t="inlineStr">
        <is>
          <t>JASON DANTZLER</t>
        </is>
      </c>
      <c r="B2572" s="144" t="inlineStr">
        <is>
          <t>*071419417 GA</t>
        </is>
      </c>
      <c r="C2572" s="144" t="inlineStr">
        <is>
          <t>GRO MASTERS</t>
        </is>
      </c>
      <c r="D2572" s="144" t="n">
        <v>9127070511</v>
      </c>
      <c r="E2572" s="144" t="inlineStr">
        <is>
          <t>PU</t>
        </is>
      </c>
      <c r="F2572" s="144" t="inlineStr">
        <is>
          <t>*0523AG SC</t>
        </is>
      </c>
      <c r="G2572" s="144" t="inlineStr">
        <is>
          <t>WHITE FORD</t>
        </is>
      </c>
      <c r="H2572" s="144" t="inlineStr">
        <is>
          <t>HOUSING</t>
        </is>
      </c>
      <c r="I2572" s="144" t="inlineStr">
        <is>
          <t>CONTRACTOR</t>
        </is>
      </c>
    </row>
    <row r="2573" ht="18" customHeight="1" s="7">
      <c r="A2573" s="144" t="inlineStr">
        <is>
          <t>NOLEN JEFFERSON</t>
        </is>
      </c>
      <c r="B2573" s="144" t="inlineStr">
        <is>
          <t>5056702 AL</t>
        </is>
      </c>
      <c r="C2573" s="144" t="inlineStr">
        <is>
          <t>YK EXPRESS</t>
        </is>
      </c>
      <c r="D2573" s="144" t="n">
        <v>2058212590</v>
      </c>
      <c r="E2573" s="144" t="inlineStr">
        <is>
          <t>FLAT</t>
        </is>
      </c>
      <c r="F2573" s="144" t="inlineStr">
        <is>
          <t>XE816S FL</t>
        </is>
      </c>
      <c r="G2573" s="144" t="inlineStr">
        <is>
          <t>TEAL FREIGHTLINER</t>
        </is>
      </c>
      <c r="H2573" s="144" t="n">
        <v>1221</v>
      </c>
      <c r="I2573" s="144" t="inlineStr">
        <is>
          <t>COMMERCIAL</t>
        </is>
      </c>
    </row>
    <row r="2574" ht="18" customHeight="1" s="7">
      <c r="A2574" s="144" t="inlineStr">
        <is>
          <t>RONALD PRICE</t>
        </is>
      </c>
      <c r="B2574" s="144" t="inlineStr">
        <is>
          <t>*058878047 GA</t>
        </is>
      </c>
      <c r="C2574" s="144" t="inlineStr">
        <is>
          <t>AMERICAN PIPING</t>
        </is>
      </c>
      <c r="D2574" s="144" t="n">
        <v>4782513485</v>
      </c>
      <c r="E2574" s="144" t="inlineStr">
        <is>
          <t>PU</t>
        </is>
      </c>
      <c r="F2574" s="144" t="inlineStr">
        <is>
          <t>RIT2899 GA</t>
        </is>
      </c>
      <c r="G2574" s="144" t="inlineStr">
        <is>
          <t>WHITE FORD</t>
        </is>
      </c>
      <c r="H2574" s="144" t="n">
        <v>1330</v>
      </c>
      <c r="I2574" s="144" t="inlineStr">
        <is>
          <t>CONTRACTOR</t>
        </is>
      </c>
    </row>
    <row r="2575" ht="18" customHeight="1" s="7">
      <c r="A2575" s="144" t="inlineStr">
        <is>
          <t>FREDERICK KROFT</t>
        </is>
      </c>
      <c r="B2575" s="144" t="inlineStr">
        <is>
          <t>*000005611934 NC</t>
        </is>
      </c>
      <c r="C2575" s="144" t="inlineStr">
        <is>
          <t>WRIGHT EXPRESS</t>
        </is>
      </c>
      <c r="D2575" s="144" t="n">
        <v>7173329363</v>
      </c>
      <c r="E2575" s="144" t="inlineStr">
        <is>
          <t>BOX</t>
        </is>
      </c>
      <c r="F2575" s="144" t="inlineStr">
        <is>
          <t>AG99316 PA</t>
        </is>
      </c>
      <c r="G2575" s="144" t="inlineStr">
        <is>
          <t>GRAY VOLVO</t>
        </is>
      </c>
      <c r="H2575" s="144" t="n">
        <v>1221</v>
      </c>
      <c r="I2575" s="144" t="inlineStr">
        <is>
          <t>COMMERCIAL</t>
        </is>
      </c>
    </row>
    <row r="2576" ht="18" customHeight="1" s="7">
      <c r="A2576" s="144" t="inlineStr">
        <is>
          <t>JAMES BRAMBLEY</t>
        </is>
      </c>
      <c r="B2576" s="144" t="inlineStr">
        <is>
          <t>*026539919 GA</t>
        </is>
      </c>
      <c r="C2576" s="144" t="inlineStr">
        <is>
          <t>FEDEX</t>
        </is>
      </c>
      <c r="D2576" s="144" t="n">
        <v>7709402286</v>
      </c>
      <c r="E2576" s="144" t="inlineStr">
        <is>
          <t>BOX</t>
        </is>
      </c>
      <c r="F2576" s="144" t="inlineStr">
        <is>
          <t>PWQ8433 OH</t>
        </is>
      </c>
      <c r="G2576" s="144" t="inlineStr">
        <is>
          <t>WHITE WESTERN STAR</t>
        </is>
      </c>
      <c r="H2576" s="144" t="n">
        <v>1221</v>
      </c>
      <c r="I2576" s="144" t="inlineStr">
        <is>
          <t>COMMERCIAL</t>
        </is>
      </c>
    </row>
    <row r="2577" ht="18" customHeight="1" s="7">
      <c r="A2577" s="144" t="inlineStr">
        <is>
          <t>DONTA JACKSON</t>
        </is>
      </c>
      <c r="B2577" s="144" t="inlineStr">
        <is>
          <t>1930117535 IN</t>
        </is>
      </c>
      <c r="C2577" s="144" t="inlineStr">
        <is>
          <t>INTERLAND</t>
        </is>
      </c>
      <c r="D2577" s="144" t="n">
        <v>3177668858</v>
      </c>
      <c r="E2577" s="144" t="inlineStr">
        <is>
          <t>BOX</t>
        </is>
      </c>
      <c r="F2577" s="144" t="inlineStr">
        <is>
          <t>P1232273 IL</t>
        </is>
      </c>
      <c r="G2577" s="144" t="inlineStr">
        <is>
          <t>WHITE FREIGHTLINER</t>
        </is>
      </c>
      <c r="H2577" s="144" t="n">
        <v>1221</v>
      </c>
      <c r="I2577" s="144" t="inlineStr">
        <is>
          <t>COMMERCIAL</t>
        </is>
      </c>
    </row>
    <row r="2578" ht="18" customHeight="1" s="7">
      <c r="A2578" s="144" t="inlineStr">
        <is>
          <t>RAUL CARRERA</t>
        </is>
      </c>
      <c r="B2578" s="144" t="inlineStr">
        <is>
          <t>43384758 TX</t>
        </is>
      </c>
      <c r="C2578" s="144" t="inlineStr">
        <is>
          <t>CARGO TRANSP</t>
        </is>
      </c>
      <c r="D2578" s="144" t="n">
        <v>9567506479</v>
      </c>
      <c r="E2578" s="144" t="inlineStr">
        <is>
          <t>BOX</t>
        </is>
      </c>
      <c r="F2578" s="144" t="inlineStr">
        <is>
          <t>R788482 TX</t>
        </is>
      </c>
      <c r="G2578" s="144" t="inlineStr">
        <is>
          <t>WHITE KENWORTH</t>
        </is>
      </c>
      <c r="H2578" s="144" t="n">
        <v>1221</v>
      </c>
      <c r="I2578" s="144" t="inlineStr">
        <is>
          <t>COMMERCIAL</t>
        </is>
      </c>
    </row>
    <row r="2579" ht="18" customHeight="1" s="7">
      <c r="A2579" s="144" t="inlineStr">
        <is>
          <t xml:space="preserve">JUSTIN MILLER </t>
        </is>
      </c>
      <c r="B2579" s="144" t="inlineStr">
        <is>
          <t>*051315088 GA</t>
        </is>
      </c>
      <c r="C2579" s="144" t="inlineStr">
        <is>
          <t xml:space="preserve">SOUTHEASTERN </t>
        </is>
      </c>
      <c r="D2579" s="144" t="n">
        <v>2293899489</v>
      </c>
      <c r="E2579" s="144" t="inlineStr">
        <is>
          <t>BOX</t>
        </is>
      </c>
      <c r="F2579" s="144" t="inlineStr">
        <is>
          <t>P2077HY TN</t>
        </is>
      </c>
      <c r="G2579" s="144" t="inlineStr">
        <is>
          <t>RED INTERNATIONAL</t>
        </is>
      </c>
      <c r="H2579" s="144" t="n">
        <v>1221</v>
      </c>
      <c r="I2579" s="144" t="inlineStr">
        <is>
          <t>COMMERCIAL</t>
        </is>
      </c>
    </row>
    <row r="2580" ht="18" customHeight="1" s="7">
      <c r="A2580" s="144" t="inlineStr">
        <is>
          <t>MICHAEL PARKER</t>
        </is>
      </c>
      <c r="B2580" s="144" t="inlineStr">
        <is>
          <t>*056339676 GA</t>
        </is>
      </c>
      <c r="C2580" s="144" t="inlineStr">
        <is>
          <t>JONES WELDING</t>
        </is>
      </c>
      <c r="D2580" s="144" t="n">
        <v>2293953501</v>
      </c>
      <c r="E2580" s="144" t="inlineStr">
        <is>
          <t>PU</t>
        </is>
      </c>
      <c r="F2580" s="144" t="inlineStr">
        <is>
          <t>RPT6691 GA</t>
        </is>
      </c>
      <c r="G2580" s="144" t="inlineStr">
        <is>
          <t>WHITE FORD</t>
        </is>
      </c>
      <c r="H2580" s="144" t="n">
        <v>7000</v>
      </c>
      <c r="I2580" s="144" t="inlineStr">
        <is>
          <t>CONTRACTOR</t>
        </is>
      </c>
    </row>
    <row r="2581" ht="18" customHeight="1" s="7">
      <c r="A2581" s="144" t="inlineStr">
        <is>
          <t>MARVIN SALAS</t>
        </is>
      </c>
      <c r="B2581" s="144" t="inlineStr">
        <is>
          <t>S02365266102764 NJ</t>
        </is>
      </c>
      <c r="C2581" s="144" t="inlineStr">
        <is>
          <t>STALLION TRANS</t>
        </is>
      </c>
      <c r="D2581" s="144" t="n">
        <v>9083974665</v>
      </c>
      <c r="E2581" s="144" t="inlineStr">
        <is>
          <t>FLAT</t>
        </is>
      </c>
      <c r="F2581" s="144" t="inlineStr">
        <is>
          <t>AX176H NJ</t>
        </is>
      </c>
      <c r="G2581" s="144" t="inlineStr">
        <is>
          <t>GRAY FREIGHT</t>
        </is>
      </c>
      <c r="H2581" s="144" t="n">
        <v>1221</v>
      </c>
      <c r="I2581" s="144" t="inlineStr">
        <is>
          <t>COMMERCIAL</t>
        </is>
      </c>
    </row>
    <row r="2582" ht="18" customHeight="1" s="7">
      <c r="A2582" s="144" t="inlineStr">
        <is>
          <t>WILLIAM WRIGHT</t>
        </is>
      </c>
      <c r="B2582" s="144" t="inlineStr">
        <is>
          <t>W623930622680 FL</t>
        </is>
      </c>
      <c r="C2582" s="144" t="inlineStr">
        <is>
          <t>BILLOR TRANS</t>
        </is>
      </c>
      <c r="D2582" s="144" t="n">
        <v>9417999148</v>
      </c>
      <c r="E2582" s="144" t="inlineStr">
        <is>
          <t>BOX</t>
        </is>
      </c>
      <c r="F2582" s="144" t="inlineStr">
        <is>
          <t>VW1898 NC</t>
        </is>
      </c>
      <c r="G2582" s="144" t="inlineStr">
        <is>
          <t>GRAY FREIGHT</t>
        </is>
      </c>
      <c r="H2582" s="144" t="n">
        <v>1221</v>
      </c>
      <c r="I2582" s="144" t="inlineStr">
        <is>
          <t>COMMERCIAL</t>
        </is>
      </c>
    </row>
    <row r="2583" ht="18" customHeight="1" s="7">
      <c r="A2583" s="144" t="inlineStr">
        <is>
          <t xml:space="preserve">AGUIRRE MANUEL </t>
        </is>
      </c>
      <c r="B2583" s="144" t="inlineStr">
        <is>
          <t>D2451305 CA</t>
        </is>
      </c>
      <c r="C2583" s="144" t="inlineStr">
        <is>
          <t>CKF EXPRESS</t>
        </is>
      </c>
      <c r="D2583" s="144" t="n">
        <v>7144304763</v>
      </c>
      <c r="E2583" s="144" t="inlineStr">
        <is>
          <t>BOX</t>
        </is>
      </c>
      <c r="F2583" s="144" t="inlineStr">
        <is>
          <t>ZP04195 CA</t>
        </is>
      </c>
      <c r="G2583" s="144" t="inlineStr">
        <is>
          <t>WHITE FREIGHTLINER</t>
        </is>
      </c>
      <c r="H2583" s="144" t="n">
        <v>1221</v>
      </c>
      <c r="I2583" s="144" t="inlineStr">
        <is>
          <t>COMMERCIAL</t>
        </is>
      </c>
    </row>
    <row r="2584" ht="18" customHeight="1" s="7">
      <c r="A2584" s="144" t="inlineStr">
        <is>
          <t>JAMES SPIVEY</t>
        </is>
      </c>
      <c r="B2584" s="144" t="inlineStr">
        <is>
          <t>*056072976 GA</t>
        </is>
      </c>
      <c r="C2584" s="144" t="inlineStr">
        <is>
          <t>CONCRETE ENTERP</t>
        </is>
      </c>
      <c r="D2584" s="144" t="n">
        <v>2298881904</v>
      </c>
      <c r="E2584" s="144" t="inlineStr">
        <is>
          <t>DUMP</t>
        </is>
      </c>
      <c r="F2584" s="144" t="inlineStr">
        <is>
          <t>EXV269 GA</t>
        </is>
      </c>
      <c r="G2584" s="144" t="inlineStr">
        <is>
          <t>WHITE KENWORTH</t>
        </is>
      </c>
      <c r="H2584" s="144" t="n">
        <v>7425</v>
      </c>
      <c r="I2584" s="144" t="inlineStr">
        <is>
          <t>COMMERCIAL</t>
        </is>
      </c>
    </row>
    <row r="2585" ht="18" customHeight="1" s="7">
      <c r="A2585" s="144" t="inlineStr">
        <is>
          <t>BRADLEY NORMAN JR</t>
        </is>
      </c>
      <c r="B2585" s="144" t="inlineStr">
        <is>
          <t>101107784 SC</t>
        </is>
      </c>
      <c r="C2585" s="144" t="inlineStr">
        <is>
          <t>MERCER TRANS</t>
        </is>
      </c>
      <c r="D2585" s="144" t="n">
        <v>8434414051</v>
      </c>
      <c r="E2585" s="144" t="inlineStr">
        <is>
          <t>FLAT</t>
        </is>
      </c>
      <c r="F2585" s="144" t="inlineStr">
        <is>
          <t>3801522 IN</t>
        </is>
      </c>
      <c r="G2585" s="144" t="inlineStr">
        <is>
          <t>BLUE INTER</t>
        </is>
      </c>
      <c r="H2585" s="144" t="n">
        <v>1221</v>
      </c>
      <c r="I2585" s="144" t="inlineStr">
        <is>
          <t>COMMERCIAL</t>
        </is>
      </c>
    </row>
    <row r="2586" ht="18" customHeight="1" s="7">
      <c r="A2586" s="144" t="inlineStr">
        <is>
          <t>PHARRIS MOORE</t>
        </is>
      </c>
      <c r="B2586" s="144" t="inlineStr">
        <is>
          <t>4644930 AL</t>
        </is>
      </c>
      <c r="C2586" s="144" t="inlineStr">
        <is>
          <t>LANDSTAR</t>
        </is>
      </c>
      <c r="D2586" s="144" t="n">
        <v>2054991079</v>
      </c>
      <c r="E2586" s="144" t="inlineStr">
        <is>
          <t>FLAT</t>
        </is>
      </c>
      <c r="F2586" s="144" t="inlineStr">
        <is>
          <t>3842439 IN</t>
        </is>
      </c>
      <c r="G2586" s="144" t="inlineStr">
        <is>
          <t>GREEN PETERBILT</t>
        </is>
      </c>
      <c r="H2586" s="144" t="n">
        <v>1221</v>
      </c>
      <c r="I2586" s="144" t="inlineStr">
        <is>
          <t>COMMERCIAL</t>
        </is>
      </c>
    </row>
    <row r="2587" ht="18" customHeight="1" s="7">
      <c r="A2587" s="144" t="inlineStr">
        <is>
          <t>SADAT SAYED</t>
        </is>
      </c>
      <c r="B2587" s="144" t="inlineStr">
        <is>
          <t>41005226 TX</t>
        </is>
      </c>
      <c r="C2587" s="144" t="inlineStr">
        <is>
          <t>MOVEMATES LOG</t>
        </is>
      </c>
      <c r="D2587" s="144" t="n">
        <v>4694639267</v>
      </c>
      <c r="E2587" s="144" t="inlineStr">
        <is>
          <t>FLAT</t>
        </is>
      </c>
      <c r="F2587" s="144" t="inlineStr">
        <is>
          <t>R708215 TX</t>
        </is>
      </c>
      <c r="G2587" s="144" t="inlineStr">
        <is>
          <t>WHITE FREIGHTLINER</t>
        </is>
      </c>
      <c r="H2587" s="144" t="n">
        <v>1221</v>
      </c>
      <c r="I2587" s="144" t="inlineStr">
        <is>
          <t>COMMERCIAL</t>
        </is>
      </c>
    </row>
    <row r="2588" ht="18" customHeight="1" s="7">
      <c r="A2588" s="144" t="inlineStr">
        <is>
          <t>LUTSENKO GENNADY</t>
        </is>
      </c>
      <c r="B2588" s="144" t="inlineStr">
        <is>
          <t>Y1852410 CA</t>
        </is>
      </c>
      <c r="C2588" s="144" t="inlineStr">
        <is>
          <t>IMC TRANS</t>
        </is>
      </c>
      <c r="D2588" s="144" t="n">
        <v>5205592655</v>
      </c>
      <c r="E2588" s="144" t="inlineStr">
        <is>
          <t>FLAT</t>
        </is>
      </c>
      <c r="F2588" s="144" t="inlineStr">
        <is>
          <t>ZP09325 CA</t>
        </is>
      </c>
      <c r="G2588" s="144" t="inlineStr">
        <is>
          <t>WHITE PETERBILT</t>
        </is>
      </c>
      <c r="H2588" s="144" t="n">
        <v>1221</v>
      </c>
      <c r="I2588" s="144" t="inlineStr">
        <is>
          <t>COMMERCIAL</t>
        </is>
      </c>
    </row>
    <row r="2589" ht="18" customHeight="1" s="7">
      <c r="A2589" s="144" t="inlineStr">
        <is>
          <t>COMPANIONI DUANY</t>
        </is>
      </c>
      <c r="B2589" s="144" t="inlineStr">
        <is>
          <t>C02730394 KY</t>
        </is>
      </c>
      <c r="C2589" s="144" t="inlineStr">
        <is>
          <t>NEW RAM EXPRESS</t>
        </is>
      </c>
      <c r="D2589" s="144" t="n">
        <v>5022601549</v>
      </c>
      <c r="E2589" s="144" t="inlineStr">
        <is>
          <t>BOX</t>
        </is>
      </c>
      <c r="F2589" s="144" t="inlineStr">
        <is>
          <t>77699Z WI</t>
        </is>
      </c>
      <c r="G2589" s="144" t="inlineStr">
        <is>
          <t>BLUE VOLVO</t>
        </is>
      </c>
      <c r="H2589" s="144" t="n">
        <v>1221</v>
      </c>
      <c r="I2589" s="144" t="inlineStr">
        <is>
          <t>COMMERCIAL</t>
        </is>
      </c>
    </row>
    <row r="2590" ht="18" customHeight="1" s="7">
      <c r="A2590" s="144" t="inlineStr">
        <is>
          <t>TAYLOR SANDERS</t>
        </is>
      </c>
      <c r="B2590" s="144" t="inlineStr">
        <is>
          <t>057707089 GA</t>
        </is>
      </c>
      <c r="C2590" s="144" t="inlineStr">
        <is>
          <t>LIFTONE</t>
        </is>
      </c>
      <c r="D2590" s="144" t="n">
        <v>8555438663</v>
      </c>
      <c r="E2590" s="144" t="inlineStr">
        <is>
          <t>VAN</t>
        </is>
      </c>
      <c r="F2590" s="144" t="inlineStr">
        <is>
          <t>SKY2432 GA</t>
        </is>
      </c>
      <c r="G2590" s="144" t="inlineStr">
        <is>
          <t>WHITE MERCEDES</t>
        </is>
      </c>
      <c r="H2590" s="144" t="n">
        <v>1231</v>
      </c>
      <c r="I2590" s="144" t="inlineStr">
        <is>
          <t>CONTRACTOR</t>
        </is>
      </c>
    </row>
    <row r="2591" ht="18" customHeight="1" s="7">
      <c r="A2591" s="144" t="inlineStr">
        <is>
          <t>ZACHARY WOOD</t>
        </is>
      </c>
      <c r="B2591" s="144" t="inlineStr">
        <is>
          <t>072440124 GA</t>
        </is>
      </c>
      <c r="C2591" s="144" t="inlineStr">
        <is>
          <t>LIQUID ENVIRONMENTAL</t>
        </is>
      </c>
      <c r="D2591" s="144" t="n">
        <v>8666947327</v>
      </c>
      <c r="E2591" s="144" t="inlineStr">
        <is>
          <t>TANK</t>
        </is>
      </c>
      <c r="F2591" s="144" t="inlineStr">
        <is>
          <t>K130482 TX</t>
        </is>
      </c>
      <c r="G2591" s="144" t="inlineStr">
        <is>
          <t>WHITE KENWORTH</t>
        </is>
      </c>
      <c r="H2591" s="144" t="n">
        <v>7501</v>
      </c>
      <c r="I2591" s="144" t="inlineStr">
        <is>
          <t>CONTRACTOR</t>
        </is>
      </c>
    </row>
    <row r="2592" ht="18" customHeight="1" s="7">
      <c r="A2592" s="144" t="inlineStr">
        <is>
          <t>CHARLIE BROWN</t>
        </is>
      </c>
      <c r="B2592" s="144" t="inlineStr">
        <is>
          <t>054312143 GA</t>
        </is>
      </c>
      <c r="C2592" s="144" t="inlineStr">
        <is>
          <t>XPO</t>
        </is>
      </c>
      <c r="D2592" s="144" t="n">
        <v>2298869464</v>
      </c>
      <c r="E2592" s="144" t="inlineStr">
        <is>
          <t>BOX</t>
        </is>
      </c>
      <c r="F2592" s="144" t="inlineStr">
        <is>
          <t>3431409 IN</t>
        </is>
      </c>
      <c r="G2592" s="144" t="inlineStr">
        <is>
          <t>WHITE FREIGHTLINER</t>
        </is>
      </c>
      <c r="H2592" s="144" t="n">
        <v>1221</v>
      </c>
      <c r="I2592" s="144" t="inlineStr">
        <is>
          <t>COMMERCIAL</t>
        </is>
      </c>
    </row>
    <row r="2593" ht="18" customHeight="1" s="7">
      <c r="A2593" s="144" t="inlineStr">
        <is>
          <t>ATTEUS HALLANDO</t>
        </is>
      </c>
      <c r="B2593" s="144" t="inlineStr">
        <is>
          <t>A320320923430 FL</t>
        </is>
      </c>
      <c r="C2593" s="144" t="inlineStr">
        <is>
          <t>SOFIA</t>
        </is>
      </c>
      <c r="D2593" s="144" t="n">
        <v>3212651789</v>
      </c>
      <c r="E2593" s="144" t="inlineStr">
        <is>
          <t>BOX</t>
        </is>
      </c>
      <c r="F2593" s="144" t="inlineStr">
        <is>
          <t>T223542 IN</t>
        </is>
      </c>
      <c r="G2593" s="144" t="inlineStr">
        <is>
          <t>GREY FREIGHTLINER</t>
        </is>
      </c>
      <c r="H2593" s="144" t="n">
        <v>1221</v>
      </c>
      <c r="I2593" s="144" t="inlineStr">
        <is>
          <t>COMMERCIAL</t>
        </is>
      </c>
    </row>
    <row r="2594" ht="18" customHeight="1" s="7">
      <c r="A2594" s="144" t="inlineStr">
        <is>
          <t>AHMED DOKA</t>
        </is>
      </c>
      <c r="B2594" s="144" t="inlineStr">
        <is>
          <t>822793829 NY</t>
        </is>
      </c>
      <c r="C2594" s="144" t="inlineStr">
        <is>
          <t>A&amp;M CARRIERS</t>
        </is>
      </c>
      <c r="D2594" s="144" t="n">
        <v>3159498422</v>
      </c>
      <c r="E2594" s="144" t="inlineStr">
        <is>
          <t>FLAT</t>
        </is>
      </c>
      <c r="F2594" s="144" t="inlineStr">
        <is>
          <t>P1126225 IL</t>
        </is>
      </c>
      <c r="G2594" s="144" t="inlineStr">
        <is>
          <t>WHITE MACK</t>
        </is>
      </c>
      <c r="H2594" s="144" t="n">
        <v>1221</v>
      </c>
      <c r="I2594" s="144" t="inlineStr">
        <is>
          <t>COMMERCIAL</t>
        </is>
      </c>
    </row>
    <row r="2595" ht="18" customHeight="1" s="7">
      <c r="A2595" s="144" t="inlineStr">
        <is>
          <t>CHRISTOPHER YERBY</t>
        </is>
      </c>
      <c r="B2595" s="144" t="inlineStr">
        <is>
          <t>054298312 GA</t>
        </is>
      </c>
      <c r="C2595" s="144" t="inlineStr">
        <is>
          <t>DSC-EMI</t>
        </is>
      </c>
      <c r="D2595" s="144" t="n">
        <v>2298691490</v>
      </c>
      <c r="E2595" s="144" t="inlineStr">
        <is>
          <t>PU</t>
        </is>
      </c>
      <c r="F2595" s="144" t="inlineStr">
        <is>
          <t>TAE8497 NC</t>
        </is>
      </c>
      <c r="G2595" s="144" t="inlineStr">
        <is>
          <t>WHITE GMC</t>
        </is>
      </c>
      <c r="H2595" s="144" t="n">
        <v>3500</v>
      </c>
      <c r="I2595" s="144" t="inlineStr">
        <is>
          <t>CONTRACTOR</t>
        </is>
      </c>
    </row>
    <row r="2596" ht="18" customHeight="1" s="7">
      <c r="A2596" s="144" t="inlineStr">
        <is>
          <t>BRUCE MAJINGO</t>
        </is>
      </c>
      <c r="B2596" s="144" t="inlineStr">
        <is>
          <t>41497028 TX</t>
        </is>
      </c>
      <c r="C2596" s="144" t="inlineStr">
        <is>
          <t>INRASA TRANS</t>
        </is>
      </c>
      <c r="D2596" s="144" t="n">
        <v>9728655940</v>
      </c>
      <c r="E2596" s="144" t="inlineStr">
        <is>
          <t>PU</t>
        </is>
      </c>
      <c r="F2596" s="144" t="inlineStr">
        <is>
          <t>VMR0056 TX</t>
        </is>
      </c>
      <c r="G2596" s="144" t="inlineStr">
        <is>
          <t>WHITE RAM</t>
        </is>
      </c>
      <c r="H2596" s="144" t="n">
        <v>1221</v>
      </c>
      <c r="I2596" s="144" t="inlineStr">
        <is>
          <t>CONTRACTOR</t>
        </is>
      </c>
    </row>
    <row r="2597" ht="18" customHeight="1" s="7">
      <c r="A2597" s="144" t="inlineStr">
        <is>
          <t>CRAIG WEATHERINGTON</t>
        </is>
      </c>
      <c r="B2597" s="144" t="inlineStr">
        <is>
          <t>9784317 AL</t>
        </is>
      </c>
      <c r="C2597" s="144" t="inlineStr">
        <is>
          <t>MCLANE</t>
        </is>
      </c>
      <c r="D2597" s="144" t="n">
        <v>3347968974</v>
      </c>
      <c r="E2597" s="144" t="inlineStr">
        <is>
          <t>BOX</t>
        </is>
      </c>
      <c r="F2597" s="144" t="inlineStr">
        <is>
          <t>P935942 IL</t>
        </is>
      </c>
      <c r="G2597" s="144" t="inlineStr">
        <is>
          <t>WHITE FREIGHTLINER</t>
        </is>
      </c>
      <c r="H2597" s="144" t="n">
        <v>7501</v>
      </c>
      <c r="I2597" s="144" t="inlineStr">
        <is>
          <t>COMMERCIAL</t>
        </is>
      </c>
    </row>
    <row r="2598" ht="18" customHeight="1" s="7">
      <c r="A2598" s="144" t="inlineStr">
        <is>
          <t>BELAY YAZACHEW</t>
        </is>
      </c>
      <c r="B2598" s="144" t="inlineStr">
        <is>
          <t>*059419098 GA</t>
        </is>
      </c>
      <c r="C2598" s="144" t="inlineStr">
        <is>
          <t>JIMMA CARRIER</t>
        </is>
      </c>
      <c r="D2598" s="144" t="n">
        <v>4045736266</v>
      </c>
      <c r="E2598" s="144" t="inlineStr">
        <is>
          <t>BOX</t>
        </is>
      </c>
      <c r="F2598" s="144" t="inlineStr">
        <is>
          <t>C787CY GA</t>
        </is>
      </c>
      <c r="G2598" s="144" t="inlineStr">
        <is>
          <t>WHITE FREIGHTLINER</t>
        </is>
      </c>
      <c r="H2598" s="144" t="n">
        <v>7500</v>
      </c>
      <c r="I2598" s="144" t="inlineStr">
        <is>
          <t>COMMERCIAL</t>
        </is>
      </c>
    </row>
    <row r="2599" ht="18" customHeight="1" s="7">
      <c r="A2599" s="144" t="inlineStr">
        <is>
          <t>SCOTT DANIELS</t>
        </is>
      </c>
      <c r="B2599" s="144" t="inlineStr">
        <is>
          <t>*062155512 GA</t>
        </is>
      </c>
      <c r="C2599" s="144" t="inlineStr">
        <is>
          <t>CITY OF ALBANY</t>
        </is>
      </c>
      <c r="D2599" s="144" t="n">
        <v>2298947448</v>
      </c>
      <c r="E2599" s="144" t="inlineStr">
        <is>
          <t>PU</t>
        </is>
      </c>
      <c r="F2599" s="144" t="inlineStr">
        <is>
          <t>GV0314G GA</t>
        </is>
      </c>
      <c r="G2599" s="144" t="inlineStr">
        <is>
          <t>WHITE DODGE</t>
        </is>
      </c>
      <c r="H2599" s="144" t="n">
        <v>5500</v>
      </c>
      <c r="I2599" s="144" t="inlineStr">
        <is>
          <t>CONTRACTOR</t>
        </is>
      </c>
    </row>
    <row r="2600" ht="18" customHeight="1" s="7">
      <c r="A2600" s="144" t="inlineStr">
        <is>
          <t>TIMMY GORDON</t>
        </is>
      </c>
      <c r="B2600" s="144" t="inlineStr">
        <is>
          <t>*059463010 GA</t>
        </is>
      </c>
      <c r="C2600" s="144" t="inlineStr">
        <is>
          <t>CITY OF ALBANY</t>
        </is>
      </c>
      <c r="D2600" s="144" t="n">
        <v>2292557750</v>
      </c>
      <c r="E2600" s="144" t="inlineStr">
        <is>
          <t>PU</t>
        </is>
      </c>
      <c r="F2600" s="144" t="inlineStr">
        <is>
          <t>GV01272 GA</t>
        </is>
      </c>
      <c r="G2600" s="144" t="inlineStr">
        <is>
          <t>WHITE FORD</t>
        </is>
      </c>
      <c r="H2600" s="144" t="n">
        <v>5500</v>
      </c>
      <c r="I2600" s="144" t="inlineStr">
        <is>
          <t>CONTRACTOR</t>
        </is>
      </c>
    </row>
    <row r="2601" ht="18" customHeight="1" s="7">
      <c r="A2601" s="144" t="inlineStr">
        <is>
          <t>DAVID GREEN</t>
        </is>
      </c>
      <c r="B2601" s="144" t="inlineStr">
        <is>
          <t>*056113737 GA</t>
        </is>
      </c>
      <c r="C2601" s="144" t="inlineStr">
        <is>
          <t>CITY OF ALBANY</t>
        </is>
      </c>
      <c r="D2601" s="144" t="n">
        <v>2298090861</v>
      </c>
      <c r="E2601" s="144" t="inlineStr">
        <is>
          <t>PU</t>
        </is>
      </c>
      <c r="F2601" s="144" t="inlineStr">
        <is>
          <t>GV3408N GA</t>
        </is>
      </c>
      <c r="G2601" s="144" t="inlineStr">
        <is>
          <t>WHITE FORD</t>
        </is>
      </c>
      <c r="H2601" s="144" t="n">
        <v>5500</v>
      </c>
      <c r="I2601" s="144" t="inlineStr">
        <is>
          <t>CONTRACTOR</t>
        </is>
      </c>
    </row>
    <row r="2602" ht="18" customHeight="1" s="7">
      <c r="A2602" s="144" t="inlineStr">
        <is>
          <t>JAMES SPENCE</t>
        </is>
      </c>
      <c r="B2602" s="144" t="inlineStr">
        <is>
          <t>A1184417 CA</t>
        </is>
      </c>
      <c r="C2602" s="144" t="inlineStr">
        <is>
          <t>HAWTHORNE</t>
        </is>
      </c>
      <c r="D2602" s="144" t="n">
        <v>8055745581</v>
      </c>
      <c r="E2602" s="144" t="inlineStr">
        <is>
          <t>PU</t>
        </is>
      </c>
      <c r="F2602" s="144" t="inlineStr">
        <is>
          <t>96099A4 CA</t>
        </is>
      </c>
      <c r="G2602" s="144" t="inlineStr">
        <is>
          <t>WHITE FREIGHTLINER</t>
        </is>
      </c>
      <c r="H2602" s="144" t="n">
        <v>1221</v>
      </c>
      <c r="I2602" s="144" t="inlineStr">
        <is>
          <t>CONTRACTOR</t>
        </is>
      </c>
    </row>
    <row r="2603" ht="18" customHeight="1" s="7">
      <c r="A2603" s="144" t="inlineStr">
        <is>
          <t>WILLIAM DEASON</t>
        </is>
      </c>
      <c r="B2603" s="144" t="inlineStr">
        <is>
          <t>049413936 GA</t>
        </is>
      </c>
      <c r="C2603" s="144" t="inlineStr">
        <is>
          <t>MJW</t>
        </is>
      </c>
      <c r="D2603" s="144" t="n">
        <v>9124290322</v>
      </c>
      <c r="E2603" s="144" t="inlineStr">
        <is>
          <t>PU</t>
        </is>
      </c>
      <c r="F2603" s="144" t="inlineStr">
        <is>
          <t>DX30JY FL</t>
        </is>
      </c>
      <c r="G2603" s="144" t="inlineStr">
        <is>
          <t>WHITE FORD</t>
        </is>
      </c>
      <c r="H2603" s="144" t="n">
        <v>1350</v>
      </c>
      <c r="I2603" s="144" t="inlineStr">
        <is>
          <t>CONTRACTOR</t>
        </is>
      </c>
    </row>
    <row r="2604" ht="18" customHeight="1" s="7">
      <c r="A2604" s="144" t="inlineStr">
        <is>
          <t>LESTER YOUNG</t>
        </is>
      </c>
      <c r="B2604" s="144" t="inlineStr">
        <is>
          <t>050632106 GA</t>
        </is>
      </c>
      <c r="C2604" s="144" t="inlineStr">
        <is>
          <t>RTC LLC</t>
        </is>
      </c>
      <c r="D2604" s="144" t="n">
        <v>2298735492</v>
      </c>
      <c r="E2604" s="144" t="inlineStr">
        <is>
          <t>PU</t>
        </is>
      </c>
      <c r="F2604" s="144" t="inlineStr">
        <is>
          <t>C654FC GA</t>
        </is>
      </c>
      <c r="G2604" s="144" t="inlineStr">
        <is>
          <t>BLACK CHEV</t>
        </is>
      </c>
      <c r="H2604" s="144" t="n">
        <v>1221</v>
      </c>
      <c r="I2604" s="144" t="inlineStr">
        <is>
          <t>CONTRACTOR</t>
        </is>
      </c>
    </row>
    <row r="2605" ht="18" customHeight="1" s="7">
      <c r="A2605" s="144" t="inlineStr">
        <is>
          <t>TRAVENO JACKSON</t>
        </is>
      </c>
      <c r="B2605" s="144" t="inlineStr">
        <is>
          <t>052495950 GA</t>
        </is>
      </c>
      <c r="C2605" s="144" t="inlineStr">
        <is>
          <t>OXFORD CONSTRUC</t>
        </is>
      </c>
      <c r="D2605" s="144" t="n">
        <v>2297337884</v>
      </c>
      <c r="E2605" s="144" t="inlineStr">
        <is>
          <t>PU</t>
        </is>
      </c>
      <c r="F2605" s="144" t="inlineStr">
        <is>
          <t>TEI6065 GA</t>
        </is>
      </c>
      <c r="G2605" s="144" t="inlineStr">
        <is>
          <t>WHITE FORD</t>
        </is>
      </c>
      <c r="H2605" s="144" t="inlineStr">
        <is>
          <t>GATE15</t>
        </is>
      </c>
      <c r="I2605" s="144" t="inlineStr">
        <is>
          <t>CONTRACTOR</t>
        </is>
      </c>
    </row>
    <row r="2606" ht="18" customHeight="1" s="7">
      <c r="A2606" s="144" t="inlineStr">
        <is>
          <t>JOSEPH BROOKS</t>
        </is>
      </c>
      <c r="B2606" s="144" t="inlineStr">
        <is>
          <t>D10482734 AR</t>
        </is>
      </c>
      <c r="C2606" s="144" t="inlineStr">
        <is>
          <t>XLG TRANS</t>
        </is>
      </c>
      <c r="D2606" s="144" t="n">
        <v>8056213781</v>
      </c>
      <c r="E2606" s="144" t="inlineStr">
        <is>
          <t>FLAT</t>
        </is>
      </c>
      <c r="F2606" s="144" t="inlineStr">
        <is>
          <t>2251696 IN</t>
        </is>
      </c>
      <c r="G2606" s="144" t="inlineStr">
        <is>
          <t>YELLOW KENWORTH</t>
        </is>
      </c>
      <c r="H2606" s="144" t="n">
        <v>1221</v>
      </c>
      <c r="I2606" s="144" t="inlineStr">
        <is>
          <t>COMMERICAL</t>
        </is>
      </c>
    </row>
    <row r="2607" ht="18" customHeight="1" s="7">
      <c r="A2607" s="144" t="inlineStr">
        <is>
          <t>PAUL MILES</t>
        </is>
      </c>
      <c r="B2607" s="144" t="inlineStr">
        <is>
          <t>055925643 GA</t>
        </is>
      </c>
      <c r="C2607" s="144" t="inlineStr">
        <is>
          <t>QUIAL FOREVER</t>
        </is>
      </c>
      <c r="D2607" s="144" t="n">
        <v>8282790946</v>
      </c>
      <c r="E2607" s="144" t="inlineStr">
        <is>
          <t>PU</t>
        </is>
      </c>
      <c r="F2607" s="144" t="inlineStr">
        <is>
          <t xml:space="preserve">SAE3728 GA </t>
        </is>
      </c>
      <c r="G2607" s="144" t="inlineStr">
        <is>
          <t>RED FORD</t>
        </is>
      </c>
      <c r="H2607" s="144" t="n">
        <v>5156</v>
      </c>
      <c r="I2607" s="144" t="inlineStr">
        <is>
          <t>CONTRACTOR</t>
        </is>
      </c>
    </row>
    <row r="2608" ht="18" customHeight="1" s="7">
      <c r="A2608" s="144" t="inlineStr">
        <is>
          <t>DARREL FANNIN</t>
        </is>
      </c>
      <c r="B2608" s="144" t="inlineStr">
        <is>
          <t>F94206560 KY</t>
        </is>
      </c>
      <c r="C2608" s="144" t="inlineStr">
        <is>
          <t>DARREL FANNIN</t>
        </is>
      </c>
      <c r="D2608" s="144" t="n">
        <v>6062020778</v>
      </c>
      <c r="E2608" s="144" t="inlineStr">
        <is>
          <t>FLAT</t>
        </is>
      </c>
      <c r="F2608" s="144" t="inlineStr">
        <is>
          <t>000699A KY</t>
        </is>
      </c>
      <c r="G2608" s="144" t="inlineStr">
        <is>
          <t>BLACK PETERBILT</t>
        </is>
      </c>
      <c r="H2608" s="144" t="n">
        <v>1221</v>
      </c>
      <c r="I2608" s="144" t="inlineStr">
        <is>
          <t>COMMERCIAL</t>
        </is>
      </c>
    </row>
    <row r="2609" ht="18" customHeight="1" s="7">
      <c r="A2609" s="144" t="inlineStr">
        <is>
          <t>YULIER ROJAS</t>
        </is>
      </c>
      <c r="B2609" s="144" t="inlineStr">
        <is>
          <t>R17919792</t>
        </is>
      </c>
      <c r="C2609" s="144" t="inlineStr">
        <is>
          <t>NEW RAM</t>
        </is>
      </c>
      <c r="D2609" s="144" t="n">
        <v>5026569846</v>
      </c>
      <c r="E2609" s="144" t="inlineStr">
        <is>
          <t>BOX</t>
        </is>
      </c>
      <c r="F2609" s="144" t="inlineStr">
        <is>
          <t>30611Z WI</t>
        </is>
      </c>
      <c r="G2609" s="144" t="inlineStr">
        <is>
          <t>WHITE VOLVO</t>
        </is>
      </c>
      <c r="H2609" s="144" t="n">
        <v>1221</v>
      </c>
      <c r="I2609" s="144" t="inlineStr">
        <is>
          <t>COMMERICAL</t>
        </is>
      </c>
    </row>
    <row r="2610" ht="18" customHeight="1" s="7">
      <c r="A2610" s="144" t="inlineStr">
        <is>
          <t>FREDDY GRIMSLEY</t>
        </is>
      </c>
      <c r="B2610" s="144" t="inlineStr">
        <is>
          <t>054287112 GA</t>
        </is>
      </c>
      <c r="C2610" s="144" t="inlineStr">
        <is>
          <t>XPO LOGISTIC</t>
        </is>
      </c>
      <c r="D2610" s="144" t="n">
        <v>4049986156</v>
      </c>
      <c r="E2610" s="144" t="inlineStr">
        <is>
          <t>BOX</t>
        </is>
      </c>
      <c r="F2610" s="144" t="inlineStr">
        <is>
          <t>3712201 IN</t>
        </is>
      </c>
      <c r="G2610" s="144" t="inlineStr">
        <is>
          <t>WHITE KENWORTH</t>
        </is>
      </c>
      <c r="H2610" s="144" t="n">
        <v>2200</v>
      </c>
      <c r="I2610" s="144" t="inlineStr">
        <is>
          <t>COMMERICAL</t>
        </is>
      </c>
    </row>
    <row r="2611" ht="18" customHeight="1" s="7">
      <c r="A2611" s="144" t="inlineStr">
        <is>
          <t>MICHEAL CRIBBS</t>
        </is>
      </c>
      <c r="B2611" s="144" t="inlineStr">
        <is>
          <t>C612545791890 FL</t>
        </is>
      </c>
      <c r="C2611" s="144" t="inlineStr">
        <is>
          <t>MC TRANS</t>
        </is>
      </c>
      <c r="D2611" s="144" t="n">
        <v>8633701965</v>
      </c>
      <c r="E2611" s="144" t="inlineStr">
        <is>
          <t>PU</t>
        </is>
      </c>
      <c r="F2611" s="144" t="inlineStr">
        <is>
          <t>DD69IA FL</t>
        </is>
      </c>
      <c r="G2611" s="144" t="inlineStr">
        <is>
          <t>GREY DODGE</t>
        </is>
      </c>
      <c r="H2611" s="144" t="n">
        <v>1221</v>
      </c>
      <c r="I2611" s="144" t="inlineStr">
        <is>
          <t>CONTRACTOR</t>
        </is>
      </c>
    </row>
    <row r="2612" ht="18" customHeight="1" s="7">
      <c r="A2612" s="144" t="inlineStr">
        <is>
          <t>CHRISTOPER WESTBERRY</t>
        </is>
      </c>
      <c r="B2612" s="144" t="inlineStr">
        <is>
          <t>053073403 GA</t>
        </is>
      </c>
      <c r="C2612" s="144" t="inlineStr">
        <is>
          <t>DHC</t>
        </is>
      </c>
      <c r="D2612" s="144" t="n">
        <v>229435300</v>
      </c>
      <c r="E2612" s="144" t="inlineStr">
        <is>
          <t>PU</t>
        </is>
      </c>
      <c r="F2612" s="144" t="inlineStr">
        <is>
          <t>RYV2678 GA</t>
        </is>
      </c>
      <c r="G2612" s="144" t="inlineStr">
        <is>
          <t>BLACK FORD</t>
        </is>
      </c>
      <c r="H2612" s="144" t="inlineStr">
        <is>
          <t>FIRE STATION</t>
        </is>
      </c>
      <c r="I2612" s="144" t="inlineStr">
        <is>
          <t>CONTRACTOR</t>
        </is>
      </c>
    </row>
    <row r="2613" ht="18" customHeight="1" s="7">
      <c r="A2613" s="144" t="inlineStr">
        <is>
          <t>CHARLES DAUM</t>
        </is>
      </c>
      <c r="B2613" s="144" t="inlineStr">
        <is>
          <t>3742971 AL</t>
        </is>
      </c>
      <c r="C2613" s="144" t="inlineStr">
        <is>
          <t xml:space="preserve">ARMOUR GO </t>
        </is>
      </c>
      <c r="D2613" s="144" t="n">
        <v>3347264738</v>
      </c>
      <c r="E2613" s="144" t="inlineStr">
        <is>
          <t>FLAT</t>
        </is>
      </c>
      <c r="F2613" s="144" t="inlineStr">
        <is>
          <t>1199631 AL</t>
        </is>
      </c>
      <c r="G2613" s="144" t="inlineStr">
        <is>
          <t>BLUE KENWORTH</t>
        </is>
      </c>
      <c r="H2613" s="144" t="n">
        <v>1221</v>
      </c>
      <c r="I2613" s="144" t="inlineStr">
        <is>
          <t>COMMERICAL</t>
        </is>
      </c>
    </row>
    <row r="2614" ht="18" customHeight="1" s="7">
      <c r="A2614" s="144" t="inlineStr">
        <is>
          <t>MOHAMMED EL BOUACHRI</t>
        </is>
      </c>
      <c r="B2614" s="144" t="inlineStr">
        <is>
          <t>057920093 GA</t>
        </is>
      </c>
      <c r="C2614" s="144" t="inlineStr">
        <is>
          <t>IMRAN INC</t>
        </is>
      </c>
      <c r="D2614" s="144" t="n">
        <v>7703835802</v>
      </c>
      <c r="E2614" s="144" t="inlineStr">
        <is>
          <t>BOX</t>
        </is>
      </c>
      <c r="F2614" s="144" t="inlineStr">
        <is>
          <t>260237 KN</t>
        </is>
      </c>
      <c r="G2614" s="144" t="inlineStr">
        <is>
          <t>WHITE FREIGHTLINER</t>
        </is>
      </c>
      <c r="H2614" s="144" t="n">
        <v>1221</v>
      </c>
      <c r="I2614" s="144" t="inlineStr">
        <is>
          <t>COMMERCIAL</t>
        </is>
      </c>
    </row>
    <row r="2615" ht="18" customHeight="1" s="7">
      <c r="A2615" s="144" t="inlineStr">
        <is>
          <t>JIMMY LOWERY</t>
        </is>
      </c>
      <c r="B2615" s="144" t="inlineStr">
        <is>
          <t>056248716 GA</t>
        </is>
      </c>
      <c r="C2615" s="144" t="inlineStr">
        <is>
          <t>MODERING GAS</t>
        </is>
      </c>
      <c r="D2615" s="144" t="n">
        <v>2294073352</v>
      </c>
      <c r="E2615" s="144" t="inlineStr">
        <is>
          <t>GAS</t>
        </is>
      </c>
      <c r="F2615" s="144" t="inlineStr">
        <is>
          <t>EPL919 GA</t>
        </is>
      </c>
      <c r="G2615" s="144" t="inlineStr">
        <is>
          <t>WHITE FREIGHTLINER</t>
        </is>
      </c>
      <c r="H2615" s="144" t="n">
        <v>2500</v>
      </c>
      <c r="I2615" s="144" t="inlineStr">
        <is>
          <t>COMMERICAL</t>
        </is>
      </c>
    </row>
    <row r="2616" ht="18" customHeight="1" s="7">
      <c r="A2616" s="144" t="inlineStr">
        <is>
          <t>DAVID RICKS</t>
        </is>
      </c>
      <c r="B2616" s="144" t="inlineStr">
        <is>
          <t>R200161572890 FL</t>
        </is>
      </c>
      <c r="C2616" s="144" t="inlineStr">
        <is>
          <t>BREVARD DROUTING</t>
        </is>
      </c>
      <c r="D2616" s="144" t="n">
        <v>3216260576</v>
      </c>
      <c r="E2616" s="144" t="inlineStr">
        <is>
          <t>PU</t>
        </is>
      </c>
      <c r="F2616" s="144" t="inlineStr">
        <is>
          <t>NMFK28 FL</t>
        </is>
      </c>
      <c r="G2616" s="144" t="inlineStr">
        <is>
          <t>WHITE CHEV</t>
        </is>
      </c>
      <c r="H2616" s="144" t="n">
        <v>1361</v>
      </c>
      <c r="I2616" s="144" t="inlineStr">
        <is>
          <t>CONTRACTOR</t>
        </is>
      </c>
    </row>
    <row r="2617" ht="18" customHeight="1" s="7">
      <c r="A2617" s="144" t="inlineStr">
        <is>
          <t>JONATHAN DANIEL</t>
        </is>
      </c>
      <c r="B2617" s="144" t="inlineStr">
        <is>
          <t>892025088 GA</t>
        </is>
      </c>
      <c r="C2617" s="144" t="inlineStr">
        <is>
          <t>KAREX</t>
        </is>
      </c>
      <c r="D2617" s="144" t="n">
        <v>6784929304</v>
      </c>
      <c r="E2617" s="144" t="inlineStr">
        <is>
          <t>PU</t>
        </is>
      </c>
      <c r="F2617" s="144" t="inlineStr">
        <is>
          <t>SIA2913</t>
        </is>
      </c>
      <c r="G2617" s="144" t="inlineStr">
        <is>
          <t>WHITE FORD</t>
        </is>
      </c>
      <c r="H2617" s="144" t="n">
        <v>2200</v>
      </c>
      <c r="I2617" s="144" t="inlineStr">
        <is>
          <t>CONTRACTOR</t>
        </is>
      </c>
    </row>
    <row r="2618" ht="18" customHeight="1" s="7">
      <c r="A2618" s="144" t="inlineStr">
        <is>
          <t>LAWRENCE WESLEY</t>
        </is>
      </c>
      <c r="B2618" s="144" t="inlineStr">
        <is>
          <t>7501039 AL</t>
        </is>
      </c>
      <c r="C2618" s="144" t="inlineStr">
        <is>
          <t>KAREX</t>
        </is>
      </c>
      <c r="D2618" s="144" t="n">
        <v>2514372726</v>
      </c>
      <c r="E2618" s="144" t="inlineStr">
        <is>
          <t>PU</t>
        </is>
      </c>
      <c r="F2618" s="144" t="inlineStr">
        <is>
          <t>5C01A0E AL</t>
        </is>
      </c>
      <c r="G2618" s="144" t="inlineStr">
        <is>
          <t>WHITE FORD</t>
        </is>
      </c>
      <c r="H2618" s="144" t="n">
        <v>2200</v>
      </c>
      <c r="I2618" s="144" t="inlineStr">
        <is>
          <t>CONTRACTOR</t>
        </is>
      </c>
    </row>
    <row r="2619" ht="18" customHeight="1" s="7">
      <c r="A2619" s="144" t="inlineStr">
        <is>
          <t>LEVAR CROSS</t>
        </is>
      </c>
      <c r="B2619" s="144" t="inlineStr">
        <is>
          <t>049663081 GA</t>
        </is>
      </c>
      <c r="C2619" s="144" t="inlineStr">
        <is>
          <t>SAIA</t>
        </is>
      </c>
      <c r="D2619" s="144" t="n">
        <v>2294054873</v>
      </c>
      <c r="E2619" s="144" t="inlineStr">
        <is>
          <t>BOX</t>
        </is>
      </c>
      <c r="F2619" s="144" t="inlineStr">
        <is>
          <t>P268551 LA</t>
        </is>
      </c>
      <c r="G2619" s="144" t="inlineStr">
        <is>
          <t>RED FREIGHTLINER</t>
        </is>
      </c>
      <c r="H2619" s="144" t="n">
        <v>1221</v>
      </c>
      <c r="I2619" s="144" t="inlineStr">
        <is>
          <t>COMMERICAL</t>
        </is>
      </c>
    </row>
    <row r="2620" ht="18" customHeight="1" s="7">
      <c r="A2620" s="144" t="inlineStr">
        <is>
          <t>KOSTIANTYN CHAIKIN</t>
        </is>
      </c>
      <c r="B2620" s="144" t="inlineStr">
        <is>
          <t>311242538 NY</t>
        </is>
      </c>
      <c r="C2620" s="144" t="inlineStr">
        <is>
          <t>SUNWAY CARRIERS</t>
        </is>
      </c>
      <c r="D2620" s="144" t="n">
        <v>3476826410</v>
      </c>
      <c r="E2620" s="144" t="inlineStr">
        <is>
          <t>BOX</t>
        </is>
      </c>
      <c r="F2620" s="144" t="inlineStr">
        <is>
          <t xml:space="preserve">47639PF NY </t>
        </is>
      </c>
      <c r="G2620" s="144" t="inlineStr">
        <is>
          <t>WHITE FREIGHTLINER</t>
        </is>
      </c>
      <c r="H2620" s="144" t="n">
        <v>1221</v>
      </c>
      <c r="I2620" s="144" t="inlineStr">
        <is>
          <t>COMMERICAL</t>
        </is>
      </c>
    </row>
    <row r="2621" ht="18" customHeight="1" s="7">
      <c r="A2621" s="144" t="inlineStr">
        <is>
          <t>MARK DAVIS</t>
        </is>
      </c>
      <c r="B2621" s="144" t="inlineStr">
        <is>
          <t>39977711 TX</t>
        </is>
      </c>
      <c r="C2621" s="144" t="inlineStr">
        <is>
          <t>DAVIS&amp;SON TRUCKING</t>
        </is>
      </c>
      <c r="D2621" s="144" t="n">
        <v>8176669758</v>
      </c>
      <c r="E2621" s="144" t="inlineStr">
        <is>
          <t>PU</t>
        </is>
      </c>
      <c r="F2621" s="144" t="inlineStr">
        <is>
          <t>K196306 TX</t>
        </is>
      </c>
      <c r="G2621" s="144" t="inlineStr">
        <is>
          <t>BLACK FORD</t>
        </is>
      </c>
      <c r="H2621" s="144" t="n">
        <v>1221</v>
      </c>
      <c r="I2621" s="144" t="inlineStr">
        <is>
          <t>COMMERICAL</t>
        </is>
      </c>
    </row>
    <row r="2622" ht="18" customHeight="1" s="7">
      <c r="A2622" s="144" t="inlineStr">
        <is>
          <t>AARON WYSE</t>
        </is>
      </c>
      <c r="B2622" s="144" t="inlineStr">
        <is>
          <t>6950869 AL</t>
        </is>
      </c>
      <c r="C2622" s="144" t="inlineStr">
        <is>
          <t>FIVE STAR</t>
        </is>
      </c>
      <c r="D2622" s="144" t="n">
        <v>3347013239</v>
      </c>
      <c r="E2622" s="144" t="inlineStr">
        <is>
          <t>FLAT</t>
        </is>
      </c>
      <c r="F2622" s="144" t="inlineStr">
        <is>
          <t>XPR901 GA</t>
        </is>
      </c>
      <c r="G2622" s="144" t="inlineStr">
        <is>
          <t>WHITE ISUZU</t>
        </is>
      </c>
      <c r="H2622" s="144" t="n">
        <v>3500</v>
      </c>
      <c r="I2622" s="144" t="inlineStr">
        <is>
          <t>CONTRACTOR</t>
        </is>
      </c>
    </row>
    <row r="2623" ht="18" customHeight="1" s="7">
      <c r="A2623" s="144" t="inlineStr">
        <is>
          <t>SULEIMANOVA TATIANA</t>
        </is>
      </c>
      <c r="B2623" s="144" t="inlineStr">
        <is>
          <t>S455800907140 FL</t>
        </is>
      </c>
      <c r="C2623" s="144" t="inlineStr">
        <is>
          <t>MODERN NOMAD</t>
        </is>
      </c>
      <c r="D2623" s="144" t="n">
        <v>8635587434</v>
      </c>
      <c r="E2623" s="144" t="inlineStr">
        <is>
          <t>FLAT</t>
        </is>
      </c>
      <c r="F2623" s="144" t="inlineStr">
        <is>
          <t>DF20CZ FL</t>
        </is>
      </c>
      <c r="G2623" s="144" t="inlineStr">
        <is>
          <t>GRAY FREIGHT</t>
        </is>
      </c>
      <c r="H2623" s="144" t="n">
        <v>1221</v>
      </c>
      <c r="I2623" s="144" t="inlineStr">
        <is>
          <t>COMMERCIAL</t>
        </is>
      </c>
    </row>
    <row r="2624" ht="18" customHeight="1" s="7">
      <c r="A2624" s="144" t="inlineStr">
        <is>
          <t>CHRISTOPHER GLOVER</t>
        </is>
      </c>
      <c r="B2624" s="144" t="inlineStr">
        <is>
          <t>*056255837 GA</t>
        </is>
      </c>
      <c r="C2624" s="144" t="inlineStr">
        <is>
          <t>EQUIPMENT SHARE</t>
        </is>
      </c>
      <c r="D2624" s="144" t="n">
        <v>4783976837</v>
      </c>
      <c r="E2624" s="144" t="inlineStr">
        <is>
          <t>FLAT</t>
        </is>
      </c>
      <c r="F2624" s="144" t="inlineStr">
        <is>
          <t>3719549 IN</t>
        </is>
      </c>
      <c r="G2624" s="144" t="inlineStr">
        <is>
          <t>ORANGE FREIGHTLINER</t>
        </is>
      </c>
      <c r="H2624" s="144" t="inlineStr">
        <is>
          <t>GATE 1/5</t>
        </is>
      </c>
      <c r="I2624" s="144" t="inlineStr">
        <is>
          <t>COMMERCIAL</t>
        </is>
      </c>
    </row>
    <row r="2625" ht="18" customHeight="1" s="7">
      <c r="A2625" s="144" t="inlineStr">
        <is>
          <t>HUNTER LLOYD</t>
        </is>
      </c>
      <c r="B2625" s="144" t="inlineStr">
        <is>
          <t>*058853561 GA</t>
        </is>
      </c>
      <c r="C2625" s="144" t="inlineStr">
        <is>
          <t>FRITO LAYS</t>
        </is>
      </c>
      <c r="D2625" s="144" t="n">
        <v>2295465534</v>
      </c>
      <c r="E2625" s="144" t="inlineStr">
        <is>
          <t>BOX</t>
        </is>
      </c>
      <c r="F2625" s="144" t="inlineStr">
        <is>
          <t>YEE313 GA</t>
        </is>
      </c>
      <c r="G2625" s="144" t="inlineStr">
        <is>
          <t>WHITE FREIGHTLINER</t>
        </is>
      </c>
      <c r="H2625" s="144" t="n">
        <v>7500</v>
      </c>
      <c r="I2625" s="144" t="inlineStr">
        <is>
          <t>COMMERCIAL</t>
        </is>
      </c>
    </row>
    <row r="2626" ht="18" customHeight="1" s="7">
      <c r="A2626" s="144" t="inlineStr">
        <is>
          <t>KEVIN DUSTIN</t>
        </is>
      </c>
      <c r="B2626" s="144" t="inlineStr">
        <is>
          <t>*071513852 GA</t>
        </is>
      </c>
      <c r="C2626" s="144" t="inlineStr">
        <is>
          <t>BUCKRUN PRESERVE</t>
        </is>
      </c>
      <c r="D2626" s="144" t="n">
        <v>8637093971</v>
      </c>
      <c r="E2626" s="144" t="inlineStr">
        <is>
          <t>PU</t>
        </is>
      </c>
      <c r="F2626" s="144" t="inlineStr">
        <is>
          <t>RIT6152 GA</t>
        </is>
      </c>
      <c r="G2626" s="144" t="inlineStr">
        <is>
          <t>WHITE FORD</t>
        </is>
      </c>
      <c r="H2626" s="144" t="n">
        <v>2215</v>
      </c>
      <c r="I2626" s="144" t="inlineStr">
        <is>
          <t>CONTRACTOR</t>
        </is>
      </c>
    </row>
    <row r="2627" ht="18" customHeight="1" s="7">
      <c r="A2627" s="144" t="inlineStr">
        <is>
          <t>ARNOLD NAGY</t>
        </is>
      </c>
      <c r="B2627" s="144" t="inlineStr">
        <is>
          <t>N200017731320 FL</t>
        </is>
      </c>
      <c r="C2627" s="144" t="inlineStr">
        <is>
          <t>ATLANTIC FRIEGHT</t>
        </is>
      </c>
      <c r="D2627" s="144" t="n">
        <v>9042881002</v>
      </c>
      <c r="E2627" s="144" t="inlineStr">
        <is>
          <t>FLAT</t>
        </is>
      </c>
      <c r="F2627" s="144" t="inlineStr">
        <is>
          <t>XE002Y FL</t>
        </is>
      </c>
      <c r="G2627" s="144" t="inlineStr">
        <is>
          <t>BLACK KENWORTH</t>
        </is>
      </c>
      <c r="H2627" s="144" t="n">
        <v>1221</v>
      </c>
      <c r="I2627" s="144" t="inlineStr">
        <is>
          <t>COMMERCIAL</t>
        </is>
      </c>
    </row>
    <row r="2628" ht="18" customHeight="1" s="7">
      <c r="A2628" s="144" t="inlineStr">
        <is>
          <t>DEON FORTSON</t>
        </is>
      </c>
      <c r="B2628" s="144" t="inlineStr">
        <is>
          <t>*059985168 GA</t>
        </is>
      </c>
      <c r="C2628" s="144" t="inlineStr">
        <is>
          <t>SPARTAN NASH</t>
        </is>
      </c>
      <c r="D2628" s="144" t="n">
        <v>3346143283</v>
      </c>
      <c r="E2628" s="144" t="inlineStr">
        <is>
          <t>BOX</t>
        </is>
      </c>
      <c r="F2628" s="144" t="inlineStr">
        <is>
          <t>220358 NB</t>
        </is>
      </c>
      <c r="G2628" s="144" t="inlineStr">
        <is>
          <t>WHITE INTERNATIONAL</t>
        </is>
      </c>
      <c r="H2628" s="144" t="n">
        <v>7500</v>
      </c>
      <c r="I2628" s="144" t="inlineStr">
        <is>
          <t>COMMERCIAL</t>
        </is>
      </c>
    </row>
    <row r="2629" ht="18" customHeight="1" s="7">
      <c r="A2629" s="144" t="inlineStr">
        <is>
          <t>POST MARK</t>
        </is>
      </c>
      <c r="B2629" s="144" t="inlineStr">
        <is>
          <t>*01963528 TX</t>
        </is>
      </c>
      <c r="C2629" s="144" t="inlineStr">
        <is>
          <t>TEXAS LOAD</t>
        </is>
      </c>
      <c r="D2629" s="144" t="n">
        <v>5127962789</v>
      </c>
      <c r="E2629" s="144" t="inlineStr">
        <is>
          <t>FLAT</t>
        </is>
      </c>
      <c r="F2629" s="144" t="inlineStr">
        <is>
          <t>R513973 TX</t>
        </is>
      </c>
      <c r="G2629" s="144" t="inlineStr">
        <is>
          <t>BLUE PETERBILT</t>
        </is>
      </c>
      <c r="H2629" s="144" t="n">
        <v>1221</v>
      </c>
      <c r="I2629" s="144" t="inlineStr">
        <is>
          <t>COMMERCIAL</t>
        </is>
      </c>
    </row>
    <row r="2630" ht="18" customHeight="1" s="7">
      <c r="A2630" s="144" t="inlineStr">
        <is>
          <t>KENDALL MALOTT</t>
        </is>
      </c>
      <c r="B2630" s="144" t="inlineStr">
        <is>
          <t>*058210955 GA</t>
        </is>
      </c>
      <c r="C2630" s="144" t="inlineStr">
        <is>
          <t>U HAUL</t>
        </is>
      </c>
      <c r="D2630" s="144" t="n">
        <v>7063291272</v>
      </c>
      <c r="E2630" s="144" t="inlineStr">
        <is>
          <t>BOX</t>
        </is>
      </c>
      <c r="F2630" s="144" t="inlineStr">
        <is>
          <t>AG36311 AZ</t>
        </is>
      </c>
      <c r="G2630" s="144" t="inlineStr">
        <is>
          <t>WHITE FORD</t>
        </is>
      </c>
      <c r="H2630" s="144" t="inlineStr">
        <is>
          <t>HOUSING</t>
        </is>
      </c>
      <c r="I2630" s="144" t="inlineStr">
        <is>
          <t>COMMERCIAL</t>
        </is>
      </c>
    </row>
    <row r="2631" ht="18" customHeight="1" s="7">
      <c r="A2631" s="144" t="inlineStr">
        <is>
          <t xml:space="preserve">CHASITY BALDRIDGE </t>
        </is>
      </c>
      <c r="B2631" s="144" t="inlineStr">
        <is>
          <t>*059029502 GA</t>
        </is>
      </c>
      <c r="C2631" s="144" t="inlineStr">
        <is>
          <t>U HAUL</t>
        </is>
      </c>
      <c r="D2631" s="144" t="n">
        <v>4783210446</v>
      </c>
      <c r="E2631" s="144" t="inlineStr">
        <is>
          <t>BOX</t>
        </is>
      </c>
      <c r="F2631" s="144" t="inlineStr">
        <is>
          <t>AK17116 AZ</t>
        </is>
      </c>
      <c r="G2631" s="144" t="inlineStr">
        <is>
          <t>WHITE FORD</t>
        </is>
      </c>
      <c r="H2631" s="144" t="inlineStr">
        <is>
          <t>HOUSING</t>
        </is>
      </c>
      <c r="I2631" s="144" t="inlineStr">
        <is>
          <t>COMMERCIAL</t>
        </is>
      </c>
    </row>
    <row r="2632" ht="18" customHeight="1" s="7">
      <c r="A2632" s="144" t="inlineStr">
        <is>
          <t>DOMENICAN COTTON</t>
        </is>
      </c>
      <c r="B2632" s="144" t="inlineStr">
        <is>
          <t>19799961 TX</t>
        </is>
      </c>
      <c r="C2632" s="144" t="inlineStr">
        <is>
          <t>BAGGETT TRANS</t>
        </is>
      </c>
      <c r="D2632" s="144" t="n">
        <v>4692332834</v>
      </c>
      <c r="E2632" s="144" t="inlineStr">
        <is>
          <t>BOX</t>
        </is>
      </c>
      <c r="F2632" s="144" t="inlineStr">
        <is>
          <t>2589403 IN</t>
        </is>
      </c>
      <c r="G2632" s="144" t="inlineStr">
        <is>
          <t>WHITE VOLVO</t>
        </is>
      </c>
      <c r="H2632" s="144" t="n">
        <v>1221</v>
      </c>
      <c r="I2632" s="144" t="inlineStr">
        <is>
          <t>COMMERCIAL</t>
        </is>
      </c>
    </row>
    <row r="2633" ht="18" customHeight="1" s="7">
      <c r="A2633" s="144" t="inlineStr">
        <is>
          <t>GARCIA HAROLD</t>
        </is>
      </c>
      <c r="B2633" s="144" t="inlineStr">
        <is>
          <t>*056330230 GA</t>
        </is>
      </c>
      <c r="C2633" s="144" t="inlineStr">
        <is>
          <t>ACE TECH</t>
        </is>
      </c>
      <c r="D2633" s="144" t="n">
        <v>2292446412</v>
      </c>
      <c r="E2633" s="144" t="inlineStr">
        <is>
          <t>PU</t>
        </is>
      </c>
      <c r="F2633" s="144" t="inlineStr">
        <is>
          <t>DAN2280 GA</t>
        </is>
      </c>
      <c r="G2633" s="144" t="inlineStr">
        <is>
          <t>RED FORD</t>
        </is>
      </c>
      <c r="H2633" s="144" t="n">
        <v>5512</v>
      </c>
      <c r="I2633" s="144" t="inlineStr">
        <is>
          <t>CONTRACTOR</t>
        </is>
      </c>
    </row>
    <row r="2634" ht="18" customHeight="1" s="7">
      <c r="A2634" s="144" t="inlineStr">
        <is>
          <t xml:space="preserve">THOMAS HARBISON </t>
        </is>
      </c>
      <c r="B2634" s="144" t="inlineStr">
        <is>
          <t>6287993 AL</t>
        </is>
      </c>
      <c r="C2634" s="144" t="inlineStr">
        <is>
          <t>KELLS</t>
        </is>
      </c>
      <c r="D2634" s="144" t="n">
        <v>2052070375</v>
      </c>
      <c r="E2634" s="144" t="inlineStr">
        <is>
          <t>PU</t>
        </is>
      </c>
      <c r="F2634" s="144" t="inlineStr">
        <is>
          <t>AOB5NT2 AL</t>
        </is>
      </c>
      <c r="G2634" s="144" t="inlineStr">
        <is>
          <t>WHITE FORD</t>
        </is>
      </c>
      <c r="H2634" s="144" t="inlineStr">
        <is>
          <t>BASEWIDE</t>
        </is>
      </c>
      <c r="I2634" s="144" t="inlineStr">
        <is>
          <t>CONTRACTOR</t>
        </is>
      </c>
    </row>
    <row r="2635" ht="18" customHeight="1" s="7">
      <c r="A2635" s="144" t="inlineStr">
        <is>
          <t>RAFAEL CASTRO</t>
        </is>
      </c>
      <c r="B2635" s="144" t="inlineStr">
        <is>
          <t>C236720694010 FL</t>
        </is>
      </c>
      <c r="C2635" s="144" t="inlineStr">
        <is>
          <t>ADA LOG</t>
        </is>
      </c>
      <c r="D2635" s="144" t="n">
        <v>2399943189</v>
      </c>
      <c r="E2635" s="144" t="inlineStr">
        <is>
          <t>PU</t>
        </is>
      </c>
      <c r="F2635" s="144" t="inlineStr">
        <is>
          <t>XE819W FL</t>
        </is>
      </c>
      <c r="G2635" s="144" t="inlineStr">
        <is>
          <t>WHITE PETERBILT</t>
        </is>
      </c>
      <c r="H2635" s="144" t="n">
        <v>1221</v>
      </c>
      <c r="I2635" s="144" t="inlineStr">
        <is>
          <t>COMMERCIAL</t>
        </is>
      </c>
    </row>
    <row r="2636" ht="18" customHeight="1" s="7">
      <c r="A2636" s="144" t="inlineStr">
        <is>
          <t>SANCHEZ IDALBERTO</t>
        </is>
      </c>
      <c r="B2636" s="144" t="inlineStr">
        <is>
          <t>51430541 TX</t>
        </is>
      </c>
      <c r="C2636" s="144" t="inlineStr">
        <is>
          <t>BLAT &amp; ALONSO TRUCKING</t>
        </is>
      </c>
      <c r="D2636" s="144" t="n">
        <v>7864146645</v>
      </c>
      <c r="E2636" s="144" t="inlineStr">
        <is>
          <t>PU</t>
        </is>
      </c>
      <c r="F2636" s="144" t="inlineStr">
        <is>
          <t>8166A64 TX</t>
        </is>
      </c>
      <c r="G2636" s="144" t="inlineStr">
        <is>
          <t>WHITE FORD</t>
        </is>
      </c>
      <c r="H2636" s="144" t="n">
        <v>1221</v>
      </c>
      <c r="I2636" s="144" t="inlineStr">
        <is>
          <t>CONTRACTOR</t>
        </is>
      </c>
    </row>
    <row r="2637" ht="18" customHeight="1" s="7">
      <c r="A2637" s="144" t="inlineStr">
        <is>
          <t>CHRISTOPHER LYNN</t>
        </is>
      </c>
      <c r="B2637" s="144" t="inlineStr">
        <is>
          <t>L500101972590 FL</t>
        </is>
      </c>
      <c r="C2637" s="144" t="inlineStr">
        <is>
          <t>MJW</t>
        </is>
      </c>
      <c r="D2637" s="144" t="n">
        <v>9043189436</v>
      </c>
      <c r="E2637" s="144" t="inlineStr">
        <is>
          <t>VAN</t>
        </is>
      </c>
      <c r="F2637" s="144" t="inlineStr">
        <is>
          <t>57DLPG FL</t>
        </is>
      </c>
      <c r="G2637" s="144" t="inlineStr">
        <is>
          <t>BLUE FORD</t>
        </is>
      </c>
      <c r="H2637" s="144" t="n">
        <v>1241</v>
      </c>
      <c r="I2637" s="144" t="inlineStr">
        <is>
          <t>CONTRACTOR</t>
        </is>
      </c>
    </row>
    <row r="2638" ht="18" customHeight="1" s="7">
      <c r="A2638" s="144" t="inlineStr">
        <is>
          <t>CEDRIC ROBERTS</t>
        </is>
      </c>
      <c r="B2638" s="144" t="inlineStr">
        <is>
          <t>144276302 TN</t>
        </is>
      </c>
      <c r="C2638" s="144" t="inlineStr">
        <is>
          <t>FEDEX</t>
        </is>
      </c>
      <c r="D2638" s="144" t="n">
        <v>4702469205</v>
      </c>
      <c r="E2638" s="144" t="inlineStr">
        <is>
          <t>BOX</t>
        </is>
      </c>
      <c r="F2638" s="144" t="inlineStr">
        <is>
          <t>PWN2397 OH</t>
        </is>
      </c>
      <c r="G2638" s="144" t="inlineStr">
        <is>
          <t>WHITE FREIGHTLINER</t>
        </is>
      </c>
      <c r="H2638" s="144" t="n">
        <v>1221</v>
      </c>
      <c r="I2638" s="144" t="inlineStr">
        <is>
          <t>COMMERICAL</t>
        </is>
      </c>
    </row>
    <row r="2639" ht="18" customHeight="1" s="7">
      <c r="A2639" s="144" t="inlineStr">
        <is>
          <t>NASKO MIHALEV</t>
        </is>
      </c>
      <c r="B2639" s="144" t="inlineStr">
        <is>
          <t>M410634672270 FL</t>
        </is>
      </c>
      <c r="C2639" s="144" t="inlineStr">
        <is>
          <t>SOMAT TRANS</t>
        </is>
      </c>
      <c r="D2639" s="144" t="n">
        <v>8136930471</v>
      </c>
      <c r="E2639" s="144" t="inlineStr">
        <is>
          <t>BOX</t>
        </is>
      </c>
      <c r="F2639" s="144" t="inlineStr">
        <is>
          <t>XD647V FL</t>
        </is>
      </c>
      <c r="G2639" s="144" t="inlineStr">
        <is>
          <t>RED VOLVO</t>
        </is>
      </c>
      <c r="H2639" s="144" t="n">
        <v>1221</v>
      </c>
      <c r="I2639" s="144" t="inlineStr">
        <is>
          <t>COMMERICAL</t>
        </is>
      </c>
    </row>
    <row r="2640" ht="18" customHeight="1" s="7">
      <c r="A2640" s="144" t="inlineStr">
        <is>
          <t>DANIEL ATKINSON</t>
        </is>
      </c>
      <c r="B2640" s="144" t="inlineStr">
        <is>
          <t>991870970 CO</t>
        </is>
      </c>
      <c r="C2640" s="144" t="inlineStr">
        <is>
          <t>MERCER TRANS</t>
        </is>
      </c>
      <c r="D2640" s="144" t="n">
        <v>7192501778</v>
      </c>
      <c r="E2640" s="144" t="inlineStr">
        <is>
          <t>FLAT</t>
        </is>
      </c>
      <c r="F2640" s="144" t="inlineStr">
        <is>
          <t>3815315 IN</t>
        </is>
      </c>
      <c r="G2640" s="144" t="inlineStr">
        <is>
          <t>BLUE PETERBILT</t>
        </is>
      </c>
      <c r="H2640" s="144" t="n">
        <v>1221</v>
      </c>
      <c r="I2640" s="144" t="inlineStr">
        <is>
          <t>COMMERICAL</t>
        </is>
      </c>
    </row>
    <row r="2641" ht="18" customHeight="1" s="7">
      <c r="A2641" s="144" t="inlineStr">
        <is>
          <t>DONALD OLIVER</t>
        </is>
      </c>
      <c r="B2641" s="144" t="inlineStr">
        <is>
          <t>054064569 GA</t>
        </is>
      </c>
      <c r="C2641" s="144" t="inlineStr">
        <is>
          <t>BUCK RUN</t>
        </is>
      </c>
      <c r="D2641" s="144" t="n">
        <v>2298810395</v>
      </c>
      <c r="E2641" s="144" t="inlineStr">
        <is>
          <t>DUMP</t>
        </is>
      </c>
      <c r="F2641" s="144" t="inlineStr">
        <is>
          <t>800599P TEMP</t>
        </is>
      </c>
      <c r="G2641" s="144" t="inlineStr">
        <is>
          <t>WHITE FREIGHTLINER</t>
        </is>
      </c>
      <c r="H2641" s="144" t="n">
        <v>2215</v>
      </c>
      <c r="I2641" s="144" t="inlineStr">
        <is>
          <t>CONTRACTOR</t>
        </is>
      </c>
    </row>
    <row r="2642" ht="18" customHeight="1" s="7">
      <c r="A2642" s="144" t="inlineStr">
        <is>
          <t>NORA VALDEZ</t>
        </is>
      </c>
      <c r="B2642" s="144" t="inlineStr">
        <is>
          <t>35186939 TX</t>
        </is>
      </c>
      <c r="C2642" s="144" t="inlineStr">
        <is>
          <t>LLCV TRANS</t>
        </is>
      </c>
      <c r="D2642" s="144" t="n">
        <v>9567318128</v>
      </c>
      <c r="E2642" s="144" t="inlineStr">
        <is>
          <t>PU</t>
        </is>
      </c>
      <c r="F2642" s="144" t="inlineStr">
        <is>
          <t>VKT2238 TX</t>
        </is>
      </c>
      <c r="G2642" s="144" t="inlineStr">
        <is>
          <t>WHITE DODGE</t>
        </is>
      </c>
      <c r="H2642" s="144" t="n">
        <v>1221</v>
      </c>
      <c r="I2642" s="144" t="inlineStr">
        <is>
          <t>CONTRACTOR</t>
        </is>
      </c>
    </row>
    <row r="2643" ht="18" customHeight="1" s="7">
      <c r="A2643" s="144" t="inlineStr">
        <is>
          <t>ANGELA GRIFFIN</t>
        </is>
      </c>
      <c r="B2643" s="144" t="inlineStr">
        <is>
          <t>0602800486 GA</t>
        </is>
      </c>
      <c r="C2643" s="144" t="inlineStr">
        <is>
          <t>UNFIRST</t>
        </is>
      </c>
      <c r="D2643" s="144" t="n">
        <v>9125999813</v>
      </c>
      <c r="E2643" s="144" t="inlineStr">
        <is>
          <t>BOX</t>
        </is>
      </c>
      <c r="F2643" s="144" t="inlineStr">
        <is>
          <t>XJL523 GA</t>
        </is>
      </c>
      <c r="G2643" s="144" t="inlineStr">
        <is>
          <t>GREEN FREIGHTLINER</t>
        </is>
      </c>
      <c r="H2643" s="144" t="n">
        <v>5400</v>
      </c>
      <c r="I2643" s="144" t="inlineStr">
        <is>
          <t>CONTRACTOR</t>
        </is>
      </c>
    </row>
    <row r="2644" ht="18" customHeight="1" s="7">
      <c r="A2644" s="144" t="inlineStr">
        <is>
          <t>ERIKA ASKEW</t>
        </is>
      </c>
      <c r="B2644" s="144" t="inlineStr">
        <is>
          <t>051484155 GA</t>
        </is>
      </c>
      <c r="C2644" s="144" t="inlineStr">
        <is>
          <t>UHAUL</t>
        </is>
      </c>
      <c r="D2644" s="144" t="n">
        <v>4048839619</v>
      </c>
      <c r="E2644" s="144" t="inlineStr">
        <is>
          <t>BOX</t>
        </is>
      </c>
      <c r="F2644" s="144" t="inlineStr">
        <is>
          <t>AG62206 AZ</t>
        </is>
      </c>
      <c r="G2644" s="144" t="inlineStr">
        <is>
          <t>WHITE FORD</t>
        </is>
      </c>
      <c r="H2644" s="144" t="inlineStr">
        <is>
          <t>HOUSING</t>
        </is>
      </c>
      <c r="I2644" s="144" t="inlineStr">
        <is>
          <t>CONTRACTOR</t>
        </is>
      </c>
    </row>
    <row r="2645" ht="18" customHeight="1" s="7">
      <c r="A2645" s="144" t="inlineStr">
        <is>
          <t>AUSTIN DANKO</t>
        </is>
      </c>
      <c r="B2645" s="144" t="inlineStr">
        <is>
          <t>D520005972090 FL</t>
        </is>
      </c>
      <c r="C2645" s="144" t="inlineStr">
        <is>
          <t>LIGHTHOUSE</t>
        </is>
      </c>
      <c r="D2645" s="144" t="n">
        <v>9043840180</v>
      </c>
      <c r="E2645" s="144" t="inlineStr">
        <is>
          <t>PU</t>
        </is>
      </c>
      <c r="F2645" s="144" t="inlineStr">
        <is>
          <t>RZKN65 FL</t>
        </is>
      </c>
      <c r="G2645" s="144" t="inlineStr">
        <is>
          <t>WHITE FORD</t>
        </is>
      </c>
      <c r="H2645" s="144" t="inlineStr">
        <is>
          <t>GATE 16</t>
        </is>
      </c>
      <c r="I2645" s="144" t="inlineStr">
        <is>
          <t>CONTRACTOR</t>
        </is>
      </c>
    </row>
    <row r="2646" ht="18" customHeight="1" s="7">
      <c r="A2646" s="144" t="inlineStr">
        <is>
          <t>IBRAGIM BAIRAMKULOV</t>
        </is>
      </c>
      <c r="B2646" s="144" t="inlineStr">
        <is>
          <t>W9008987 CA</t>
        </is>
      </c>
      <c r="C2646" s="144" t="inlineStr">
        <is>
          <t>STRATAN INC</t>
        </is>
      </c>
      <c r="D2646" s="144" t="n">
        <v>2242755996</v>
      </c>
      <c r="E2646" s="144" t="inlineStr">
        <is>
          <t>FLAT</t>
        </is>
      </c>
      <c r="F2646" s="144" t="inlineStr">
        <is>
          <t>RP17754 WA</t>
        </is>
      </c>
      <c r="G2646" s="144" t="inlineStr">
        <is>
          <t>WHITE FREIGHTLINER</t>
        </is>
      </c>
      <c r="H2646" s="144" t="n">
        <v>1221</v>
      </c>
      <c r="I2646" s="144" t="inlineStr">
        <is>
          <t>COMMERICAL</t>
        </is>
      </c>
    </row>
    <row r="2647" ht="18" customHeight="1" s="7">
      <c r="A2647" s="144" t="inlineStr">
        <is>
          <t>JERRY MARTIN</t>
        </is>
      </c>
      <c r="B2647" s="144" t="inlineStr">
        <is>
          <t>049115031 GA</t>
        </is>
      </c>
      <c r="C2647" s="144" t="inlineStr">
        <is>
          <t>JETLINE LOGISTICS</t>
        </is>
      </c>
      <c r="D2647" s="144" t="n">
        <v>2293443132</v>
      </c>
      <c r="E2647" s="144" t="inlineStr">
        <is>
          <t>FLAT</t>
        </is>
      </c>
      <c r="F2647" s="144" t="inlineStr">
        <is>
          <t>C8051A GA</t>
        </is>
      </c>
      <c r="G2647" s="144" t="inlineStr">
        <is>
          <t>BLUE KENWORTH</t>
        </is>
      </c>
      <c r="H2647" s="144" t="n">
        <v>1230</v>
      </c>
      <c r="I2647" s="144" t="inlineStr">
        <is>
          <t>COMMERICAL</t>
        </is>
      </c>
    </row>
    <row r="2648" ht="18" customHeight="1" s="7">
      <c r="A2648" s="144" t="inlineStr">
        <is>
          <t>PHILBERT DUSABEMUNGU</t>
        </is>
      </c>
      <c r="B2648" s="144" t="inlineStr">
        <is>
          <t>39349031 TX</t>
        </is>
      </c>
      <c r="C2648" s="144" t="inlineStr">
        <is>
          <t>ANIRAM INC</t>
        </is>
      </c>
      <c r="D2648" s="144" t="n">
        <v>3462479039</v>
      </c>
      <c r="E2648" s="144" t="inlineStr">
        <is>
          <t>BOX</t>
        </is>
      </c>
      <c r="F2648" s="144" t="inlineStr">
        <is>
          <t>P1205731 IL</t>
        </is>
      </c>
      <c r="G2648" s="144" t="inlineStr">
        <is>
          <t>LIMEGREEN FREIGHTLINER</t>
        </is>
      </c>
      <c r="H2648" s="144" t="n">
        <v>1221</v>
      </c>
      <c r="I2648" s="144" t="inlineStr">
        <is>
          <t>COMMERICAL</t>
        </is>
      </c>
    </row>
    <row r="2649" ht="18" customHeight="1" s="7">
      <c r="A2649" s="144" t="inlineStr">
        <is>
          <t>TYLER BRYAN</t>
        </is>
      </c>
      <c r="B2649" s="144" t="inlineStr">
        <is>
          <t>061747070 GA</t>
        </is>
      </c>
      <c r="C2649" s="144" t="inlineStr">
        <is>
          <t>THOMAS TRANS</t>
        </is>
      </c>
      <c r="D2649" s="144" t="n">
        <v>5172150734</v>
      </c>
      <c r="E2649" s="144" t="inlineStr">
        <is>
          <t>FLAT</t>
        </is>
      </c>
      <c r="F2649" s="144" t="inlineStr">
        <is>
          <t>C297EQ GA</t>
        </is>
      </c>
      <c r="G2649" s="144" t="inlineStr">
        <is>
          <t>WHITE MACK</t>
        </is>
      </c>
      <c r="H2649" s="144" t="n">
        <v>1221</v>
      </c>
      <c r="I2649" s="144" t="inlineStr">
        <is>
          <t>COMMERICAL</t>
        </is>
      </c>
    </row>
    <row r="2650" ht="18" customHeight="1" s="7">
      <c r="A2650" s="144" t="inlineStr">
        <is>
          <t>FNU SATYAWAN</t>
        </is>
      </c>
      <c r="B2650" s="144" t="inlineStr">
        <is>
          <t>156342978 NY</t>
        </is>
      </c>
      <c r="C2650" s="144" t="inlineStr">
        <is>
          <t xml:space="preserve">ATC TRANS </t>
        </is>
      </c>
      <c r="D2650" s="144" t="n">
        <v>9293078534</v>
      </c>
      <c r="E2650" s="144" t="inlineStr">
        <is>
          <t>FLAT</t>
        </is>
      </c>
      <c r="F2650" s="144" t="inlineStr">
        <is>
          <t>P1178270 IL</t>
        </is>
      </c>
      <c r="G2650" s="144" t="inlineStr">
        <is>
          <t>GREY FREIGHTLINER</t>
        </is>
      </c>
      <c r="H2650" s="144" t="n">
        <v>1221</v>
      </c>
      <c r="I2650" s="144" t="inlineStr">
        <is>
          <t>COMMERICAL</t>
        </is>
      </c>
    </row>
    <row r="2651" ht="18" customHeight="1" s="7">
      <c r="A2651" s="144" t="inlineStr">
        <is>
          <t>TERRIARE LEWIS</t>
        </is>
      </c>
      <c r="B2651" s="144" t="inlineStr">
        <is>
          <t>L385396790000 FL</t>
        </is>
      </c>
      <c r="C2651" s="144" t="inlineStr">
        <is>
          <t>DAYONE FREIGHT</t>
        </is>
      </c>
      <c r="D2651" s="144" t="n">
        <v>8508410787</v>
      </c>
      <c r="E2651" s="144" t="inlineStr">
        <is>
          <t>BOX</t>
        </is>
      </c>
      <c r="F2651" s="144" t="inlineStr">
        <is>
          <t>C067CV GA</t>
        </is>
      </c>
      <c r="G2651" s="144" t="inlineStr">
        <is>
          <t>WHITE FREIGHTLINER</t>
        </is>
      </c>
      <c r="H2651" s="144" t="n">
        <v>7501</v>
      </c>
      <c r="I2651" s="144" t="inlineStr">
        <is>
          <t>COMMERICAL</t>
        </is>
      </c>
    </row>
    <row r="2652" ht="18" customHeight="1" s="7">
      <c r="A2652" s="144" t="inlineStr">
        <is>
          <t>ERIC GALIOTO</t>
        </is>
      </c>
      <c r="B2652" s="144" t="inlineStr">
        <is>
          <t>*054251903 GA</t>
        </is>
      </c>
      <c r="C2652" s="144" t="inlineStr">
        <is>
          <t>MAYFLOWER</t>
        </is>
      </c>
      <c r="D2652" s="144" t="n">
        <v>6789846132</v>
      </c>
      <c r="E2652" s="144" t="inlineStr">
        <is>
          <t>BOX</t>
        </is>
      </c>
      <c r="F2652" s="144" t="inlineStr">
        <is>
          <t>35AR7M MO</t>
        </is>
      </c>
      <c r="G2652" s="144" t="inlineStr">
        <is>
          <t>WHITE VOLVO</t>
        </is>
      </c>
      <c r="H2652" s="144" t="inlineStr">
        <is>
          <t>HOUSING</t>
        </is>
      </c>
      <c r="I2652" s="144" t="inlineStr">
        <is>
          <t>COMMERCIAL</t>
        </is>
      </c>
    </row>
    <row r="2653" ht="18" customHeight="1" s="7">
      <c r="A2653" s="144" t="inlineStr">
        <is>
          <t>MARC GRABER</t>
        </is>
      </c>
      <c r="B2653" s="144" t="inlineStr">
        <is>
          <t>054311663 GA</t>
        </is>
      </c>
      <c r="C2653" s="144" t="inlineStr">
        <is>
          <t>G&amp;G GOFER</t>
        </is>
      </c>
      <c r="D2653" s="144" t="n">
        <v>2297592700</v>
      </c>
      <c r="E2653" s="144" t="inlineStr">
        <is>
          <t>PU</t>
        </is>
      </c>
      <c r="F2653" s="144" t="inlineStr">
        <is>
          <t>SBC9900 GA</t>
        </is>
      </c>
      <c r="G2653" s="144" t="inlineStr">
        <is>
          <t>WHITE DODGE</t>
        </is>
      </c>
      <c r="H2653" s="144" t="n">
        <v>1221</v>
      </c>
      <c r="I2653" s="144" t="inlineStr">
        <is>
          <t>CONTRACTOR</t>
        </is>
      </c>
    </row>
    <row r="2654" ht="18" customHeight="1" s="7">
      <c r="A2654" s="144" t="inlineStr">
        <is>
          <t>CHAD PLOWDEN</t>
        </is>
      </c>
      <c r="B2654" s="144" t="inlineStr">
        <is>
          <t>006892127 LA</t>
        </is>
      </c>
      <c r="C2654" s="144" t="inlineStr">
        <is>
          <t>MILESTONE LOG</t>
        </is>
      </c>
      <c r="D2654" s="144" t="n">
        <v>3375166394</v>
      </c>
      <c r="E2654" s="144" t="inlineStr">
        <is>
          <t>BOX</t>
        </is>
      </c>
      <c r="F2654" s="144" t="inlineStr">
        <is>
          <t>P292797 LA</t>
        </is>
      </c>
      <c r="G2654" s="144" t="inlineStr">
        <is>
          <t>RED FREIGHTLINER</t>
        </is>
      </c>
      <c r="H2654" s="144" t="n">
        <v>1221</v>
      </c>
      <c r="I2654" s="144" t="inlineStr">
        <is>
          <t>COMMERICAL</t>
        </is>
      </c>
    </row>
    <row r="2655" ht="18" customHeight="1" s="7">
      <c r="A2655" s="144" t="inlineStr">
        <is>
          <t>MICHEAL MILLER</t>
        </is>
      </c>
      <c r="B2655" s="144" t="inlineStr">
        <is>
          <t>6923545 AL</t>
        </is>
      </c>
      <c r="C2655" s="144" t="inlineStr">
        <is>
          <t>MERDZIC</t>
        </is>
      </c>
      <c r="D2655" s="144" t="n">
        <v>7628221054</v>
      </c>
      <c r="E2655" s="144" t="inlineStr">
        <is>
          <t>BOX</t>
        </is>
      </c>
      <c r="F2655" s="144" t="inlineStr">
        <is>
          <t>A95195 KY</t>
        </is>
      </c>
      <c r="G2655" s="144" t="inlineStr">
        <is>
          <t>WHITE INTERNATIONAL</t>
        </is>
      </c>
      <c r="H2655" s="144" t="n">
        <v>1221</v>
      </c>
      <c r="I2655" s="144" t="inlineStr">
        <is>
          <t>COMMERICAL</t>
        </is>
      </c>
    </row>
    <row r="2656" ht="18" customHeight="1" s="7">
      <c r="A2656" s="144" t="inlineStr">
        <is>
          <t>MELVIN ROBERTS</t>
        </is>
      </c>
      <c r="B2656" s="144" t="inlineStr">
        <is>
          <t>054820894 GA</t>
        </is>
      </c>
      <c r="C2656" s="144" t="inlineStr">
        <is>
          <t>SRS</t>
        </is>
      </c>
      <c r="D2656" s="144" t="n">
        <v>22933888080</v>
      </c>
      <c r="E2656" s="144" t="inlineStr">
        <is>
          <t>FLAT</t>
        </is>
      </c>
      <c r="F2656" s="144" t="inlineStr">
        <is>
          <t>P608CM GA</t>
        </is>
      </c>
      <c r="G2656" s="144" t="inlineStr">
        <is>
          <t>WHITE INTERNATIONAL</t>
        </is>
      </c>
      <c r="H2656" s="144" t="n">
        <v>7450</v>
      </c>
      <c r="I2656" s="144" t="inlineStr">
        <is>
          <t>COMMERICAL</t>
        </is>
      </c>
    </row>
    <row r="2657" ht="18" customHeight="1" s="7">
      <c r="A2657" s="144" t="inlineStr">
        <is>
          <t>ADRAIN MARTIN</t>
        </is>
      </c>
      <c r="B2657" s="144" t="inlineStr">
        <is>
          <t>056589446 GA</t>
        </is>
      </c>
      <c r="C2657" s="144" t="inlineStr">
        <is>
          <t>TFORCE</t>
        </is>
      </c>
      <c r="D2657" s="144" t="n">
        <v>2293880000</v>
      </c>
      <c r="E2657" s="144" t="inlineStr">
        <is>
          <t>BOX</t>
        </is>
      </c>
      <c r="F2657" s="144" t="inlineStr">
        <is>
          <t>3418610 IN</t>
        </is>
      </c>
      <c r="G2657" s="144" t="inlineStr">
        <is>
          <t>WHITE FREIGHTLINER</t>
        </is>
      </c>
      <c r="H2657" s="144" t="n">
        <v>1221</v>
      </c>
      <c r="I2657" s="144" t="inlineStr">
        <is>
          <t>COMMERICAL</t>
        </is>
      </c>
    </row>
    <row r="2658" ht="18" customHeight="1" s="7">
      <c r="A2658" s="144" t="inlineStr">
        <is>
          <t>DAVIS ROBERTS</t>
        </is>
      </c>
      <c r="B2658" s="144" t="inlineStr">
        <is>
          <t>5562905 AL</t>
        </is>
      </c>
      <c r="C2658" s="144" t="inlineStr">
        <is>
          <t>LOCKSMITH</t>
        </is>
      </c>
      <c r="D2658" s="144" t="n">
        <v>2294075362</v>
      </c>
      <c r="E2658" s="144" t="inlineStr">
        <is>
          <t>VAN</t>
        </is>
      </c>
      <c r="F2658" s="144" t="inlineStr">
        <is>
          <t>9963BL7 AL</t>
        </is>
      </c>
      <c r="G2658" s="144" t="inlineStr">
        <is>
          <t>WHITE CHEV</t>
        </is>
      </c>
      <c r="H2658" s="144" t="inlineStr">
        <is>
          <t>POWERWORKS</t>
        </is>
      </c>
      <c r="I2658" s="144" t="inlineStr">
        <is>
          <t>CONTRACTOR</t>
        </is>
      </c>
    </row>
    <row r="2659" ht="18" customHeight="1" s="7">
      <c r="A2659" s="144" t="inlineStr">
        <is>
          <t>KUR'TISS OESTRICHER</t>
        </is>
      </c>
      <c r="B2659" s="144" t="n">
        <v>54598347</v>
      </c>
      <c r="C2659" s="144" t="inlineStr">
        <is>
          <t>BLUE RHINO</t>
        </is>
      </c>
      <c r="D2659" s="144" t="n">
        <v>7063664512</v>
      </c>
      <c r="E2659" s="144" t="inlineStr">
        <is>
          <t>BOX</t>
        </is>
      </c>
      <c r="F2659" s="144" t="inlineStr">
        <is>
          <t>3574114 IN</t>
        </is>
      </c>
      <c r="G2659" s="144" t="inlineStr">
        <is>
          <t>WHITE INTERNATIONAL</t>
        </is>
      </c>
      <c r="H2659" s="144" t="n">
        <v>7500</v>
      </c>
      <c r="I2659" s="144" t="inlineStr">
        <is>
          <t>COMMERICAL</t>
        </is>
      </c>
    </row>
    <row r="2660" ht="18" customHeight="1" s="7">
      <c r="A2660" s="144" t="inlineStr">
        <is>
          <t>ROBERT HARTENSTEIN</t>
        </is>
      </c>
      <c r="B2660" s="144" t="inlineStr">
        <is>
          <t>H635772642600 FL</t>
        </is>
      </c>
      <c r="C2660" s="144" t="inlineStr">
        <is>
          <t>TAYLOR TRANS</t>
        </is>
      </c>
      <c r="D2660" s="144" t="n">
        <v>3524310727</v>
      </c>
      <c r="E2660" s="144" t="inlineStr">
        <is>
          <t>FLAT</t>
        </is>
      </c>
      <c r="F2660" s="144" t="inlineStr">
        <is>
          <t>IC06PP GA</t>
        </is>
      </c>
      <c r="G2660" s="144" t="inlineStr">
        <is>
          <t>PURPLE PETERBILT</t>
        </is>
      </c>
      <c r="H2660" s="144" t="n">
        <v>1221</v>
      </c>
      <c r="I2660" s="144" t="inlineStr">
        <is>
          <t>COMMERICAL</t>
        </is>
      </c>
    </row>
    <row r="2661" ht="18" customHeight="1" s="7">
      <c r="A2661" s="144" t="inlineStr">
        <is>
          <t>ALEJANDRO SANDOVAL</t>
        </is>
      </c>
      <c r="B2661" s="144" t="inlineStr">
        <is>
          <t>034717796 NM</t>
        </is>
      </c>
      <c r="C2661" s="144" t="inlineStr">
        <is>
          <t>BRIGA</t>
        </is>
      </c>
      <c r="D2661" s="144" t="n">
        <v>505364307</v>
      </c>
      <c r="E2661" s="144" t="inlineStr">
        <is>
          <t>BOX</t>
        </is>
      </c>
      <c r="F2661" s="144" t="inlineStr">
        <is>
          <t>3663752 IN</t>
        </is>
      </c>
      <c r="G2661" s="144" t="inlineStr">
        <is>
          <t>WHITE FREIGHTLINER</t>
        </is>
      </c>
      <c r="H2661" s="144" t="n">
        <v>1221</v>
      </c>
      <c r="I2661" s="144" t="inlineStr">
        <is>
          <t>COMMERICAL</t>
        </is>
      </c>
    </row>
    <row r="2662" ht="18" customHeight="1" s="7">
      <c r="A2662" s="144" t="inlineStr">
        <is>
          <t>LIAM GRAY</t>
        </is>
      </c>
      <c r="B2662" s="144" t="inlineStr">
        <is>
          <t>061316933 GA</t>
        </is>
      </c>
      <c r="C2662" s="144" t="inlineStr">
        <is>
          <t>CD CONSOLIDATED</t>
        </is>
      </c>
      <c r="D2662" s="144" t="n">
        <v>2293391347</v>
      </c>
      <c r="E2662" s="144" t="inlineStr">
        <is>
          <t>PU</t>
        </is>
      </c>
      <c r="F2662" s="144" t="inlineStr">
        <is>
          <t>DAS8382 GA</t>
        </is>
      </c>
      <c r="G2662" s="144" t="inlineStr">
        <is>
          <t>WHITE DODGE</t>
        </is>
      </c>
      <c r="H2662" s="144" t="n">
        <v>1330</v>
      </c>
      <c r="I2662" s="144" t="inlineStr">
        <is>
          <t>COMMERICAL</t>
        </is>
      </c>
    </row>
    <row r="2663" ht="18" customHeight="1" s="7">
      <c r="A2663" s="144" t="inlineStr">
        <is>
          <t>ROMEO HOGAN</t>
        </is>
      </c>
      <c r="B2663" s="144" t="inlineStr">
        <is>
          <t>052694301 GA</t>
        </is>
      </c>
      <c r="C2663" s="144" t="inlineStr">
        <is>
          <t>MK ARGO</t>
        </is>
      </c>
      <c r="D2663" s="144" t="n">
        <v>4787033471</v>
      </c>
      <c r="E2663" s="144" t="inlineStr">
        <is>
          <t>BOX</t>
        </is>
      </c>
      <c r="F2663" s="144" t="inlineStr">
        <is>
          <t>P1306435 IL</t>
        </is>
      </c>
      <c r="G2663" s="144" t="inlineStr">
        <is>
          <t>RED FREIGHTLINER</t>
        </is>
      </c>
      <c r="H2663" s="144" t="n">
        <v>1221</v>
      </c>
      <c r="I2663" s="144" t="inlineStr">
        <is>
          <t>COMMERICAL</t>
        </is>
      </c>
    </row>
    <row r="2664" ht="18" customHeight="1" s="7">
      <c r="A2664" s="144" t="inlineStr">
        <is>
          <t>CREECH THURMAN</t>
        </is>
      </c>
      <c r="B2664" s="144" t="inlineStr">
        <is>
          <t>000035824762 NC</t>
        </is>
      </c>
      <c r="C2664" s="144" t="inlineStr">
        <is>
          <t>GRANDSLAM TRUCKING</t>
        </is>
      </c>
      <c r="D2664" s="144" t="n">
        <v>9196320377</v>
      </c>
      <c r="E2664" s="144" t="inlineStr">
        <is>
          <t>BOX</t>
        </is>
      </c>
      <c r="F2664" s="144" t="inlineStr">
        <is>
          <t>TE3411 NC</t>
        </is>
      </c>
      <c r="G2664" s="144" t="inlineStr">
        <is>
          <t>BLUE FREIGHTLINER</t>
        </is>
      </c>
      <c r="H2664" s="144" t="n">
        <v>1221</v>
      </c>
      <c r="I2664" s="144" t="inlineStr">
        <is>
          <t>COMMERICAL</t>
        </is>
      </c>
    </row>
    <row r="2665" ht="18" customHeight="1" s="7">
      <c r="A2665" s="144" t="inlineStr">
        <is>
          <t>LEONARD MILLSAPS</t>
        </is>
      </c>
      <c r="B2665" s="144" t="inlineStr">
        <is>
          <t>000026825651 NC</t>
        </is>
      </c>
      <c r="C2665" s="144" t="inlineStr">
        <is>
          <t>FEDEX</t>
        </is>
      </c>
      <c r="D2665" s="144" t="n">
        <v>7044083014</v>
      </c>
      <c r="E2665" s="144" t="inlineStr">
        <is>
          <t>BOX</t>
        </is>
      </c>
      <c r="F2665" s="144" t="inlineStr">
        <is>
          <t>NP9878 NC</t>
        </is>
      </c>
      <c r="G2665" s="144" t="inlineStr">
        <is>
          <t>WHITE VOLVO</t>
        </is>
      </c>
      <c r="H2665" s="144" t="n">
        <v>1221</v>
      </c>
      <c r="I2665" s="144" t="inlineStr">
        <is>
          <t>COMMERICAL</t>
        </is>
      </c>
    </row>
    <row r="2666" ht="18" customHeight="1" s="7">
      <c r="A2666" s="144" t="inlineStr">
        <is>
          <t>ALEKSANDAR TUPAROV</t>
        </is>
      </c>
      <c r="B2666" s="144" t="inlineStr">
        <is>
          <t>104885126 SC</t>
        </is>
      </c>
      <c r="C2666" s="144" t="inlineStr">
        <is>
          <t>BULMAKS</t>
        </is>
      </c>
      <c r="D2666" s="144" t="n">
        <v>7572774618</v>
      </c>
      <c r="E2666" s="144" t="inlineStr">
        <is>
          <t>BOX</t>
        </is>
      </c>
      <c r="F2666" s="144" t="inlineStr">
        <is>
          <t>P1154900 IL</t>
        </is>
      </c>
      <c r="G2666" s="144" t="inlineStr">
        <is>
          <t>WHITE FREIGHTLINER</t>
        </is>
      </c>
      <c r="H2666" s="144" t="n">
        <v>1221</v>
      </c>
      <c r="I2666" s="144" t="inlineStr">
        <is>
          <t>COMMERICAL</t>
        </is>
      </c>
    </row>
    <row r="2667" ht="18" customHeight="1" s="7">
      <c r="A2667" s="144" t="inlineStr">
        <is>
          <t>BRAIN COHEN</t>
        </is>
      </c>
      <c r="B2667" s="144" t="inlineStr">
        <is>
          <t>C500073852270 FL</t>
        </is>
      </c>
      <c r="C2667" s="144" t="inlineStr">
        <is>
          <t>CLE TRANS</t>
        </is>
      </c>
      <c r="D2667" s="144" t="n">
        <v>7542453762</v>
      </c>
      <c r="E2667" s="144" t="inlineStr">
        <is>
          <t>BOX</t>
        </is>
      </c>
      <c r="F2667" s="144" t="inlineStr">
        <is>
          <t>PWU3468 IL</t>
        </is>
      </c>
      <c r="G2667" s="144" t="inlineStr">
        <is>
          <t>WHITE MACK</t>
        </is>
      </c>
      <c r="H2667" s="144" t="n">
        <v>1221</v>
      </c>
      <c r="I2667" s="144" t="inlineStr">
        <is>
          <t>COMMERICAL</t>
        </is>
      </c>
    </row>
    <row r="2668" ht="18" customHeight="1" s="7">
      <c r="A2668" s="144" t="inlineStr">
        <is>
          <t>ELKENNO WILLIAMS</t>
        </is>
      </c>
      <c r="B2668" s="144" t="inlineStr">
        <is>
          <t>057802864 GA</t>
        </is>
      </c>
      <c r="C2668" s="144" t="inlineStr">
        <is>
          <t>INTERLAND</t>
        </is>
      </c>
      <c r="D2668" s="144" t="n">
        <v>4709298851</v>
      </c>
      <c r="E2668" s="144" t="inlineStr">
        <is>
          <t>BOX</t>
        </is>
      </c>
      <c r="F2668" s="144" t="inlineStr">
        <is>
          <t>P1221920 IL</t>
        </is>
      </c>
      <c r="G2668" s="144" t="inlineStr">
        <is>
          <t>WHITE FREIGHTLINER</t>
        </is>
      </c>
      <c r="H2668" s="144" t="n">
        <v>1221</v>
      </c>
      <c r="I2668" s="144" t="inlineStr">
        <is>
          <t>COMMERICAL</t>
        </is>
      </c>
    </row>
    <row r="2669" ht="18" customHeight="1" s="7">
      <c r="A2669" s="144" t="inlineStr">
        <is>
          <t>TIMOTHY FRITTS</t>
        </is>
      </c>
      <c r="B2669" s="144" t="inlineStr">
        <is>
          <t>055811344 GA</t>
        </is>
      </c>
      <c r="C2669" s="144" t="inlineStr">
        <is>
          <t>GILLS</t>
        </is>
      </c>
      <c r="D2669" s="144" t="n">
        <v>2295912004</v>
      </c>
      <c r="E2669" s="144" t="inlineStr">
        <is>
          <t>BOX</t>
        </is>
      </c>
      <c r="F2669" s="144" t="inlineStr">
        <is>
          <t>3404128 IN</t>
        </is>
      </c>
      <c r="G2669" s="144" t="inlineStr">
        <is>
          <t>BLACK FREIGHTLINER</t>
        </is>
      </c>
      <c r="H2669" s="144" t="inlineStr">
        <is>
          <t>HOUSING</t>
        </is>
      </c>
      <c r="I2669" s="144" t="inlineStr">
        <is>
          <t>CONTRACTOR</t>
        </is>
      </c>
    </row>
    <row r="2670" ht="18" customHeight="1" s="7">
      <c r="A2670" s="144" t="inlineStr">
        <is>
          <t>IVY WOODSON</t>
        </is>
      </c>
      <c r="B2670" s="144" t="inlineStr">
        <is>
          <t>108149213 TN</t>
        </is>
      </c>
      <c r="C2670" s="144" t="inlineStr">
        <is>
          <t>OVERLAND CARRIER</t>
        </is>
      </c>
      <c r="D2670" s="144" t="n">
        <v>9013053297</v>
      </c>
      <c r="E2670" s="144" t="inlineStr">
        <is>
          <t>BOX</t>
        </is>
      </c>
      <c r="F2670" s="144" t="inlineStr">
        <is>
          <t>P1269670 IL</t>
        </is>
      </c>
      <c r="G2670" s="144" t="inlineStr">
        <is>
          <t>GRAY FREIGHTLINER</t>
        </is>
      </c>
      <c r="H2670" s="144" t="n">
        <v>1221</v>
      </c>
      <c r="I2670" s="144" t="inlineStr">
        <is>
          <t>COMMERICAL</t>
        </is>
      </c>
    </row>
    <row r="2671" ht="18" customHeight="1" s="7">
      <c r="A2671" s="144" t="inlineStr">
        <is>
          <t>CURT HATCHITT</t>
        </is>
      </c>
      <c r="B2671" s="144" t="inlineStr">
        <is>
          <t>051156843 GA</t>
        </is>
      </c>
      <c r="C2671" s="144" t="inlineStr">
        <is>
          <t>HATCHITT LOGISTICS</t>
        </is>
      </c>
      <c r="D2671" s="144" t="n">
        <v>6783606778</v>
      </c>
      <c r="E2671" s="144" t="inlineStr">
        <is>
          <t>PU</t>
        </is>
      </c>
      <c r="F2671" s="144" t="inlineStr">
        <is>
          <t>C9940B GA</t>
        </is>
      </c>
      <c r="G2671" s="144" t="inlineStr">
        <is>
          <t>WHITE FORD</t>
        </is>
      </c>
      <c r="H2671" s="144" t="n">
        <v>1221</v>
      </c>
      <c r="I2671" s="144" t="inlineStr">
        <is>
          <t>CONTRACTOR</t>
        </is>
      </c>
    </row>
    <row r="2672" ht="18" customHeight="1" s="7">
      <c r="A2672" s="144" t="inlineStr">
        <is>
          <t>CURTIS SUMNER</t>
        </is>
      </c>
      <c r="B2672" s="144" t="inlineStr">
        <is>
          <t>054306922 GA</t>
        </is>
      </c>
      <c r="C2672" s="144" t="inlineStr">
        <is>
          <t>BUCK RUN</t>
        </is>
      </c>
      <c r="D2672" s="144" t="n">
        <v>2298697327</v>
      </c>
      <c r="E2672" s="144" t="inlineStr">
        <is>
          <t>DUMP</t>
        </is>
      </c>
      <c r="F2672" s="144" t="inlineStr">
        <is>
          <t>ETJ195 GA</t>
        </is>
      </c>
      <c r="G2672" s="144" t="inlineStr">
        <is>
          <t>WHITE INTERNATIONAL</t>
        </is>
      </c>
      <c r="H2672" s="144" t="n">
        <v>2320</v>
      </c>
      <c r="I2672" s="144" t="inlineStr">
        <is>
          <t>CONTRACTOR</t>
        </is>
      </c>
    </row>
    <row r="2673" ht="18" customHeight="1" s="7">
      <c r="A2673" s="144" t="inlineStr">
        <is>
          <t>SUMPTER JACOB</t>
        </is>
      </c>
      <c r="B2673" s="144" t="inlineStr">
        <is>
          <t>S513436053320 FL</t>
        </is>
      </c>
      <c r="C2673" s="144" t="inlineStr">
        <is>
          <t>B&amp;T FENCING</t>
        </is>
      </c>
      <c r="D2673" s="144" t="n">
        <v>8509421003</v>
      </c>
      <c r="E2673" s="144" t="inlineStr">
        <is>
          <t>PU</t>
        </is>
      </c>
      <c r="F2673" s="144" t="inlineStr">
        <is>
          <t>34EZWY FL</t>
        </is>
      </c>
      <c r="G2673" s="144" t="inlineStr">
        <is>
          <t>WHITE FORD</t>
        </is>
      </c>
      <c r="H2673" s="144" t="inlineStr">
        <is>
          <t>K9</t>
        </is>
      </c>
      <c r="I2673" s="144" t="inlineStr">
        <is>
          <t>CONTRACTOR</t>
        </is>
      </c>
    </row>
    <row r="2674" ht="18" customHeight="1" s="7">
      <c r="A2674" s="144" t="inlineStr">
        <is>
          <t>ROY SCHOOLCRAFT</t>
        </is>
      </c>
      <c r="B2674" s="144" t="inlineStr">
        <is>
          <t>000007481528 NC</t>
        </is>
      </c>
      <c r="C2674" s="144" t="inlineStr">
        <is>
          <t>SYS LOGTISTICS</t>
        </is>
      </c>
      <c r="D2674" s="144" t="n">
        <v>9197708425</v>
      </c>
      <c r="E2674" s="144" t="inlineStr">
        <is>
          <t>BOX</t>
        </is>
      </c>
      <c r="F2674" s="144" t="inlineStr">
        <is>
          <t>P1086642 IL</t>
        </is>
      </c>
      <c r="G2674" s="144" t="inlineStr">
        <is>
          <t>BLUE FREIGHTLINER</t>
        </is>
      </c>
      <c r="H2674" s="144" t="n">
        <v>1221</v>
      </c>
      <c r="I2674" s="144" t="inlineStr">
        <is>
          <t>COMMERICAL</t>
        </is>
      </c>
    </row>
    <row r="2675" ht="18" customHeight="1" s="7">
      <c r="A2675" s="144" t="inlineStr">
        <is>
          <t>JONATHAN GROSS</t>
        </is>
      </c>
      <c r="B2675" s="144" t="inlineStr">
        <is>
          <t>093309715 TN</t>
        </is>
      </c>
      <c r="C2675" s="144" t="inlineStr">
        <is>
          <t>SLAVA INC</t>
        </is>
      </c>
      <c r="D2675" s="144" t="n">
        <v>7313432414</v>
      </c>
      <c r="E2675" s="144" t="inlineStr">
        <is>
          <t>BOX</t>
        </is>
      </c>
      <c r="F2675" s="144" t="inlineStr">
        <is>
          <t>P1295961 IL</t>
        </is>
      </c>
      <c r="G2675" s="144" t="inlineStr">
        <is>
          <t>WHITE FREIGHTLINER</t>
        </is>
      </c>
      <c r="H2675" s="144" t="n">
        <v>1221</v>
      </c>
      <c r="I2675" s="144" t="inlineStr">
        <is>
          <t>COMMERICAL</t>
        </is>
      </c>
    </row>
    <row r="2676" ht="18" customHeight="1" s="7">
      <c r="A2676" s="144" t="inlineStr">
        <is>
          <t>IEVGEN TYSHEVSKY</t>
        </is>
      </c>
      <c r="B2676" s="144" t="inlineStr">
        <is>
          <t>*070543922 GA</t>
        </is>
      </c>
      <c r="C2676" s="144" t="inlineStr">
        <is>
          <t>MMM EXPRESS</t>
        </is>
      </c>
      <c r="D2676" s="144" t="n">
        <v>7702943654</v>
      </c>
      <c r="E2676" s="144" t="inlineStr">
        <is>
          <t>BOX</t>
        </is>
      </c>
      <c r="F2676" s="144" t="inlineStr">
        <is>
          <t>AQ49VJ FL</t>
        </is>
      </c>
      <c r="G2676" s="144" t="inlineStr">
        <is>
          <t>WHITE KENWORTH</t>
        </is>
      </c>
      <c r="H2676" s="144" t="n">
        <v>1221</v>
      </c>
      <c r="I2676" s="144" t="inlineStr">
        <is>
          <t>COMMERCIAL</t>
        </is>
      </c>
    </row>
    <row r="2677" ht="18" customHeight="1" s="7">
      <c r="A2677" s="144" t="inlineStr">
        <is>
          <t>ARMANDO VILLAFANA</t>
        </is>
      </c>
      <c r="B2677" s="144" t="inlineStr">
        <is>
          <t>V41501099068 FL</t>
        </is>
      </c>
      <c r="C2677" s="144" t="inlineStr">
        <is>
          <t>OPEN WAY</t>
        </is>
      </c>
      <c r="D2677" s="144" t="n">
        <v>7862822090</v>
      </c>
      <c r="E2677" s="144" t="inlineStr">
        <is>
          <t>FLAT</t>
        </is>
      </c>
      <c r="F2677" s="144" t="inlineStr">
        <is>
          <t>3271261 IN</t>
        </is>
      </c>
      <c r="G2677" s="144" t="inlineStr">
        <is>
          <t>WHITE FREIGHTLINER</t>
        </is>
      </c>
      <c r="H2677" s="144" t="n">
        <v>1221</v>
      </c>
      <c r="I2677" s="144" t="inlineStr">
        <is>
          <t>COMMERCIAL</t>
        </is>
      </c>
    </row>
    <row r="2678" ht="18" customHeight="1" s="7">
      <c r="A2678" s="144" t="inlineStr">
        <is>
          <t>LANGSTON BROWN</t>
        </is>
      </c>
      <c r="B2678" s="144" t="inlineStr">
        <is>
          <t>*070623144 GA</t>
        </is>
      </c>
      <c r="C2678" s="144" t="inlineStr">
        <is>
          <t>VIKING TRANS</t>
        </is>
      </c>
      <c r="D2678" s="144" t="n">
        <v>4145950252</v>
      </c>
      <c r="E2678" s="144" t="inlineStr">
        <is>
          <t>BOX</t>
        </is>
      </c>
      <c r="F2678" s="144" t="inlineStr">
        <is>
          <t>2987770 IN</t>
        </is>
      </c>
      <c r="G2678" s="144" t="inlineStr">
        <is>
          <t>WHITE VOLVO</t>
        </is>
      </c>
      <c r="H2678" s="144" t="n">
        <v>1221</v>
      </c>
      <c r="I2678" s="144" t="inlineStr">
        <is>
          <t>COMMERCIAL</t>
        </is>
      </c>
    </row>
    <row r="2679" ht="18" customHeight="1" s="7">
      <c r="A2679" s="144" t="inlineStr">
        <is>
          <t>JAMES DEAN</t>
        </is>
      </c>
      <c r="B2679" s="144" t="inlineStr">
        <is>
          <t>*053371638 GA</t>
        </is>
      </c>
      <c r="C2679" s="144" t="inlineStr">
        <is>
          <t>AT&amp;T</t>
        </is>
      </c>
      <c r="D2679" s="144" t="n">
        <v>2298484231</v>
      </c>
      <c r="E2679" s="144" t="inlineStr">
        <is>
          <t>POV</t>
        </is>
      </c>
      <c r="F2679" s="144" t="inlineStr">
        <is>
          <t>GCR568 GA</t>
        </is>
      </c>
      <c r="G2679" s="144" t="inlineStr">
        <is>
          <t>WHITE FORD</t>
        </is>
      </c>
      <c r="H2679" s="144" t="inlineStr">
        <is>
          <t>GATE 15</t>
        </is>
      </c>
      <c r="I2679" s="144" t="inlineStr">
        <is>
          <t>CONTRACTOR</t>
        </is>
      </c>
    </row>
    <row r="2680" ht="18" customHeight="1" s="7">
      <c r="A2680" s="144" t="inlineStr">
        <is>
          <t>KIDANE WONDIMU</t>
        </is>
      </c>
      <c r="B2680" s="144" t="inlineStr">
        <is>
          <t>*059213568 GA</t>
        </is>
      </c>
      <c r="C2680" s="144" t="inlineStr">
        <is>
          <t>SUNSHINE TRANS</t>
        </is>
      </c>
      <c r="D2680" s="144" t="n">
        <v>4043530560</v>
      </c>
      <c r="E2680" s="144" t="inlineStr">
        <is>
          <t>BOX</t>
        </is>
      </c>
      <c r="F2680" s="144" t="inlineStr">
        <is>
          <t>C096EH GA</t>
        </is>
      </c>
      <c r="G2680" s="144" t="inlineStr">
        <is>
          <t>WHITE FREIGHTLINER</t>
        </is>
      </c>
      <c r="H2680" s="144" t="n">
        <v>1221</v>
      </c>
      <c r="I2680" s="144" t="inlineStr">
        <is>
          <t>COMMERCIAL</t>
        </is>
      </c>
    </row>
    <row r="2681" ht="18" customHeight="1" s="7">
      <c r="A2681" s="144" t="inlineStr">
        <is>
          <t>LA'TERRENCE FRENCH</t>
        </is>
      </c>
      <c r="B2681" s="144" t="inlineStr">
        <is>
          <t>*061040227 GA</t>
        </is>
      </c>
      <c r="C2681" s="144" t="inlineStr">
        <is>
          <t>BISHOP</t>
        </is>
      </c>
      <c r="D2681" s="144" t="n">
        <v>2294498111</v>
      </c>
      <c r="E2681" s="144" t="inlineStr">
        <is>
          <t>VAN</t>
        </is>
      </c>
      <c r="F2681" s="144" t="inlineStr">
        <is>
          <t>TAG9894 GA</t>
        </is>
      </c>
      <c r="G2681" s="144" t="inlineStr">
        <is>
          <t>WHITE CHEVY</t>
        </is>
      </c>
      <c r="H2681" s="144" t="inlineStr">
        <is>
          <t>HOUSING</t>
        </is>
      </c>
      <c r="I2681" s="144" t="inlineStr">
        <is>
          <t>CONTRACTOR</t>
        </is>
      </c>
    </row>
    <row r="2682" ht="18" customHeight="1" s="7">
      <c r="A2682" s="144" t="inlineStr">
        <is>
          <t>ROBERT JONES</t>
        </is>
      </c>
      <c r="B2682" s="144" t="inlineStr">
        <is>
          <t>*072266739 GA</t>
        </is>
      </c>
      <c r="C2682" s="144" t="inlineStr">
        <is>
          <t>SEPTIC SOLUTIONS</t>
        </is>
      </c>
      <c r="D2682" s="144" t="n">
        <v>8594430138</v>
      </c>
      <c r="E2682" s="144" t="inlineStr">
        <is>
          <t>BOX</t>
        </is>
      </c>
      <c r="F2682" s="144" t="inlineStr">
        <is>
          <t>YHE499 GA</t>
        </is>
      </c>
      <c r="G2682" s="144" t="inlineStr">
        <is>
          <t>WHITE FREIGHTLINER</t>
        </is>
      </c>
      <c r="H2682" s="144" t="inlineStr">
        <is>
          <t>HOUSING</t>
        </is>
      </c>
      <c r="I2682" s="144" t="inlineStr">
        <is>
          <t>COMMERCIAL</t>
        </is>
      </c>
    </row>
    <row r="2683" ht="18" customHeight="1" s="7">
      <c r="A2683" s="144" t="inlineStr">
        <is>
          <t>MICHAEL WATSON</t>
        </is>
      </c>
      <c r="B2683" s="144" t="inlineStr">
        <is>
          <t>*086975068 TN</t>
        </is>
      </c>
      <c r="C2683" s="144" t="inlineStr">
        <is>
          <t>SCMLINE</t>
        </is>
      </c>
      <c r="D2683" s="144" t="n">
        <v>6154388970</v>
      </c>
      <c r="E2683" s="144" t="inlineStr">
        <is>
          <t>BOX</t>
        </is>
      </c>
      <c r="F2683" s="144" t="inlineStr">
        <is>
          <t>A86573 KY</t>
        </is>
      </c>
      <c r="G2683" s="144" t="inlineStr">
        <is>
          <t>BLUE VOLVO</t>
        </is>
      </c>
      <c r="H2683" s="144" t="n">
        <v>1221</v>
      </c>
      <c r="I2683" s="144" t="inlineStr">
        <is>
          <t>COMMERCIAL</t>
        </is>
      </c>
    </row>
    <row r="2684" ht="18" customHeight="1" s="7">
      <c r="A2684" s="144" t="inlineStr">
        <is>
          <t>MARK LYLES</t>
        </is>
      </c>
      <c r="B2684" s="144" t="inlineStr">
        <is>
          <t>*030611996 GA</t>
        </is>
      </c>
      <c r="C2684" s="144" t="inlineStr">
        <is>
          <t>AVERITT EXPRESS</t>
        </is>
      </c>
      <c r="D2684" s="144" t="n">
        <v>2296469814</v>
      </c>
      <c r="E2684" s="144" t="inlineStr">
        <is>
          <t>BOX</t>
        </is>
      </c>
      <c r="F2684" s="144" t="inlineStr">
        <is>
          <t>S9552HY TN</t>
        </is>
      </c>
      <c r="G2684" s="144" t="inlineStr">
        <is>
          <t>RED VOLVO</t>
        </is>
      </c>
      <c r="H2684" s="144" t="n">
        <v>1300</v>
      </c>
      <c r="I2684" s="144" t="inlineStr">
        <is>
          <t>COMMERCIAL</t>
        </is>
      </c>
    </row>
    <row r="2685" ht="18" customHeight="1" s="7">
      <c r="A2685" s="144" t="inlineStr">
        <is>
          <t>TIMOTHY FOWLER</t>
        </is>
      </c>
      <c r="B2685" s="144" t="inlineStr">
        <is>
          <t>*051617929 GA</t>
        </is>
      </c>
      <c r="C2685" s="144" t="inlineStr">
        <is>
          <t>OREILLY</t>
        </is>
      </c>
      <c r="D2685" s="144" t="n">
        <v>2296694059</v>
      </c>
      <c r="E2685" s="144" t="inlineStr">
        <is>
          <t>PU</t>
        </is>
      </c>
      <c r="F2685" s="144" t="inlineStr">
        <is>
          <t>CXM6762 GA</t>
        </is>
      </c>
      <c r="G2685" s="144" t="inlineStr">
        <is>
          <t>WHITE FORD</t>
        </is>
      </c>
      <c r="H2685" s="144" t="inlineStr">
        <is>
          <t>HOBBY SHOP</t>
        </is>
      </c>
      <c r="I2685" s="144" t="inlineStr">
        <is>
          <t>CONTRACTOR</t>
        </is>
      </c>
    </row>
    <row r="2686" ht="18" customHeight="1" s="7">
      <c r="A2686" s="144" t="inlineStr">
        <is>
          <t>CARLOS PINTO</t>
        </is>
      </c>
      <c r="B2686" s="144" t="inlineStr">
        <is>
          <t>F5732458 CA</t>
        </is>
      </c>
      <c r="C2686" s="144" t="inlineStr">
        <is>
          <t>NEWLINE</t>
        </is>
      </c>
      <c r="D2686" s="144" t="n">
        <v>5598013009</v>
      </c>
      <c r="E2686" s="144" t="inlineStr">
        <is>
          <t>BOX</t>
        </is>
      </c>
      <c r="F2686" s="144" t="inlineStr">
        <is>
          <t>XP98207 CA</t>
        </is>
      </c>
      <c r="G2686" s="144" t="inlineStr">
        <is>
          <t>WHITE VOLVO</t>
        </is>
      </c>
      <c r="H2686" s="144" t="n">
        <v>1221</v>
      </c>
      <c r="I2686" s="144" t="inlineStr">
        <is>
          <t>COMMERCIAL</t>
        </is>
      </c>
    </row>
    <row r="2687" ht="18" customHeight="1" s="7">
      <c r="A2687" s="144" t="inlineStr">
        <is>
          <t>TIMOTHY BAYLESS</t>
        </is>
      </c>
      <c r="B2687" s="144" t="inlineStr">
        <is>
          <t>*09294694 TX</t>
        </is>
      </c>
      <c r="C2687" s="144" t="inlineStr">
        <is>
          <t>AATCO</t>
        </is>
      </c>
      <c r="D2687" s="144" t="n">
        <v>4178603837</v>
      </c>
      <c r="E2687" s="144" t="inlineStr">
        <is>
          <t>FLAT</t>
        </is>
      </c>
      <c r="F2687" s="144" t="inlineStr">
        <is>
          <t>AL23842 AZ</t>
        </is>
      </c>
      <c r="G2687" s="144" t="inlineStr">
        <is>
          <t>GRAY KENWORTH</t>
        </is>
      </c>
      <c r="H2687" s="144" t="n">
        <v>1221</v>
      </c>
      <c r="I2687" s="144" t="inlineStr">
        <is>
          <t>COMMERCIAL</t>
        </is>
      </c>
    </row>
    <row r="2688" ht="18" customHeight="1" s="7">
      <c r="A2688" s="144" t="inlineStr">
        <is>
          <t>TIMOTHY WELLS</t>
        </is>
      </c>
      <c r="B2688" s="144" t="inlineStr">
        <is>
          <t>*051220640 GA</t>
        </is>
      </c>
      <c r="C2688" s="144" t="inlineStr">
        <is>
          <t>OLD DOMINION</t>
        </is>
      </c>
      <c r="D2688" s="144" t="n">
        <v>2292915637</v>
      </c>
      <c r="E2688" s="144" t="inlineStr">
        <is>
          <t>BOX</t>
        </is>
      </c>
      <c r="F2688" s="144" t="inlineStr">
        <is>
          <t>TD7891 NC</t>
        </is>
      </c>
      <c r="G2688" s="144" t="inlineStr">
        <is>
          <t>GREEN FREIGHTLINER</t>
        </is>
      </c>
      <c r="H2688" s="144" t="n">
        <v>1221</v>
      </c>
      <c r="I2688" s="144" t="inlineStr">
        <is>
          <t>COMMERCIAL</t>
        </is>
      </c>
    </row>
    <row r="2689" ht="18" customHeight="1" s="7">
      <c r="A2689" s="144" t="inlineStr">
        <is>
          <t>ARTHUR FORD</t>
        </is>
      </c>
      <c r="B2689" s="144" t="inlineStr">
        <is>
          <t>33501621 TX</t>
        </is>
      </c>
      <c r="C2689" s="144" t="inlineStr">
        <is>
          <t>BEVERLY GROUP</t>
        </is>
      </c>
      <c r="D2689" s="144" t="n">
        <v>8179656881</v>
      </c>
      <c r="E2689" s="144" t="inlineStr">
        <is>
          <t>BOX</t>
        </is>
      </c>
      <c r="F2689" s="144" t="inlineStr">
        <is>
          <t>P1300880 IL</t>
        </is>
      </c>
      <c r="G2689" s="144" t="inlineStr">
        <is>
          <t>WHITE FREIGHTLINER</t>
        </is>
      </c>
      <c r="H2689" s="144" t="n">
        <v>1221</v>
      </c>
      <c r="I2689" s="144" t="inlineStr">
        <is>
          <t>COMMERCIAL</t>
        </is>
      </c>
    </row>
    <row r="2690" ht="18" customHeight="1" s="7">
      <c r="A2690" s="144" t="inlineStr">
        <is>
          <t>HARVINDER GILL</t>
        </is>
      </c>
      <c r="B2690" s="144" t="inlineStr">
        <is>
          <t>W8878152 CA</t>
        </is>
      </c>
      <c r="C2690" s="144" t="inlineStr">
        <is>
          <t>NEWLINE</t>
        </is>
      </c>
      <c r="D2690" s="144" t="n">
        <v>5106379269</v>
      </c>
      <c r="E2690" s="144" t="inlineStr">
        <is>
          <t>BOX</t>
        </is>
      </c>
      <c r="F2690" s="144" t="inlineStr">
        <is>
          <t>YP34378 CA</t>
        </is>
      </c>
      <c r="G2690" s="144" t="inlineStr">
        <is>
          <t>WHITE VOLVO</t>
        </is>
      </c>
      <c r="H2690" s="144" t="n">
        <v>1221</v>
      </c>
      <c r="I2690" s="144" t="inlineStr">
        <is>
          <t>COMMERCIAL</t>
        </is>
      </c>
    </row>
    <row r="2691" ht="18" customHeight="1" s="7">
      <c r="A2691" s="144" t="inlineStr">
        <is>
          <t>DANIEL BARROW</t>
        </is>
      </c>
      <c r="B2691" s="144" t="inlineStr">
        <is>
          <t>B227708170000 FL</t>
        </is>
      </c>
      <c r="C2691" s="144" t="inlineStr">
        <is>
          <t>MAX LION CONCRETE</t>
        </is>
      </c>
      <c r="D2691" s="144" t="n">
        <v>8506129444</v>
      </c>
      <c r="E2691" s="144" t="inlineStr">
        <is>
          <t>PU</t>
        </is>
      </c>
      <c r="F2691" s="144" t="inlineStr">
        <is>
          <t>23A1R63 AL</t>
        </is>
      </c>
      <c r="G2691" s="144" t="inlineStr">
        <is>
          <t>WHITE SILVERADO</t>
        </is>
      </c>
      <c r="H2691" s="144" t="inlineStr">
        <is>
          <t>K9</t>
        </is>
      </c>
      <c r="I2691" s="144" t="inlineStr">
        <is>
          <t>CONTRACTOR</t>
        </is>
      </c>
    </row>
    <row r="2692" ht="18" customHeight="1" s="7">
      <c r="A2692" s="144" t="inlineStr">
        <is>
          <t>REGINALD MONTS</t>
        </is>
      </c>
      <c r="B2692" s="144" t="inlineStr">
        <is>
          <t>*058469779 GA</t>
        </is>
      </c>
      <c r="C2692" s="144" t="inlineStr">
        <is>
          <t>LOWES</t>
        </is>
      </c>
      <c r="D2692" s="144" t="n">
        <v>2295917317</v>
      </c>
      <c r="E2692" s="144" t="inlineStr">
        <is>
          <t>BOX</t>
        </is>
      </c>
      <c r="F2692" s="144" t="inlineStr">
        <is>
          <t>3260795 IN</t>
        </is>
      </c>
      <c r="G2692" s="144" t="inlineStr">
        <is>
          <t>WHITE FREIGHTLINER</t>
        </is>
      </c>
      <c r="H2692" s="144" t="inlineStr">
        <is>
          <t>HOUSING</t>
        </is>
      </c>
      <c r="I2692" s="144" t="inlineStr">
        <is>
          <t>COMMERCIAL</t>
        </is>
      </c>
    </row>
    <row r="2693" ht="18" customHeight="1" s="7">
      <c r="A2693" s="144" t="inlineStr">
        <is>
          <t>GEORGE SANDEFUR</t>
        </is>
      </c>
      <c r="B2693" s="144" t="inlineStr">
        <is>
          <t>*050859154 GA</t>
        </is>
      </c>
      <c r="C2693" s="144" t="inlineStr">
        <is>
          <t>B &amp; T FENCING</t>
        </is>
      </c>
      <c r="D2693" s="144" t="n">
        <v>8509421003</v>
      </c>
      <c r="E2693" s="144" t="inlineStr">
        <is>
          <t>PU</t>
        </is>
      </c>
      <c r="F2693" s="144" t="inlineStr">
        <is>
          <t>3848XX GA</t>
        </is>
      </c>
      <c r="G2693" s="144" t="inlineStr">
        <is>
          <t>WHITE DODGE</t>
        </is>
      </c>
      <c r="H2693" s="144" t="inlineStr">
        <is>
          <t>K9</t>
        </is>
      </c>
      <c r="I2693" s="144" t="inlineStr">
        <is>
          <t>CONTRACTOR</t>
        </is>
      </c>
    </row>
    <row r="2694" ht="18" customHeight="1" s="7">
      <c r="A2694" s="144" t="inlineStr">
        <is>
          <t>STEPHEN TUCKER</t>
        </is>
      </c>
      <c r="B2694" s="144" t="inlineStr">
        <is>
          <t>000025050849 NC</t>
        </is>
      </c>
      <c r="C2694" s="144" t="inlineStr">
        <is>
          <t>STAT TRANS</t>
        </is>
      </c>
      <c r="D2694" s="144" t="n">
        <v>9192578822</v>
      </c>
      <c r="E2694" s="144" t="inlineStr">
        <is>
          <t>BOX</t>
        </is>
      </c>
      <c r="F2694" s="144" t="inlineStr">
        <is>
          <t>ZS2874 NC</t>
        </is>
      </c>
      <c r="G2694" s="144" t="inlineStr">
        <is>
          <t>WHITE FREIGHTLINER</t>
        </is>
      </c>
      <c r="H2694" s="144" t="n">
        <v>1221</v>
      </c>
      <c r="I2694" s="144" t="inlineStr">
        <is>
          <t>CONTRACTOR</t>
        </is>
      </c>
    </row>
    <row r="2695" ht="18" customHeight="1" s="7">
      <c r="A2695" s="144" t="inlineStr">
        <is>
          <t>SAMSON DOECIUS</t>
        </is>
      </c>
      <c r="B2695" s="144" t="inlineStr">
        <is>
          <t>D622780792270 FL</t>
        </is>
      </c>
      <c r="C2695" s="144" t="inlineStr">
        <is>
          <t>MAYBACK INT</t>
        </is>
      </c>
      <c r="D2695" s="144" t="n">
        <v>7863998316</v>
      </c>
      <c r="E2695" s="144" t="inlineStr">
        <is>
          <t>BOX</t>
        </is>
      </c>
      <c r="F2695" s="144" t="inlineStr">
        <is>
          <t>P984748 IL</t>
        </is>
      </c>
      <c r="G2695" s="144" t="inlineStr">
        <is>
          <t>WHITE FREIGHTLINER</t>
        </is>
      </c>
      <c r="H2695" s="144" t="n">
        <v>1221</v>
      </c>
      <c r="I2695" s="144" t="inlineStr">
        <is>
          <t>COMMERICAL</t>
        </is>
      </c>
    </row>
    <row r="2696" ht="18" customHeight="1" s="7">
      <c r="A2696" s="144" t="inlineStr">
        <is>
          <t>QUANRDARIUS JOHNSON</t>
        </is>
      </c>
      <c r="B2696" s="144" t="inlineStr">
        <is>
          <t>8935168 AL</t>
        </is>
      </c>
      <c r="C2696" s="144" t="inlineStr">
        <is>
          <t>ASR GROUP INC</t>
        </is>
      </c>
      <c r="D2696" s="144" t="n">
        <v>3347423802</v>
      </c>
      <c r="E2696" s="144" t="inlineStr">
        <is>
          <t>BOX</t>
        </is>
      </c>
      <c r="F2696" s="144" t="inlineStr">
        <is>
          <t>P1293757 IL</t>
        </is>
      </c>
      <c r="G2696" s="144" t="inlineStr">
        <is>
          <t>RED VOLVO</t>
        </is>
      </c>
      <c r="H2696" s="144" t="n">
        <v>1221</v>
      </c>
      <c r="I2696" s="144" t="inlineStr">
        <is>
          <t>COMMERICAL</t>
        </is>
      </c>
    </row>
    <row r="2697" ht="18" customHeight="1" s="7">
      <c r="A2697" s="144" t="inlineStr">
        <is>
          <t>MITCHELL MARLON</t>
        </is>
      </c>
      <c r="B2697" s="144" t="inlineStr">
        <is>
          <t>106025486 SC</t>
        </is>
      </c>
      <c r="C2697" s="144" t="inlineStr">
        <is>
          <t>TR FREIGHT</t>
        </is>
      </c>
      <c r="D2697" s="144" t="n">
        <v>5425413676</v>
      </c>
      <c r="E2697" s="144" t="inlineStr">
        <is>
          <t>BOX</t>
        </is>
      </c>
      <c r="F2697" s="144" t="inlineStr">
        <is>
          <t xml:space="preserve">P997311 IL </t>
        </is>
      </c>
      <c r="G2697" s="144" t="inlineStr">
        <is>
          <t>BLUE VOLVO</t>
        </is>
      </c>
      <c r="H2697" s="144" t="n">
        <v>1221</v>
      </c>
      <c r="I2697" s="144" t="inlineStr">
        <is>
          <t>COMMERICAL</t>
        </is>
      </c>
    </row>
    <row r="2698" ht="18" customHeight="1" s="7">
      <c r="A2698" s="144" t="inlineStr">
        <is>
          <t>JOSE ARCE</t>
        </is>
      </c>
      <c r="B2698" s="144" t="inlineStr">
        <is>
          <t>A209396079000 FL</t>
        </is>
      </c>
      <c r="C2698" s="144" t="inlineStr">
        <is>
          <t>LUSSO</t>
        </is>
      </c>
      <c r="D2698" s="144" t="n">
        <v>3057810262</v>
      </c>
      <c r="E2698" s="144" t="inlineStr">
        <is>
          <t>BOX</t>
        </is>
      </c>
      <c r="F2698" s="144" t="inlineStr">
        <is>
          <t>P1194751 IL</t>
        </is>
      </c>
      <c r="G2698" s="144" t="inlineStr">
        <is>
          <t>WHITE VOLVO</t>
        </is>
      </c>
      <c r="H2698" s="144" t="n">
        <v>1221</v>
      </c>
      <c r="I2698" s="144" t="inlineStr">
        <is>
          <t>COMMERICAL</t>
        </is>
      </c>
    </row>
    <row r="2699" ht="18" customHeight="1" s="7">
      <c r="A2699" s="144" t="inlineStr">
        <is>
          <t>VIENGLAY KHOUNMEUANG</t>
        </is>
      </c>
      <c r="B2699" s="144" t="inlineStr">
        <is>
          <t>A6831911 CA</t>
        </is>
      </c>
      <c r="C2699" s="144" t="inlineStr">
        <is>
          <t>CROSS COUNTRY</t>
        </is>
      </c>
      <c r="D2699" s="144" t="n">
        <v>5592884770</v>
      </c>
      <c r="E2699" s="144" t="inlineStr">
        <is>
          <t>BOX</t>
        </is>
      </c>
      <c r="F2699" s="144" t="inlineStr">
        <is>
          <t>ZP11377 CA</t>
        </is>
      </c>
      <c r="G2699" s="144" t="inlineStr">
        <is>
          <t>WHITE KENWORTH</t>
        </is>
      </c>
      <c r="H2699" s="144" t="n">
        <v>1221</v>
      </c>
      <c r="I2699" s="144" t="inlineStr">
        <is>
          <t>COMMERICAL</t>
        </is>
      </c>
    </row>
    <row r="2700" ht="18" customHeight="1" s="7">
      <c r="A2700" s="144" t="inlineStr">
        <is>
          <t>DOMINIQUE CLERMONT</t>
        </is>
      </c>
      <c r="B2700" s="144" t="inlineStr">
        <is>
          <t>C222495680000</t>
        </is>
      </c>
      <c r="C2700" s="144" t="inlineStr">
        <is>
          <t>M GROUP</t>
        </is>
      </c>
      <c r="D2700" s="144" t="n">
        <v>9546426230</v>
      </c>
      <c r="E2700" s="144" t="inlineStr">
        <is>
          <t>BOX</t>
        </is>
      </c>
      <c r="F2700" s="144" t="inlineStr">
        <is>
          <t>P1216849 IL</t>
        </is>
      </c>
      <c r="G2700" s="144" t="inlineStr">
        <is>
          <t>WHITE FREIGHTLINER</t>
        </is>
      </c>
      <c r="H2700" s="144" t="n">
        <v>1221</v>
      </c>
      <c r="I2700" s="144" t="inlineStr">
        <is>
          <t>COMMERICAL</t>
        </is>
      </c>
    </row>
    <row r="2701" ht="18" customHeight="1" s="7">
      <c r="A2701" s="144" t="inlineStr">
        <is>
          <t>DHARMBEER</t>
        </is>
      </c>
      <c r="B2701" s="144" t="inlineStr">
        <is>
          <t>Y1822779 CA</t>
        </is>
      </c>
      <c r="C2701" s="144" t="inlineStr">
        <is>
          <t>SS TRANS</t>
        </is>
      </c>
      <c r="D2701" s="144" t="n">
        <v>2092986235</v>
      </c>
      <c r="E2701" s="144" t="inlineStr">
        <is>
          <t>BOX</t>
        </is>
      </c>
      <c r="F2701" s="144" t="inlineStr">
        <is>
          <t>YP34276 CA</t>
        </is>
      </c>
      <c r="G2701" s="144" t="inlineStr">
        <is>
          <t>WHITE FREIGHTLINER</t>
        </is>
      </c>
      <c r="H2701" s="144" t="n">
        <v>1221</v>
      </c>
      <c r="I2701" s="144" t="inlineStr">
        <is>
          <t>COMMERICAL</t>
        </is>
      </c>
    </row>
    <row r="2702" ht="18" customHeight="1" s="7">
      <c r="A2702" s="144" t="inlineStr">
        <is>
          <t>RUDISBERTO MARRERO</t>
        </is>
      </c>
      <c r="B2702" s="144" t="inlineStr">
        <is>
          <t>M25097992 KY</t>
        </is>
      </c>
      <c r="C2702" s="144" t="inlineStr">
        <is>
          <t>NEW RAW</t>
        </is>
      </c>
      <c r="D2702" s="144" t="n">
        <v>7868187498</v>
      </c>
      <c r="E2702" s="144" t="inlineStr">
        <is>
          <t>BOX</t>
        </is>
      </c>
      <c r="F2702" s="144" t="inlineStr">
        <is>
          <t>56292X WI</t>
        </is>
      </c>
      <c r="G2702" s="144" t="inlineStr">
        <is>
          <t>BLUE VOLVO</t>
        </is>
      </c>
      <c r="H2702" s="144" t="n">
        <v>1221</v>
      </c>
      <c r="I2702" s="144" t="inlineStr">
        <is>
          <t>COMMERICAL</t>
        </is>
      </c>
    </row>
    <row r="2703" ht="18" customHeight="1" s="7">
      <c r="A2703" s="144" t="inlineStr">
        <is>
          <t>WILLIAM STICKEL</t>
        </is>
      </c>
      <c r="B2703" s="144" t="inlineStr">
        <is>
          <t>000040280861 NC</t>
        </is>
      </c>
      <c r="C2703" s="144" t="inlineStr">
        <is>
          <t>IWS</t>
        </is>
      </c>
      <c r="D2703" s="144" t="n">
        <v>8432543806</v>
      </c>
      <c r="E2703" s="144" t="inlineStr">
        <is>
          <t>FLAT</t>
        </is>
      </c>
      <c r="F2703" s="144" t="inlineStr">
        <is>
          <t>P775352 SC</t>
        </is>
      </c>
      <c r="G2703" s="144" t="inlineStr">
        <is>
          <t>BLACK PETERBILT</t>
        </is>
      </c>
      <c r="H2703" s="144" t="n">
        <v>1221</v>
      </c>
      <c r="I2703" s="144" t="inlineStr">
        <is>
          <t>COMMERICAL</t>
        </is>
      </c>
    </row>
    <row r="2704" ht="18" customHeight="1" s="7">
      <c r="A2704" s="144" t="inlineStr">
        <is>
          <t>JOEL MOORE</t>
        </is>
      </c>
      <c r="B2704" s="144" t="inlineStr">
        <is>
          <t>057912395 GA</t>
        </is>
      </c>
      <c r="C2704" s="144" t="inlineStr">
        <is>
          <t>ALL WILDLIFE</t>
        </is>
      </c>
      <c r="D2704" s="144" t="n">
        <v>2294430281</v>
      </c>
      <c r="E2704" s="144" t="inlineStr">
        <is>
          <t>PU</t>
        </is>
      </c>
      <c r="F2704" s="144" t="inlineStr">
        <is>
          <t>TFZ6469 GA</t>
        </is>
      </c>
      <c r="G2704" s="144" t="inlineStr">
        <is>
          <t>GRAY FORD</t>
        </is>
      </c>
      <c r="H2704" s="144" t="n">
        <v>7000</v>
      </c>
      <c r="I2704" s="144" t="inlineStr">
        <is>
          <t>CONTRACTOR</t>
        </is>
      </c>
    </row>
    <row r="2705" ht="18" customHeight="1" s="7">
      <c r="A2705" s="144" t="inlineStr">
        <is>
          <t>EDWARD BEAUCHAMP</t>
        </is>
      </c>
      <c r="B2705" s="144" t="inlineStr">
        <is>
          <t>106770539 SC</t>
        </is>
      </c>
      <c r="C2705" s="144" t="inlineStr">
        <is>
          <t>LEASE TO</t>
        </is>
      </c>
      <c r="D2705" s="144" t="n">
        <v>6463020656</v>
      </c>
      <c r="E2705" s="144" t="inlineStr">
        <is>
          <t>BOX</t>
        </is>
      </c>
      <c r="F2705" s="144" t="inlineStr">
        <is>
          <t>A004126 SC</t>
        </is>
      </c>
      <c r="G2705" s="144" t="inlineStr">
        <is>
          <t>GRAY KENWORTH</t>
        </is>
      </c>
      <c r="H2705" s="144" t="n">
        <v>1221</v>
      </c>
      <c r="I2705" s="144" t="inlineStr">
        <is>
          <t>COMMERICAL</t>
        </is>
      </c>
    </row>
    <row r="2706" ht="18" customHeight="1" s="7">
      <c r="A2706" s="144" t="inlineStr">
        <is>
          <t>RAVINDERJOT SINGH</t>
        </is>
      </c>
      <c r="B2706" s="144" t="inlineStr">
        <is>
          <t>Y7727235 CA</t>
        </is>
      </c>
      <c r="C2706" s="144" t="inlineStr">
        <is>
          <t>JHAJJ TRANZ</t>
        </is>
      </c>
      <c r="D2706" s="144" t="n">
        <v>5598987338</v>
      </c>
      <c r="E2706" s="144" t="inlineStr">
        <is>
          <t>BOX</t>
        </is>
      </c>
      <c r="F2706" s="144" t="inlineStr">
        <is>
          <t>ZP03282 CA</t>
        </is>
      </c>
      <c r="G2706" s="144" t="inlineStr">
        <is>
          <t>WHITE FREIGHTLINER</t>
        </is>
      </c>
      <c r="H2706" s="144" t="n">
        <v>1221</v>
      </c>
      <c r="I2706" s="144" t="inlineStr">
        <is>
          <t>COMMERICAL</t>
        </is>
      </c>
    </row>
    <row r="2707" ht="18" customHeight="1" s="7">
      <c r="A2707" s="144" t="inlineStr">
        <is>
          <t>YAROSLAV BILAK</t>
        </is>
      </c>
      <c r="B2707" s="144" t="inlineStr">
        <is>
          <t>000027711352 NC</t>
        </is>
      </c>
      <c r="C2707" s="144" t="inlineStr">
        <is>
          <t>ANT TRANS</t>
        </is>
      </c>
      <c r="D2707" s="144" t="n">
        <v>7042812079</v>
      </c>
      <c r="E2707" s="144" t="inlineStr">
        <is>
          <t>BOX</t>
        </is>
      </c>
      <c r="F2707" s="144" t="inlineStr">
        <is>
          <t>P1135197 IL</t>
        </is>
      </c>
      <c r="G2707" s="144" t="inlineStr">
        <is>
          <t>BLUE FREIGHTLINER</t>
        </is>
      </c>
      <c r="H2707" s="144" t="n">
        <v>1221</v>
      </c>
      <c r="I2707" s="144" t="inlineStr">
        <is>
          <t>COMMERICAL</t>
        </is>
      </c>
    </row>
    <row r="2708" ht="18" customHeight="1" s="7">
      <c r="A2708" s="144" t="inlineStr">
        <is>
          <t>INDERJIT SINGH</t>
        </is>
      </c>
      <c r="B2708" s="144" t="inlineStr">
        <is>
          <t>9370916612 IN</t>
        </is>
      </c>
      <c r="C2708" s="144" t="inlineStr">
        <is>
          <t>MBM LOGISTIC</t>
        </is>
      </c>
      <c r="D2708" s="144" t="n">
        <v>7622449253</v>
      </c>
      <c r="E2708" s="144" t="inlineStr">
        <is>
          <t>BOX</t>
        </is>
      </c>
      <c r="F2708" s="144" t="inlineStr">
        <is>
          <t>3694130 IN</t>
        </is>
      </c>
      <c r="G2708" s="144" t="inlineStr">
        <is>
          <t>WHITE FREIGHTLINER</t>
        </is>
      </c>
      <c r="H2708" s="144" t="n">
        <v>1221</v>
      </c>
      <c r="I2708" s="144" t="inlineStr">
        <is>
          <t>COMMERICAL</t>
        </is>
      </c>
    </row>
    <row r="2709" ht="18" customHeight="1" s="7">
      <c r="A2709" s="144" t="inlineStr">
        <is>
          <t>BARRY DAVIS</t>
        </is>
      </c>
      <c r="B2709" s="144" t="inlineStr">
        <is>
          <t>054609116 GA</t>
        </is>
      </c>
      <c r="C2709" s="144" t="inlineStr">
        <is>
          <t>ENGINEERING EQT</t>
        </is>
      </c>
      <c r="D2709" s="144" t="n">
        <v>2298817225</v>
      </c>
      <c r="E2709" s="144" t="inlineStr">
        <is>
          <t>PU</t>
        </is>
      </c>
      <c r="F2709" s="144" t="inlineStr">
        <is>
          <t>BEY7192</t>
        </is>
      </c>
      <c r="G2709" s="144" t="inlineStr">
        <is>
          <t>WHITE FORD</t>
        </is>
      </c>
      <c r="H2709" s="144" t="n">
        <v>1330</v>
      </c>
      <c r="I2709" s="144" t="inlineStr">
        <is>
          <t>CONTRACTOR</t>
        </is>
      </c>
    </row>
    <row r="2710" ht="18" customHeight="1" s="7">
      <c r="A2710" s="144" t="inlineStr">
        <is>
          <t>CARDEL RANSOM</t>
        </is>
      </c>
      <c r="B2710" s="144" t="inlineStr">
        <is>
          <t>054699331 GA</t>
        </is>
      </c>
      <c r="C2710" s="144" t="inlineStr">
        <is>
          <t>RNDC</t>
        </is>
      </c>
      <c r="D2710" s="144" t="n">
        <v>7704532621</v>
      </c>
      <c r="E2710" s="144" t="inlineStr">
        <is>
          <t>BOX</t>
        </is>
      </c>
      <c r="F2710" s="144" t="inlineStr">
        <is>
          <t>GEI783 GA</t>
        </is>
      </c>
      <c r="G2710" s="144" t="inlineStr">
        <is>
          <t>WHITE FREIGHTLINER</t>
        </is>
      </c>
      <c r="H2710" s="144" t="inlineStr">
        <is>
          <t>MCX</t>
        </is>
      </c>
      <c r="I2710" s="144" t="inlineStr">
        <is>
          <t>CONTRACTOR</t>
        </is>
      </c>
    </row>
    <row r="2711" ht="18" customHeight="1" s="7">
      <c r="A2711" s="144" t="inlineStr">
        <is>
          <t>BLAKE LASSETER</t>
        </is>
      </c>
      <c r="B2711" s="144" t="inlineStr">
        <is>
          <t>053441189 GA</t>
        </is>
      </c>
      <c r="C2711" s="144" t="inlineStr">
        <is>
          <t>XTREAM</t>
        </is>
      </c>
      <c r="D2711" s="144" t="n">
        <v>8455458981</v>
      </c>
      <c r="E2711" s="144" t="inlineStr">
        <is>
          <t>CAR</t>
        </is>
      </c>
      <c r="F2711" s="144" t="inlineStr">
        <is>
          <t>CLD3760 GA</t>
        </is>
      </c>
      <c r="G2711" s="144" t="inlineStr">
        <is>
          <t>WHITE FORD</t>
        </is>
      </c>
      <c r="H2711" s="144" t="inlineStr">
        <is>
          <t>GATE 15</t>
        </is>
      </c>
      <c r="I2711" s="144" t="inlineStr">
        <is>
          <t>CONTRACTOR</t>
        </is>
      </c>
    </row>
    <row r="2712" ht="18" customHeight="1" s="7">
      <c r="A2712" s="144" t="inlineStr">
        <is>
          <t>IVAN SAVCHENKO</t>
        </is>
      </c>
      <c r="B2712" s="144" t="inlineStr">
        <is>
          <t>049624734 GA</t>
        </is>
      </c>
      <c r="C2712" s="144" t="inlineStr">
        <is>
          <t>MAXIM LOGISTIC</t>
        </is>
      </c>
      <c r="D2712" s="144" t="n">
        <v>4045131066</v>
      </c>
      <c r="E2712" s="144" t="inlineStr">
        <is>
          <t>BOX</t>
        </is>
      </c>
      <c r="F2712" s="144" t="inlineStr">
        <is>
          <t>C730EW GA</t>
        </is>
      </c>
      <c r="G2712" s="144" t="inlineStr">
        <is>
          <t>WHITE FREIGHTLINER</t>
        </is>
      </c>
      <c r="H2712" s="144" t="n">
        <v>1221</v>
      </c>
      <c r="I2712" s="144" t="inlineStr">
        <is>
          <t>COMMERCIAL</t>
        </is>
      </c>
    </row>
    <row r="2713" ht="18" customHeight="1" s="7">
      <c r="A2713" s="144" t="inlineStr">
        <is>
          <t>RUSSELL SPURLIN</t>
        </is>
      </c>
      <c r="B2713" s="144" t="inlineStr">
        <is>
          <t>053854313 GA</t>
        </is>
      </c>
      <c r="C2713" s="144" t="inlineStr">
        <is>
          <t>RUSS TREE SERVICE</t>
        </is>
      </c>
      <c r="D2713" s="144" t="n">
        <v>2298210879</v>
      </c>
      <c r="E2713" s="144" t="inlineStr">
        <is>
          <t>PU</t>
        </is>
      </c>
      <c r="F2713" s="144" t="inlineStr">
        <is>
          <t>DAK3962 GA</t>
        </is>
      </c>
      <c r="G2713" s="144" t="inlineStr">
        <is>
          <t>WHITE DODGE</t>
        </is>
      </c>
      <c r="H2713" s="144" t="inlineStr">
        <is>
          <t>BASEWIDE</t>
        </is>
      </c>
      <c r="I2713" s="144" t="inlineStr">
        <is>
          <t>CONTRACTOR</t>
        </is>
      </c>
    </row>
    <row r="2714" ht="18" customHeight="1" s="7">
      <c r="A2714" s="144" t="inlineStr">
        <is>
          <t>SERHI KOVTUK</t>
        </is>
      </c>
      <c r="B2714" s="144" t="inlineStr">
        <is>
          <t>K13278093319 IL</t>
        </is>
      </c>
      <c r="C2714" s="144" t="inlineStr">
        <is>
          <t>S&amp;T TRANS</t>
        </is>
      </c>
      <c r="D2714" s="144" t="n">
        <v>9085968443</v>
      </c>
      <c r="E2714" s="144" t="inlineStr">
        <is>
          <t>BOX</t>
        </is>
      </c>
      <c r="F2714" s="144" t="inlineStr">
        <is>
          <t>P1259195 IL</t>
        </is>
      </c>
      <c r="G2714" s="144" t="inlineStr">
        <is>
          <t>WHITE VOLVO</t>
        </is>
      </c>
      <c r="H2714" s="144" t="n">
        <v>1221</v>
      </c>
      <c r="I2714" s="144" t="inlineStr">
        <is>
          <t>COMMERCIAL</t>
        </is>
      </c>
    </row>
    <row r="2715" ht="18" customHeight="1" s="7">
      <c r="A2715" s="144" t="inlineStr">
        <is>
          <t>SERGEY IZOITA</t>
        </is>
      </c>
      <c r="B2715" s="144" t="inlineStr">
        <is>
          <t>T021179016 MI</t>
        </is>
      </c>
      <c r="C2715" s="144" t="inlineStr">
        <is>
          <t>MIDWEST TRANS</t>
        </is>
      </c>
      <c r="D2715" s="144" t="n">
        <v>6606190635</v>
      </c>
      <c r="E2715" s="144" t="inlineStr">
        <is>
          <t>BOX</t>
        </is>
      </c>
      <c r="F2715" s="144" t="inlineStr">
        <is>
          <t>91KS2A IL</t>
        </is>
      </c>
      <c r="G2715" s="144" t="inlineStr">
        <is>
          <t>BLACK PETERBILT</t>
        </is>
      </c>
      <c r="H2715" s="144" t="n">
        <v>1221</v>
      </c>
      <c r="I2715" s="144" t="inlineStr">
        <is>
          <t>COMMERCIAL</t>
        </is>
      </c>
    </row>
    <row r="2716" ht="18" customHeight="1" s="7">
      <c r="A2716" s="144" t="inlineStr">
        <is>
          <t>JOHN LEWIS</t>
        </is>
      </c>
      <c r="B2716" s="144" t="inlineStr">
        <is>
          <t>054036803 GA</t>
        </is>
      </c>
      <c r="C2716" s="144" t="inlineStr">
        <is>
          <t>CONCRETE ENTERP</t>
        </is>
      </c>
      <c r="D2716" s="144" t="n">
        <v>2298881904</v>
      </c>
      <c r="E2716" s="144" t="inlineStr">
        <is>
          <t>DUMP</t>
        </is>
      </c>
      <c r="F2716" s="144" t="inlineStr">
        <is>
          <t>P044CH GA</t>
        </is>
      </c>
      <c r="G2716" s="144" t="inlineStr">
        <is>
          <t>GREEN MACK</t>
        </is>
      </c>
      <c r="H2716" s="144" t="inlineStr">
        <is>
          <t>GATE 15</t>
        </is>
      </c>
      <c r="I2716" s="144" t="inlineStr">
        <is>
          <t>CONTRACTOR</t>
        </is>
      </c>
    </row>
    <row r="2717" ht="18" customHeight="1" s="7">
      <c r="A2717" s="144" t="inlineStr">
        <is>
          <t>BILLY EIDSON</t>
        </is>
      </c>
      <c r="B2717" s="144" t="inlineStr">
        <is>
          <t>*058734452 GA</t>
        </is>
      </c>
      <c r="C2717" s="144" t="inlineStr">
        <is>
          <t>EQUIPMENT SHARE</t>
        </is>
      </c>
      <c r="D2717" s="144" t="n">
        <v>4785506978</v>
      </c>
      <c r="E2717" s="144" t="inlineStr">
        <is>
          <t>PU</t>
        </is>
      </c>
      <c r="F2717" s="144" t="inlineStr">
        <is>
          <t>3781593 IN</t>
        </is>
      </c>
      <c r="G2717" s="144" t="inlineStr">
        <is>
          <t>WHITE CHEVY</t>
        </is>
      </c>
      <c r="H2717" s="144" t="inlineStr">
        <is>
          <t>GATE 15</t>
        </is>
      </c>
      <c r="I2717" s="144" t="inlineStr">
        <is>
          <t>CONTRACTOR</t>
        </is>
      </c>
    </row>
    <row r="2718" ht="18" customHeight="1" s="7">
      <c r="A2718" s="144" t="inlineStr">
        <is>
          <t>LONZO POE JR</t>
        </is>
      </c>
      <c r="B2718" s="144" t="inlineStr">
        <is>
          <t>*054283403 GA</t>
        </is>
      </c>
      <c r="C2718" s="144" t="inlineStr">
        <is>
          <t>CONCRETE ENTERP</t>
        </is>
      </c>
      <c r="D2718" s="144" t="n">
        <v>2298881904</v>
      </c>
      <c r="E2718" s="144" t="inlineStr">
        <is>
          <t>DUMP</t>
        </is>
      </c>
      <c r="F2718" s="144" t="inlineStr">
        <is>
          <t>P862CI GA</t>
        </is>
      </c>
      <c r="G2718" s="144" t="inlineStr">
        <is>
          <t>GREEN WS</t>
        </is>
      </c>
      <c r="H2718" s="144" t="inlineStr">
        <is>
          <t>GATE 15</t>
        </is>
      </c>
      <c r="I2718" s="144" t="inlineStr">
        <is>
          <t>CONTRACTOR</t>
        </is>
      </c>
    </row>
    <row r="2719" ht="18" customHeight="1" s="7">
      <c r="A2719" s="144" t="inlineStr">
        <is>
          <t>ANNA PATE</t>
        </is>
      </c>
      <c r="B2719" s="144" t="inlineStr">
        <is>
          <t>*058819372 GA</t>
        </is>
      </c>
      <c r="C2719" s="144" t="inlineStr">
        <is>
          <t>ROAD EAGLE</t>
        </is>
      </c>
      <c r="D2719" s="144" t="n">
        <v>9103742227</v>
      </c>
      <c r="E2719" s="144" t="inlineStr">
        <is>
          <t>BOX</t>
        </is>
      </c>
      <c r="F2719" s="144" t="inlineStr">
        <is>
          <t>AM13603 AZ</t>
        </is>
      </c>
      <c r="G2719" s="144" t="inlineStr">
        <is>
          <t>WHT GMC</t>
        </is>
      </c>
      <c r="H2719" s="144" t="n">
        <v>1431</v>
      </c>
      <c r="I2719" s="144" t="inlineStr">
        <is>
          <t>CONTRACTOR</t>
        </is>
      </c>
    </row>
    <row r="2720" ht="18" customHeight="1" s="7">
      <c r="A2720" s="144" t="inlineStr">
        <is>
          <t>THOMAS COULTER</t>
        </is>
      </c>
      <c r="B2720" s="144" t="inlineStr">
        <is>
          <t>*055377118 GA</t>
        </is>
      </c>
      <c r="C2720" s="144" t="inlineStr">
        <is>
          <t>QUALITY WRECKER</t>
        </is>
      </c>
      <c r="D2720" s="144" t="n">
        <v>2294356003</v>
      </c>
      <c r="E2720" s="144" t="inlineStr">
        <is>
          <t>WRECKER</t>
        </is>
      </c>
      <c r="F2720" s="144" t="inlineStr">
        <is>
          <t>IC41HC GA</t>
        </is>
      </c>
      <c r="G2720" s="144" t="inlineStr">
        <is>
          <t>YELLOW INTER</t>
        </is>
      </c>
      <c r="H2720" s="144" t="n">
        <v>1322</v>
      </c>
      <c r="I2720" s="144" t="inlineStr">
        <is>
          <t>COMMERCIAL</t>
        </is>
      </c>
    </row>
    <row r="2721" ht="18" customHeight="1" s="7">
      <c r="A2721" s="144" t="inlineStr">
        <is>
          <t>JACK SKELLY</t>
        </is>
      </c>
      <c r="B2721" s="144" t="inlineStr">
        <is>
          <t>RT052898 OH</t>
        </is>
      </c>
      <c r="C2721" s="144" t="inlineStr">
        <is>
          <t>ACE DORAN</t>
        </is>
      </c>
      <c r="D2721" s="144" t="n">
        <v>3302316267</v>
      </c>
      <c r="E2721" s="144" t="inlineStr">
        <is>
          <t>FLAT</t>
        </is>
      </c>
      <c r="F2721" s="144" t="inlineStr">
        <is>
          <t>P1161789 IL</t>
        </is>
      </c>
      <c r="G2721" s="144" t="inlineStr">
        <is>
          <t>GREY PETERBILT</t>
        </is>
      </c>
      <c r="H2721" s="144" t="n">
        <v>1221</v>
      </c>
      <c r="I2721" s="144" t="inlineStr">
        <is>
          <t>COMMERCIAL</t>
        </is>
      </c>
    </row>
    <row r="2722" ht="18" customHeight="1" s="7">
      <c r="A2722" s="144" t="inlineStr">
        <is>
          <t>JOSEPH HOOPER</t>
        </is>
      </c>
      <c r="B2722" s="144" t="inlineStr">
        <is>
          <t>*071526845 GA</t>
        </is>
      </c>
      <c r="C2722" s="144" t="inlineStr">
        <is>
          <t>SAIA</t>
        </is>
      </c>
      <c r="D2722" s="144" t="n">
        <v>9094525290</v>
      </c>
      <c r="E2722" s="144" t="inlineStr">
        <is>
          <t>BOX</t>
        </is>
      </c>
      <c r="F2722" s="144" t="inlineStr">
        <is>
          <t>P284243 LA</t>
        </is>
      </c>
      <c r="G2722" s="144" t="inlineStr">
        <is>
          <t>RED FREIGHTLINER</t>
        </is>
      </c>
      <c r="H2722" s="144" t="n">
        <v>1221</v>
      </c>
      <c r="I2722" s="144" t="inlineStr">
        <is>
          <t>COMMERCIAL</t>
        </is>
      </c>
    </row>
    <row r="2723" ht="18" customHeight="1" s="7">
      <c r="A2723" s="144" t="inlineStr">
        <is>
          <t>BREDUN YAROSLAV</t>
        </is>
      </c>
      <c r="B2723" s="144" t="inlineStr">
        <is>
          <t>N75568370 AZ</t>
        </is>
      </c>
      <c r="C2723" s="144" t="inlineStr">
        <is>
          <t>SIMPLE 1</t>
        </is>
      </c>
      <c r="D2723" s="144" t="n">
        <v>4802062889</v>
      </c>
      <c r="E2723" s="144" t="inlineStr">
        <is>
          <t>FLAT</t>
        </is>
      </c>
      <c r="F2723" s="144" t="inlineStr">
        <is>
          <t>P128510 IL</t>
        </is>
      </c>
      <c r="G2723" s="144" t="inlineStr">
        <is>
          <t>GRAY PETERBILT</t>
        </is>
      </c>
      <c r="H2723" s="144" t="n">
        <v>1221</v>
      </c>
      <c r="I2723" s="144" t="inlineStr">
        <is>
          <t>COMMERICAL</t>
        </is>
      </c>
    </row>
    <row r="2724" ht="18" customHeight="1" s="7">
      <c r="A2724" s="144" t="inlineStr">
        <is>
          <t>ROBERT BEMROSE</t>
        </is>
      </c>
      <c r="B2724" s="144" t="inlineStr">
        <is>
          <t>084269306 OK</t>
        </is>
      </c>
      <c r="C2724" s="144" t="inlineStr">
        <is>
          <t>LANDSTAR</t>
        </is>
      </c>
      <c r="D2724" s="144" t="n">
        <v>4792256055</v>
      </c>
      <c r="E2724" s="144" t="inlineStr">
        <is>
          <t>FLAT</t>
        </is>
      </c>
      <c r="F2724" s="144" t="inlineStr">
        <is>
          <t>3JV056 OK</t>
        </is>
      </c>
      <c r="G2724" s="144" t="inlineStr">
        <is>
          <t>MAROON FREIGHTLINER</t>
        </is>
      </c>
      <c r="H2724" s="144" t="n">
        <v>1221</v>
      </c>
      <c r="I2724" s="144" t="inlineStr">
        <is>
          <t>COMMERICAL</t>
        </is>
      </c>
    </row>
    <row r="2725" ht="18" customHeight="1" s="7">
      <c r="A2725" s="144" t="inlineStr">
        <is>
          <t>KAZIMIRSKIY ALEXANDR</t>
        </is>
      </c>
      <c r="B2725" s="144" t="inlineStr">
        <is>
          <t>K25601884079</t>
        </is>
      </c>
      <c r="C2725" s="144" t="inlineStr">
        <is>
          <t>FAREAST</t>
        </is>
      </c>
      <c r="D2725" s="144" t="n">
        <v>3122033951</v>
      </c>
      <c r="E2725" s="144" t="inlineStr">
        <is>
          <t>FLAT</t>
        </is>
      </c>
      <c r="F2725" s="144" t="inlineStr">
        <is>
          <t>FF1528103 IL</t>
        </is>
      </c>
      <c r="G2725" s="144" t="inlineStr">
        <is>
          <t>MAROON FREIGHTLINER</t>
        </is>
      </c>
      <c r="H2725" s="144" t="n">
        <v>1221</v>
      </c>
      <c r="I2725" s="144" t="inlineStr">
        <is>
          <t>COMMERICAL</t>
        </is>
      </c>
    </row>
    <row r="2726" ht="18" customHeight="1" s="7">
      <c r="A2726" s="144" t="inlineStr">
        <is>
          <t>MARCOS CHAVEZ</t>
        </is>
      </c>
      <c r="B2726" s="144" t="inlineStr">
        <is>
          <t>20298682 TX</t>
        </is>
      </c>
      <c r="C2726" s="144" t="inlineStr">
        <is>
          <t>LIMITED CARRIES</t>
        </is>
      </c>
      <c r="D2726" s="144" t="n">
        <v>9152271979</v>
      </c>
      <c r="E2726" s="144" t="inlineStr">
        <is>
          <t>FLAT</t>
        </is>
      </c>
      <c r="F2726" s="144" t="inlineStr">
        <is>
          <t>R782646 TX</t>
        </is>
      </c>
      <c r="G2726" s="144" t="inlineStr">
        <is>
          <t>SILVER KENWORTH</t>
        </is>
      </c>
      <c r="H2726" s="144" t="n">
        <v>1221</v>
      </c>
      <c r="I2726" s="144" t="inlineStr">
        <is>
          <t>COMMERICAL</t>
        </is>
      </c>
    </row>
    <row r="2727" ht="18" customHeight="1" s="7">
      <c r="A2727" s="144" t="inlineStr">
        <is>
          <t>MICHEAL KELM</t>
        </is>
      </c>
      <c r="B2727" s="144" t="inlineStr">
        <is>
          <t>AAB0000565456</t>
        </is>
      </c>
      <c r="C2727" s="144" t="inlineStr">
        <is>
          <t>XLG TRANS</t>
        </is>
      </c>
      <c r="D2727" s="144" t="n">
        <v>5052205670</v>
      </c>
      <c r="E2727" s="144" t="inlineStr">
        <is>
          <t>FLAT</t>
        </is>
      </c>
      <c r="F2727" s="144" t="inlineStr">
        <is>
          <t>3271084 IN</t>
        </is>
      </c>
      <c r="G2727" s="144" t="inlineStr">
        <is>
          <t>YELLOW KENWORTH</t>
        </is>
      </c>
      <c r="H2727" s="144" t="n">
        <v>1221</v>
      </c>
      <c r="I2727" s="144" t="inlineStr">
        <is>
          <t>COMMERICAL</t>
        </is>
      </c>
    </row>
    <row r="2728" ht="18" customHeight="1" s="7">
      <c r="A2728" s="144" t="inlineStr">
        <is>
          <t>PAUL ORTIZ</t>
        </is>
      </c>
      <c r="B2728" s="144" t="inlineStr">
        <is>
          <t>049000281 GA</t>
        </is>
      </c>
      <c r="C2728" s="144" t="inlineStr">
        <is>
          <t>AKI TRANS</t>
        </is>
      </c>
      <c r="D2728" s="144" t="n">
        <v>7703134400</v>
      </c>
      <c r="E2728" s="144" t="inlineStr">
        <is>
          <t>BOX</t>
        </is>
      </c>
      <c r="F2728" s="144" t="inlineStr">
        <is>
          <t>GMY937 GA</t>
        </is>
      </c>
      <c r="G2728" s="144" t="inlineStr">
        <is>
          <t>YELLOW FREIGHTLINER</t>
        </is>
      </c>
      <c r="H2728" s="144" t="n">
        <v>1221</v>
      </c>
      <c r="I2728" s="144" t="inlineStr">
        <is>
          <t>CONTRACTOR</t>
        </is>
      </c>
    </row>
    <row r="2729" ht="18" customHeight="1" s="7">
      <c r="A2729" s="144" t="inlineStr">
        <is>
          <t>JONTE THOMAS</t>
        </is>
      </c>
      <c r="B2729" s="144" t="inlineStr">
        <is>
          <t>070268924 GA</t>
        </is>
      </c>
      <c r="C2729" s="144" t="inlineStr">
        <is>
          <t>TRANSWOOD INC</t>
        </is>
      </c>
      <c r="D2729" s="144" t="n">
        <v>4195528616</v>
      </c>
      <c r="E2729" s="144" t="inlineStr">
        <is>
          <t>GAS</t>
        </is>
      </c>
      <c r="F2729" s="144" t="inlineStr">
        <is>
          <t>415723 NE</t>
        </is>
      </c>
      <c r="G2729" s="144" t="inlineStr">
        <is>
          <t>WHITE FREIGHTLINER</t>
        </is>
      </c>
      <c r="H2729" s="144" t="inlineStr">
        <is>
          <t>MCX</t>
        </is>
      </c>
      <c r="I2729" s="144" t="inlineStr">
        <is>
          <t>COMMERICAL</t>
        </is>
      </c>
    </row>
    <row r="2730" ht="18" customHeight="1" s="7">
      <c r="A2730" s="144" t="inlineStr">
        <is>
          <t>MARK PASHKOVSKIY</t>
        </is>
      </c>
      <c r="B2730" s="144" t="inlineStr">
        <is>
          <t>WDL79S35J33B</t>
        </is>
      </c>
      <c r="C2730" s="144" t="inlineStr">
        <is>
          <t>JATO LOGISTIC</t>
        </is>
      </c>
      <c r="D2730" s="144" t="n">
        <v>5093983254</v>
      </c>
      <c r="E2730" s="144" t="inlineStr">
        <is>
          <t>FLAT</t>
        </is>
      </c>
      <c r="F2730" s="144" t="inlineStr">
        <is>
          <t>RP02853 WA</t>
        </is>
      </c>
      <c r="G2730" s="144" t="inlineStr">
        <is>
          <t>BLACK KENWORTH</t>
        </is>
      </c>
      <c r="H2730" s="144" t="n">
        <v>1221</v>
      </c>
      <c r="I2730" s="144" t="inlineStr">
        <is>
          <t>COMMERICAL</t>
        </is>
      </c>
    </row>
    <row r="2731" ht="18" customHeight="1" s="7">
      <c r="A2731" s="144" t="inlineStr">
        <is>
          <t>LYNDEL FORD</t>
        </is>
      </c>
      <c r="B2731" s="144" t="inlineStr">
        <is>
          <t>053746617 GA</t>
        </is>
      </c>
      <c r="C2731" s="144" t="inlineStr">
        <is>
          <t>BUCK RUN</t>
        </is>
      </c>
      <c r="D2731" s="144" t="n">
        <v>2293570903</v>
      </c>
      <c r="E2731" s="144" t="inlineStr">
        <is>
          <t>DUMP</t>
        </is>
      </c>
      <c r="F2731" s="144" t="inlineStr">
        <is>
          <t>GBW564 GA</t>
        </is>
      </c>
      <c r="G2731" s="144" t="inlineStr">
        <is>
          <t>PURPLE INTERNATIONAL</t>
        </is>
      </c>
      <c r="H2731" s="144" t="n">
        <v>2320</v>
      </c>
      <c r="I2731" s="144" t="inlineStr">
        <is>
          <t>COMMERICAL</t>
        </is>
      </c>
    </row>
    <row r="2732" ht="18" customHeight="1" s="7">
      <c r="A2732" s="144" t="inlineStr">
        <is>
          <t>LUZIN EVGENII</t>
        </is>
      </c>
      <c r="B2732" s="144" t="inlineStr">
        <is>
          <t>L25020083016</t>
        </is>
      </c>
      <c r="C2732" s="144" t="inlineStr">
        <is>
          <t>FAREAST</t>
        </is>
      </c>
      <c r="D2732" s="144" t="n">
        <v>7865088070</v>
      </c>
      <c r="E2732" s="144" t="inlineStr">
        <is>
          <t>FLAT</t>
        </is>
      </c>
      <c r="F2732" s="144" t="inlineStr">
        <is>
          <t>P1249606 IL</t>
        </is>
      </c>
      <c r="G2732" s="144" t="inlineStr">
        <is>
          <t>WHITE PETERBILT</t>
        </is>
      </c>
      <c r="H2732" s="144" t="n">
        <v>1221</v>
      </c>
      <c r="I2732" s="144" t="inlineStr">
        <is>
          <t>COMMERICAL</t>
        </is>
      </c>
    </row>
    <row r="2733" ht="18" customHeight="1" s="7">
      <c r="A2733" s="144" t="inlineStr">
        <is>
          <t>ROY SIZEMORE</t>
        </is>
      </c>
      <c r="B2733" s="144" t="inlineStr">
        <is>
          <t>057442105 GA</t>
        </is>
      </c>
      <c r="C2733" s="144" t="inlineStr">
        <is>
          <t>XTREAM</t>
        </is>
      </c>
      <c r="D2733" s="144" t="n">
        <v>2293571771</v>
      </c>
      <c r="E2733" s="144" t="inlineStr">
        <is>
          <t>PU</t>
        </is>
      </c>
      <c r="F2733" s="144" t="inlineStr">
        <is>
          <t>XSF899 GA</t>
        </is>
      </c>
      <c r="G2733" s="144" t="inlineStr">
        <is>
          <t>WHITE FORD</t>
        </is>
      </c>
      <c r="H2733" s="144" t="inlineStr">
        <is>
          <t>GATE 15</t>
        </is>
      </c>
      <c r="I2733" s="144" t="inlineStr">
        <is>
          <t>CONTRACTOR</t>
        </is>
      </c>
    </row>
    <row r="2734" ht="18" customHeight="1" s="7">
      <c r="A2734" s="144" t="inlineStr">
        <is>
          <t>MICHEAL GREENE</t>
        </is>
      </c>
      <c r="B2734" s="144" t="inlineStr">
        <is>
          <t>G650544823680 FL</t>
        </is>
      </c>
      <c r="C2734" s="144" t="inlineStr">
        <is>
          <t>PERMITER SEC</t>
        </is>
      </c>
      <c r="D2734" s="144" t="n">
        <v>7163072744</v>
      </c>
      <c r="E2734" s="144" t="inlineStr">
        <is>
          <t>PU</t>
        </is>
      </c>
      <c r="F2734" s="144" t="inlineStr">
        <is>
          <t>97370 TX</t>
        </is>
      </c>
      <c r="G2734" s="144" t="inlineStr">
        <is>
          <t>WHITE FORD</t>
        </is>
      </c>
      <c r="H2734" s="144" t="inlineStr">
        <is>
          <t>GATE 15</t>
        </is>
      </c>
      <c r="I2734" s="144" t="inlineStr">
        <is>
          <t>CONTRACTOR</t>
        </is>
      </c>
    </row>
    <row r="2735" ht="18" customHeight="1" s="7">
      <c r="A2735" s="144" t="inlineStr">
        <is>
          <t>ROBERT PRICE LEE</t>
        </is>
      </c>
      <c r="B2735" s="144" t="inlineStr">
        <is>
          <t>051670305 GA</t>
        </is>
      </c>
      <c r="C2735" s="144" t="inlineStr">
        <is>
          <t>XPO</t>
        </is>
      </c>
      <c r="D2735" s="144" t="n">
        <v>2298698729</v>
      </c>
      <c r="E2735" s="144" t="inlineStr">
        <is>
          <t>BOX</t>
        </is>
      </c>
      <c r="F2735" s="144" t="inlineStr">
        <is>
          <t>37886124 IN</t>
        </is>
      </c>
      <c r="G2735" s="144" t="inlineStr">
        <is>
          <t>WHITE KENWORTH</t>
        </is>
      </c>
      <c r="H2735" s="144" t="n">
        <v>1331</v>
      </c>
      <c r="I2735" s="144" t="inlineStr">
        <is>
          <t>COMMERICAL</t>
        </is>
      </c>
    </row>
    <row r="2736" ht="18" customHeight="1" s="7">
      <c r="A2736" s="144" t="inlineStr">
        <is>
          <t>PHILLIP PATTON</t>
        </is>
      </c>
      <c r="B2736" s="144" t="inlineStr">
        <is>
          <t>056961766 GA</t>
        </is>
      </c>
      <c r="C2736" s="144" t="inlineStr">
        <is>
          <t>CURRENT EDGE</t>
        </is>
      </c>
      <c r="D2736" s="144" t="inlineStr">
        <is>
          <t>912 3575800</t>
        </is>
      </c>
      <c r="E2736" s="144" t="inlineStr">
        <is>
          <t>PU</t>
        </is>
      </c>
      <c r="F2736" s="144" t="inlineStr">
        <is>
          <t>RVC2121 GA</t>
        </is>
      </c>
      <c r="G2736" s="144" t="inlineStr">
        <is>
          <t>WHITE CHEV</t>
        </is>
      </c>
      <c r="H2736" s="144" t="inlineStr">
        <is>
          <t>BASEWIDE</t>
        </is>
      </c>
      <c r="I2736" s="144" t="inlineStr">
        <is>
          <t>CONTRACTOR</t>
        </is>
      </c>
    </row>
    <row r="2737" ht="18" customHeight="1" s="7">
      <c r="A2737" s="144" t="inlineStr">
        <is>
          <t>RODGER COX</t>
        </is>
      </c>
      <c r="B2737" s="144" t="inlineStr">
        <is>
          <t>11657325 GA</t>
        </is>
      </c>
      <c r="C2737" s="144" t="inlineStr">
        <is>
          <t>CURRENT EDGE</t>
        </is>
      </c>
      <c r="D2737" s="144" t="inlineStr">
        <is>
          <t>912 3575800</t>
        </is>
      </c>
      <c r="E2737" s="144" t="inlineStr">
        <is>
          <t>PU</t>
        </is>
      </c>
      <c r="F2737" s="144" t="inlineStr">
        <is>
          <t>SHS1570 GA</t>
        </is>
      </c>
      <c r="G2737" s="144" t="inlineStr">
        <is>
          <t>WHITE FORD</t>
        </is>
      </c>
      <c r="H2737" s="144" t="inlineStr">
        <is>
          <t>BASEWIDE</t>
        </is>
      </c>
      <c r="I2737" s="144" t="inlineStr">
        <is>
          <t>CONTRACTOR</t>
        </is>
      </c>
    </row>
    <row r="2738" ht="18" customHeight="1" s="7">
      <c r="A2738" s="144" t="inlineStr">
        <is>
          <t>GUZEVATIY YURIY</t>
        </is>
      </c>
      <c r="B2738" s="144" t="inlineStr">
        <is>
          <t>WDLB461DC03B WAS</t>
        </is>
      </c>
      <c r="C2738" s="144" t="inlineStr">
        <is>
          <t>USA QUALITY</t>
        </is>
      </c>
      <c r="D2738" s="144" t="n">
        <v>5094355728</v>
      </c>
      <c r="E2738" s="144" t="inlineStr">
        <is>
          <t>BOX</t>
        </is>
      </c>
      <c r="F2738" s="144" t="inlineStr">
        <is>
          <t>82587RP WAS</t>
        </is>
      </c>
      <c r="G2738" s="144" t="inlineStr">
        <is>
          <t>WHITE VOLVO</t>
        </is>
      </c>
      <c r="H2738" s="144" t="n">
        <v>1221</v>
      </c>
      <c r="I2738" s="144" t="inlineStr">
        <is>
          <t>COMMERCIAL</t>
        </is>
      </c>
    </row>
    <row r="2739" ht="18" customHeight="1" s="7">
      <c r="A2739" s="144" t="inlineStr">
        <is>
          <t>SHERMAN DONALD</t>
        </is>
      </c>
      <c r="B2739" s="144" t="inlineStr">
        <is>
          <t>13306000 TX</t>
        </is>
      </c>
      <c r="C2739" s="144" t="inlineStr">
        <is>
          <t>D&amp;D SHERMAN</t>
        </is>
      </c>
      <c r="D2739" s="144" t="n">
        <v>8173576996</v>
      </c>
      <c r="E2739" s="144" t="inlineStr">
        <is>
          <t>PU</t>
        </is>
      </c>
      <c r="F2739" s="144" t="inlineStr">
        <is>
          <t>K133371 TX</t>
        </is>
      </c>
      <c r="G2739" s="144" t="inlineStr">
        <is>
          <t>GREY RAM</t>
        </is>
      </c>
      <c r="H2739" s="144" t="n">
        <v>1351</v>
      </c>
      <c r="I2739" s="144" t="inlineStr">
        <is>
          <t>CONTRACTOR</t>
        </is>
      </c>
    </row>
    <row r="2740" ht="18" customHeight="1" s="7">
      <c r="A2740" s="144" t="inlineStr">
        <is>
          <t>COOK ADAM</t>
        </is>
      </c>
      <c r="B2740" s="144" t="inlineStr">
        <is>
          <t>C64830086870712 CAN</t>
        </is>
      </c>
      <c r="C2740" s="144" t="inlineStr">
        <is>
          <t>BEYOND TRANS</t>
        </is>
      </c>
      <c r="D2740" s="144" t="n">
        <v>2269782588</v>
      </c>
      <c r="E2740" s="144" t="inlineStr">
        <is>
          <t>BOX</t>
        </is>
      </c>
      <c r="F2740" s="144" t="inlineStr">
        <is>
          <t>PA82044 CA</t>
        </is>
      </c>
      <c r="G2740" s="144" t="inlineStr">
        <is>
          <t>WHITE FREIGHTLINER</t>
        </is>
      </c>
      <c r="H2740" s="144" t="n">
        <v>1221</v>
      </c>
      <c r="I2740" s="144" t="inlineStr">
        <is>
          <t>COMMERCIAL</t>
        </is>
      </c>
    </row>
    <row r="2741" ht="18" customHeight="1" s="7">
      <c r="A2741" s="144" t="inlineStr">
        <is>
          <t>KENNETH FOUSE</t>
        </is>
      </c>
      <c r="B2741" s="144" t="inlineStr">
        <is>
          <t>121C165004 MO</t>
        </is>
      </c>
      <c r="C2741" s="144" t="inlineStr">
        <is>
          <t>AATCO</t>
        </is>
      </c>
      <c r="D2741" s="144" t="n">
        <v>6236969160</v>
      </c>
      <c r="E2741" s="144" t="inlineStr">
        <is>
          <t>VAN</t>
        </is>
      </c>
      <c r="F2741" s="144" t="inlineStr">
        <is>
          <t>6YHJ74 MO</t>
        </is>
      </c>
      <c r="G2741" s="144" t="inlineStr">
        <is>
          <t>WHITE MERCEDES</t>
        </is>
      </c>
      <c r="H2741" s="144" t="n">
        <v>1221</v>
      </c>
      <c r="I2741" s="144" t="inlineStr">
        <is>
          <t>COMMERCIAL</t>
        </is>
      </c>
    </row>
    <row r="2742" ht="18" customHeight="1" s="7">
      <c r="A2742" s="144" t="inlineStr">
        <is>
          <t>KEITH SHULL</t>
        </is>
      </c>
      <c r="B2742" s="144" t="inlineStr">
        <is>
          <t>*053359413 GA</t>
        </is>
      </c>
      <c r="C2742" s="144" t="inlineStr">
        <is>
          <t>WESTCO</t>
        </is>
      </c>
      <c r="D2742" s="144" t="n">
        <v>2295162867</v>
      </c>
      <c r="E2742" s="144" t="inlineStr">
        <is>
          <t>FLAT</t>
        </is>
      </c>
      <c r="F2742" s="144" t="inlineStr">
        <is>
          <t>43EGRP FL</t>
        </is>
      </c>
      <c r="G2742" s="144" t="inlineStr">
        <is>
          <t>WHITE FREIGHTLINER</t>
        </is>
      </c>
      <c r="H2742" s="144" t="n">
        <v>5501</v>
      </c>
      <c r="I2742" s="144" t="inlineStr">
        <is>
          <t>COMMERCIAL</t>
        </is>
      </c>
    </row>
    <row r="2743" ht="18" customHeight="1" s="7">
      <c r="A2743" s="144" t="inlineStr">
        <is>
          <t>EMERICK GUILHERME</t>
        </is>
      </c>
      <c r="B2743" s="144" t="inlineStr">
        <is>
          <t>E238312104000 FL</t>
        </is>
      </c>
      <c r="C2743" s="144" t="inlineStr">
        <is>
          <t>LANDSTAR</t>
        </is>
      </c>
      <c r="D2743" s="144" t="n">
        <v>9548569552</v>
      </c>
      <c r="E2743" s="144" t="inlineStr">
        <is>
          <t>FLAT</t>
        </is>
      </c>
      <c r="F2743" s="144" t="inlineStr">
        <is>
          <t>3502333 IN</t>
        </is>
      </c>
      <c r="G2743" s="144" t="inlineStr">
        <is>
          <t>BLACK PETERBILT</t>
        </is>
      </c>
      <c r="H2743" s="144" t="n">
        <v>1221</v>
      </c>
      <c r="I2743" s="144" t="inlineStr">
        <is>
          <t>COMMERCIAL</t>
        </is>
      </c>
    </row>
    <row r="2744" ht="18" customHeight="1" s="7">
      <c r="A2744" s="144" t="inlineStr">
        <is>
          <t>CHRISTOPHER HARDEN</t>
        </is>
      </c>
      <c r="B2744" s="144" t="inlineStr">
        <is>
          <t>*060549443 GA</t>
        </is>
      </c>
      <c r="C2744" s="144" t="inlineStr">
        <is>
          <t>METROPOWER</t>
        </is>
      </c>
      <c r="D2744" s="144" t="n">
        <v>2293101713</v>
      </c>
      <c r="E2744" s="144" t="inlineStr">
        <is>
          <t>BOX</t>
        </is>
      </c>
      <c r="F2744" s="144" t="inlineStr">
        <is>
          <t>SKD1496 GA</t>
        </is>
      </c>
      <c r="G2744" s="144" t="inlineStr">
        <is>
          <t>WHITE FORD</t>
        </is>
      </c>
      <c r="H2744" s="144" t="inlineStr">
        <is>
          <t>POWERWORKS</t>
        </is>
      </c>
      <c r="I2744" s="144" t="inlineStr">
        <is>
          <t>CONTRACTOR</t>
        </is>
      </c>
    </row>
    <row r="2745" ht="18" customHeight="1" s="7">
      <c r="A2745" s="144" t="inlineStr">
        <is>
          <t>AUSTIN WILLIS</t>
        </is>
      </c>
      <c r="B2745" s="144" t="inlineStr">
        <is>
          <t>*061870422 GA</t>
        </is>
      </c>
      <c r="C2745" s="144" t="inlineStr">
        <is>
          <t>BUCKRUN PRESERVE</t>
        </is>
      </c>
      <c r="D2745" s="144" t="n">
        <v>2293920541</v>
      </c>
      <c r="E2745" s="144" t="inlineStr">
        <is>
          <t>PU</t>
        </is>
      </c>
      <c r="F2745" s="144" t="inlineStr">
        <is>
          <t>PVP5143 GA</t>
        </is>
      </c>
      <c r="G2745" s="144" t="inlineStr">
        <is>
          <t>WHITE CHEVY</t>
        </is>
      </c>
      <c r="H2745" s="144" t="inlineStr">
        <is>
          <t>HOBBY SHOP</t>
        </is>
      </c>
      <c r="I2745" s="144" t="inlineStr">
        <is>
          <t>CONTRACTOR</t>
        </is>
      </c>
    </row>
    <row r="2746" ht="18" customHeight="1" s="7">
      <c r="A2746" s="144" t="inlineStr">
        <is>
          <t>WELDEGERGISH HAGOS</t>
        </is>
      </c>
      <c r="B2746" s="144" t="inlineStr">
        <is>
          <t>45217959 TX</t>
        </is>
      </c>
      <c r="C2746" s="144" t="inlineStr">
        <is>
          <t>YONAS LOGISTIC</t>
        </is>
      </c>
      <c r="D2746" s="144" t="n">
        <v>9323712425</v>
      </c>
      <c r="E2746" s="144" t="inlineStr">
        <is>
          <t>BOX</t>
        </is>
      </c>
      <c r="F2746" s="144" t="inlineStr">
        <is>
          <t>R667601 TX</t>
        </is>
      </c>
      <c r="G2746" s="144" t="inlineStr">
        <is>
          <t xml:space="preserve">YELLOW VOLVO </t>
        </is>
      </c>
      <c r="H2746" s="144" t="n">
        <v>1221</v>
      </c>
      <c r="I2746" s="144" t="inlineStr">
        <is>
          <t>COMMERCIAL</t>
        </is>
      </c>
    </row>
    <row r="2747" ht="18" customHeight="1" s="7">
      <c r="A2747" s="144" t="inlineStr">
        <is>
          <t>JOHNSTON STUART</t>
        </is>
      </c>
      <c r="B2747" s="144" t="inlineStr">
        <is>
          <t>921146927 CO</t>
        </is>
      </c>
      <c r="C2747" s="144" t="inlineStr">
        <is>
          <t>LANDSTAR</t>
        </is>
      </c>
      <c r="D2747" s="144" t="n">
        <v>3035208105</v>
      </c>
      <c r="E2747" s="144" t="inlineStr">
        <is>
          <t>BOX</t>
        </is>
      </c>
      <c r="F2747" s="144" t="inlineStr">
        <is>
          <t>P961877 IL</t>
        </is>
      </c>
      <c r="G2747" s="144" t="inlineStr">
        <is>
          <t>BLACK KENWORTH</t>
        </is>
      </c>
      <c r="H2747" s="144" t="n">
        <v>1221</v>
      </c>
      <c r="I2747" s="144" t="inlineStr">
        <is>
          <t>COMMERCIAL</t>
        </is>
      </c>
    </row>
    <row r="2748" ht="18" customHeight="1" s="7">
      <c r="A2748" s="144" t="inlineStr">
        <is>
          <t>PALMER KAY</t>
        </is>
      </c>
      <c r="B2748" s="144" t="inlineStr">
        <is>
          <t>44768442 TX</t>
        </is>
      </c>
      <c r="C2748" s="144" t="inlineStr">
        <is>
          <t>MGR</t>
        </is>
      </c>
      <c r="D2748" s="144" t="n">
        <v>8179148807</v>
      </c>
      <c r="E2748" s="144" t="inlineStr">
        <is>
          <t>BOX</t>
        </is>
      </c>
      <c r="F2748" s="144" t="inlineStr">
        <is>
          <t>P1246883 IL</t>
        </is>
      </c>
      <c r="G2748" s="144" t="inlineStr">
        <is>
          <t>WHITE FREIGHTLINER</t>
        </is>
      </c>
      <c r="H2748" s="144" t="n">
        <v>1221</v>
      </c>
      <c r="I2748" s="144" t="inlineStr">
        <is>
          <t>COMMERCIAL</t>
        </is>
      </c>
    </row>
    <row r="2749" ht="18" customHeight="1" s="7">
      <c r="A2749" s="144" t="inlineStr">
        <is>
          <t>TAMIE SAMUELS</t>
        </is>
      </c>
      <c r="B2749" s="144" t="inlineStr">
        <is>
          <t>A4271333 CA</t>
        </is>
      </c>
      <c r="C2749" s="144" t="inlineStr">
        <is>
          <t>PTS</t>
        </is>
      </c>
      <c r="D2749" s="144" t="n">
        <v>2094035234</v>
      </c>
      <c r="E2749" s="144" t="inlineStr">
        <is>
          <t>BOX</t>
        </is>
      </c>
      <c r="F2749" s="144" t="inlineStr">
        <is>
          <t>P1170056 IL</t>
        </is>
      </c>
      <c r="G2749" s="144" t="inlineStr">
        <is>
          <t>WHITE KENWORTH</t>
        </is>
      </c>
      <c r="H2749" s="144" t="n">
        <v>1221</v>
      </c>
      <c r="I2749" s="144" t="inlineStr">
        <is>
          <t>COMMERICAL</t>
        </is>
      </c>
    </row>
    <row r="2750" ht="18" customHeight="1" s="7">
      <c r="A2750" s="144" t="inlineStr">
        <is>
          <t>GUOX LEANDRO</t>
        </is>
      </c>
      <c r="B2750" s="144" t="inlineStr">
        <is>
          <t>G221520951870 FL</t>
        </is>
      </c>
      <c r="C2750" s="144" t="inlineStr">
        <is>
          <t>S&amp;H TRUCKING</t>
        </is>
      </c>
      <c r="D2750" s="144" t="n">
        <v>7725413583</v>
      </c>
      <c r="E2750" s="144" t="inlineStr">
        <is>
          <t>PU</t>
        </is>
      </c>
      <c r="F2750" s="144" t="inlineStr">
        <is>
          <t>PGN6879 TX</t>
        </is>
      </c>
      <c r="G2750" s="144" t="inlineStr">
        <is>
          <t>WHITE FORD</t>
        </is>
      </c>
      <c r="H2750" s="144" t="n">
        <v>1221</v>
      </c>
      <c r="I2750" s="144" t="inlineStr">
        <is>
          <t>CONTRACTOR</t>
        </is>
      </c>
    </row>
    <row r="2751" ht="18" customHeight="1" s="7">
      <c r="A2751" s="144" t="inlineStr">
        <is>
          <t>NOA ROBERTO</t>
        </is>
      </c>
      <c r="B2751" s="144" t="inlineStr">
        <is>
          <t>N36172071310 FL</t>
        </is>
      </c>
      <c r="C2751" s="144" t="inlineStr">
        <is>
          <t>J&amp;P LOGISTICS</t>
        </is>
      </c>
      <c r="D2751" s="144" t="n">
        <v>7863729479</v>
      </c>
      <c r="E2751" s="144" t="inlineStr">
        <is>
          <t>BOX</t>
        </is>
      </c>
      <c r="F2751" s="144" t="inlineStr">
        <is>
          <t>P1186173 IL</t>
        </is>
      </c>
      <c r="G2751" s="144" t="inlineStr">
        <is>
          <t>RED FREIGHTLINER</t>
        </is>
      </c>
      <c r="H2751" s="144" t="n">
        <v>1221</v>
      </c>
      <c r="I2751" s="144" t="inlineStr">
        <is>
          <t>COMMERICAL</t>
        </is>
      </c>
    </row>
    <row r="2752" ht="18" customHeight="1" s="7">
      <c r="A2752" s="144" t="inlineStr">
        <is>
          <t>CHRISTOPER MARTIN</t>
        </is>
      </c>
      <c r="B2752" s="144" t="inlineStr">
        <is>
          <t>059550029 GA</t>
        </is>
      </c>
      <c r="C2752" s="144" t="inlineStr">
        <is>
          <t>BETTS</t>
        </is>
      </c>
      <c r="D2752" s="144" t="n">
        <v>2293154420</v>
      </c>
      <c r="E2752" s="144" t="inlineStr">
        <is>
          <t>PU</t>
        </is>
      </c>
      <c r="F2752" s="144" t="inlineStr">
        <is>
          <t>ERC484 GA</t>
        </is>
      </c>
      <c r="G2752" s="144" t="inlineStr">
        <is>
          <t>WHITE FORD</t>
        </is>
      </c>
      <c r="H2752" s="144" t="inlineStr">
        <is>
          <t>BASEWIDE</t>
        </is>
      </c>
      <c r="I2752" s="144" t="inlineStr">
        <is>
          <t>CONTRACTOR</t>
        </is>
      </c>
    </row>
    <row r="2753" ht="18" customHeight="1" s="7">
      <c r="A2753" s="144" t="inlineStr">
        <is>
          <t>OSWALDO SOTO</t>
        </is>
      </c>
      <c r="B2753" s="144" t="inlineStr">
        <is>
          <t>056410606 GA</t>
        </is>
      </c>
      <c r="C2753" s="144" t="inlineStr">
        <is>
          <t>BETTS</t>
        </is>
      </c>
      <c r="D2753" s="144" t="n">
        <v>2294727933</v>
      </c>
      <c r="E2753" s="144" t="inlineStr">
        <is>
          <t>PU</t>
        </is>
      </c>
      <c r="F2753" s="144" t="inlineStr">
        <is>
          <t>EUW584 GA</t>
        </is>
      </c>
      <c r="G2753" s="144" t="inlineStr">
        <is>
          <t>WHITE DODGE</t>
        </is>
      </c>
      <c r="H2753" s="144" t="inlineStr">
        <is>
          <t>BASEWIDE</t>
        </is>
      </c>
      <c r="I2753" s="144" t="inlineStr">
        <is>
          <t>CONTRACTOR</t>
        </is>
      </c>
    </row>
    <row r="2754" ht="18" customHeight="1" s="7">
      <c r="A2754" s="144" t="inlineStr">
        <is>
          <t>ALEX MORALES</t>
        </is>
      </c>
      <c r="B2754" s="144" t="inlineStr">
        <is>
          <t>058108053 GA</t>
        </is>
      </c>
      <c r="C2754" s="144" t="inlineStr">
        <is>
          <t>NCR</t>
        </is>
      </c>
      <c r="D2754" s="144" t="n">
        <v>4043877044</v>
      </c>
      <c r="E2754" s="144" t="inlineStr">
        <is>
          <t>BOX</t>
        </is>
      </c>
      <c r="F2754" s="144" t="inlineStr">
        <is>
          <t>TDW7023 GA</t>
        </is>
      </c>
      <c r="G2754" s="144" t="inlineStr">
        <is>
          <t>WHITE NISSAN</t>
        </is>
      </c>
      <c r="H2754" s="144" t="n">
        <v>7500</v>
      </c>
      <c r="I2754" s="144" t="inlineStr">
        <is>
          <t>CONTRACTOR</t>
        </is>
      </c>
    </row>
    <row r="2755" ht="18" customHeight="1" s="7">
      <c r="A2755" s="144" t="inlineStr">
        <is>
          <t>LAVONTE ROBINSON</t>
        </is>
      </c>
      <c r="B2755" s="144" t="inlineStr">
        <is>
          <t>056915248 GA</t>
        </is>
      </c>
      <c r="C2755" s="144" t="inlineStr">
        <is>
          <t xml:space="preserve">USIC </t>
        </is>
      </c>
      <c r="D2755" s="144" t="n">
        <v>2292064404</v>
      </c>
      <c r="E2755" s="144" t="inlineStr">
        <is>
          <t>PU</t>
        </is>
      </c>
      <c r="F2755" s="144" t="inlineStr">
        <is>
          <t>K204913 TX</t>
        </is>
      </c>
      <c r="G2755" s="144" t="inlineStr">
        <is>
          <t>WHITE NISSAN</t>
        </is>
      </c>
      <c r="H2755" s="144" t="inlineStr">
        <is>
          <t>BASEWIDE</t>
        </is>
      </c>
      <c r="I2755" s="144" t="inlineStr">
        <is>
          <t>CONTRACTOR</t>
        </is>
      </c>
    </row>
    <row r="2756" ht="18" customHeight="1" s="7">
      <c r="A2756" s="144" t="inlineStr">
        <is>
          <t>JEAN CLAUDE</t>
        </is>
      </c>
      <c r="B2756" s="144" t="inlineStr">
        <is>
          <t xml:space="preserve">J500463790060 FL </t>
        </is>
      </c>
      <c r="C2756" s="144" t="inlineStr">
        <is>
          <t>DK MAX</t>
        </is>
      </c>
      <c r="D2756" s="144" t="n">
        <v>4074846848</v>
      </c>
      <c r="E2756" s="144" t="inlineStr">
        <is>
          <t>BOX</t>
        </is>
      </c>
      <c r="F2756" s="144" t="inlineStr">
        <is>
          <t>PWY3033</t>
        </is>
      </c>
      <c r="G2756" s="144" t="inlineStr">
        <is>
          <t>WHITE FREIGHTLINER</t>
        </is>
      </c>
      <c r="H2756" s="144" t="n">
        <v>1221</v>
      </c>
      <c r="I2756" s="144" t="inlineStr">
        <is>
          <t>COMMERICAL</t>
        </is>
      </c>
    </row>
    <row r="2757" ht="18" customHeight="1" s="7">
      <c r="A2757" s="144" t="inlineStr">
        <is>
          <t>NOVAKOVIC SRDAN</t>
        </is>
      </c>
      <c r="B2757" s="144" t="inlineStr">
        <is>
          <t>F7777020 CA</t>
        </is>
      </c>
      <c r="C2757" s="144" t="inlineStr">
        <is>
          <t>ULTIONIS</t>
        </is>
      </c>
      <c r="D2757" s="144" t="n">
        <v>7142926315</v>
      </c>
      <c r="E2757" s="144" t="inlineStr">
        <is>
          <t>BOX</t>
        </is>
      </c>
      <c r="F2757" s="144" t="inlineStr">
        <is>
          <t>GLP530201 IL</t>
        </is>
      </c>
      <c r="G2757" s="144" t="inlineStr">
        <is>
          <t>WHITE VOLVO</t>
        </is>
      </c>
      <c r="H2757" s="144" t="n">
        <v>1221</v>
      </c>
      <c r="I2757" s="144" t="inlineStr">
        <is>
          <t>COMMERICAL</t>
        </is>
      </c>
    </row>
    <row r="2758" ht="18" customHeight="1" s="7">
      <c r="A2758" s="144" t="inlineStr">
        <is>
          <t>JOHNNY BOSS</t>
        </is>
      </c>
      <c r="B2758" s="144" t="inlineStr">
        <is>
          <t>B200710123000 FL</t>
        </is>
      </c>
      <c r="C2758" s="144" t="inlineStr">
        <is>
          <t>BOSS DAWG</t>
        </is>
      </c>
      <c r="D2758" s="144" t="n">
        <v>7063623735</v>
      </c>
      <c r="E2758" s="144" t="inlineStr">
        <is>
          <t>BOX</t>
        </is>
      </c>
      <c r="F2758" s="144" t="inlineStr">
        <is>
          <t>3646697 IN</t>
        </is>
      </c>
      <c r="G2758" s="144" t="inlineStr">
        <is>
          <t>WHITE FREIGHTLINER</t>
        </is>
      </c>
      <c r="H2758" s="144" t="n">
        <v>1221</v>
      </c>
      <c r="I2758" s="144" t="inlineStr">
        <is>
          <t>COMMERICAL</t>
        </is>
      </c>
    </row>
    <row r="2759" ht="18" customHeight="1" s="7">
      <c r="A2759" s="144" t="inlineStr">
        <is>
          <t>KARABASHEV SHAMIL</t>
        </is>
      </c>
      <c r="B2759" s="144" t="inlineStr">
        <is>
          <t>1606514454 NV</t>
        </is>
      </c>
      <c r="C2759" s="144" t="inlineStr">
        <is>
          <t>LEMBERG</t>
        </is>
      </c>
      <c r="D2759" s="144" t="n">
        <v>7028841255</v>
      </c>
      <c r="E2759" s="144" t="inlineStr">
        <is>
          <t>BOX</t>
        </is>
      </c>
      <c r="F2759" s="144" t="inlineStr">
        <is>
          <t>SPG528370 IL</t>
        </is>
      </c>
      <c r="G2759" s="144" t="inlineStr">
        <is>
          <t>BLUE FREIGHTLINER</t>
        </is>
      </c>
      <c r="H2759" s="144" t="n">
        <v>1221</v>
      </c>
      <c r="I2759" s="144" t="inlineStr">
        <is>
          <t>COMMERICAL</t>
        </is>
      </c>
    </row>
    <row r="2760" ht="18" customHeight="1" s="7">
      <c r="A2760" s="144" t="inlineStr">
        <is>
          <t>UZUNOVIC MILAN</t>
        </is>
      </c>
      <c r="B2760" s="144" t="inlineStr">
        <is>
          <t>378AR4957 IA</t>
        </is>
      </c>
      <c r="C2760" s="144" t="inlineStr">
        <is>
          <t>UZUN EXPRESS</t>
        </is>
      </c>
      <c r="D2760" s="144" t="n">
        <v>6417579462</v>
      </c>
      <c r="E2760" s="144" t="inlineStr">
        <is>
          <t>FLAT</t>
        </is>
      </c>
      <c r="F2760" s="144" t="inlineStr">
        <is>
          <t>VE8903 IA</t>
        </is>
      </c>
      <c r="G2760" s="144" t="inlineStr">
        <is>
          <t>WHITE PETERBILT</t>
        </is>
      </c>
      <c r="H2760" s="144" t="n">
        <v>1221</v>
      </c>
      <c r="I2760" s="144" t="inlineStr">
        <is>
          <t>COMMERICAL</t>
        </is>
      </c>
    </row>
    <row r="2761" ht="18" customHeight="1" s="7">
      <c r="A2761" s="144" t="inlineStr">
        <is>
          <t>ALAN MORE</t>
        </is>
      </c>
      <c r="B2761" s="144" t="inlineStr">
        <is>
          <t>052317326 GA</t>
        </is>
      </c>
      <c r="C2761" s="144" t="inlineStr">
        <is>
          <t>TERMINIX</t>
        </is>
      </c>
      <c r="D2761" s="144" t="n">
        <v>2292056591</v>
      </c>
      <c r="E2761" s="144" t="inlineStr">
        <is>
          <t>CAR</t>
        </is>
      </c>
      <c r="F2761" s="144" t="inlineStr">
        <is>
          <t>TBU1038 GA</t>
        </is>
      </c>
      <c r="G2761" s="144" t="inlineStr">
        <is>
          <t>SILVER TOYTA</t>
        </is>
      </c>
      <c r="H2761" s="144" t="inlineStr">
        <is>
          <t>HOUSING</t>
        </is>
      </c>
      <c r="I2761" s="144" t="inlineStr">
        <is>
          <t>CONTRACTOR</t>
        </is>
      </c>
    </row>
    <row r="2762" ht="18" customHeight="1" s="7">
      <c r="A2762" s="144" t="inlineStr">
        <is>
          <t>SYMONCHUK VOLODYMYR</t>
        </is>
      </c>
      <c r="B2762" s="144" t="inlineStr">
        <is>
          <t>S552878890110 FL</t>
        </is>
      </c>
      <c r="C2762" s="144" t="inlineStr">
        <is>
          <t>JATO LOGISTIC</t>
        </is>
      </c>
      <c r="D2762" s="144" t="n">
        <v>5092052253</v>
      </c>
      <c r="E2762" s="144" t="inlineStr">
        <is>
          <t>FLAT</t>
        </is>
      </c>
      <c r="F2762" s="144" t="inlineStr">
        <is>
          <t>RPO7527</t>
        </is>
      </c>
      <c r="G2762" s="144" t="inlineStr">
        <is>
          <t>BLACK VOLVO</t>
        </is>
      </c>
      <c r="H2762" s="144" t="n">
        <v>1221</v>
      </c>
      <c r="I2762" s="144" t="inlineStr">
        <is>
          <t>COMMERICAL</t>
        </is>
      </c>
    </row>
    <row r="2763" ht="18" customHeight="1" s="7">
      <c r="A2763" s="144" t="inlineStr">
        <is>
          <t>JULIUS CAMPBELL</t>
        </is>
      </c>
      <c r="B2763" s="144" t="inlineStr">
        <is>
          <t>054565098 GA</t>
        </is>
      </c>
      <c r="C2763" s="144" t="inlineStr">
        <is>
          <t>EARTHWORK LAND</t>
        </is>
      </c>
      <c r="D2763" s="144" t="n">
        <v>2292913191</v>
      </c>
      <c r="E2763" s="144" t="inlineStr">
        <is>
          <t>PU</t>
        </is>
      </c>
      <c r="F2763" s="144" t="inlineStr">
        <is>
          <t>RQF9954 GA</t>
        </is>
      </c>
      <c r="G2763" s="144" t="inlineStr">
        <is>
          <t>GRAY TOTOYA</t>
        </is>
      </c>
      <c r="H2763" s="144" t="n">
        <v>7450</v>
      </c>
      <c r="I2763" s="144" t="inlineStr">
        <is>
          <t>CONTRACTOR</t>
        </is>
      </c>
    </row>
    <row r="2764" ht="18" customHeight="1" s="7">
      <c r="A2764" s="144" t="inlineStr">
        <is>
          <t>MARCO LOPEZ</t>
        </is>
      </c>
      <c r="B2764" s="144" t="inlineStr">
        <is>
          <t>57294792 NC</t>
        </is>
      </c>
      <c r="C2764" s="144" t="inlineStr">
        <is>
          <t>RAMA TRANS</t>
        </is>
      </c>
      <c r="D2764" s="144" t="n">
        <v>4703312940</v>
      </c>
      <c r="E2764" s="144" t="inlineStr">
        <is>
          <t>BOX</t>
        </is>
      </c>
      <c r="F2764" s="144" t="inlineStr">
        <is>
          <t>C596FA GA</t>
        </is>
      </c>
      <c r="G2764" s="144" t="inlineStr">
        <is>
          <t>WHITE KENWORTH</t>
        </is>
      </c>
      <c r="H2764" s="144" t="n">
        <v>1221</v>
      </c>
      <c r="I2764" s="144" t="inlineStr">
        <is>
          <t>COMMERICAL</t>
        </is>
      </c>
    </row>
    <row r="2765" ht="18" customHeight="1" s="7">
      <c r="A2765" s="144" t="inlineStr">
        <is>
          <t>YERSHOV ANTON</t>
        </is>
      </c>
      <c r="B2765" s="144" t="inlineStr">
        <is>
          <t>41518983 NC</t>
        </is>
      </c>
      <c r="C2765" s="144" t="inlineStr">
        <is>
          <t>5K MMR</t>
        </is>
      </c>
      <c r="D2765" s="144" t="n">
        <v>5163096464</v>
      </c>
      <c r="E2765" s="144" t="inlineStr">
        <is>
          <t>FLAT</t>
        </is>
      </c>
      <c r="F2765" s="144" t="inlineStr">
        <is>
          <t>NV2697 NC</t>
        </is>
      </c>
      <c r="G2765" s="144" t="inlineStr">
        <is>
          <t>MARRON FREIGHTLINER</t>
        </is>
      </c>
      <c r="H2765" s="144" t="n">
        <v>1221</v>
      </c>
      <c r="I2765" s="144" t="inlineStr">
        <is>
          <t>COMMERICAL</t>
        </is>
      </c>
    </row>
    <row r="2766" ht="18" customHeight="1" s="7">
      <c r="A2766" s="144" t="inlineStr">
        <is>
          <t>RESHAWN BRYANT</t>
        </is>
      </c>
      <c r="B2766" s="144" t="inlineStr">
        <is>
          <t>000033948965 NC</t>
        </is>
      </c>
      <c r="C2766" s="144" t="inlineStr">
        <is>
          <t>DIME TRANS</t>
        </is>
      </c>
      <c r="D2766" s="144" t="n">
        <v>9102718194</v>
      </c>
      <c r="E2766" s="144" t="inlineStr">
        <is>
          <t>FLAT</t>
        </is>
      </c>
      <c r="F2766" s="144" t="inlineStr">
        <is>
          <t>60270Z WI</t>
        </is>
      </c>
      <c r="G2766" s="144" t="inlineStr">
        <is>
          <t>GOLD FREIGHTLINER</t>
        </is>
      </c>
      <c r="H2766" s="144" t="n">
        <v>1221</v>
      </c>
      <c r="I2766" s="144" t="inlineStr">
        <is>
          <t>COMMERICAL</t>
        </is>
      </c>
    </row>
    <row r="2767" ht="18" customHeight="1" s="7">
      <c r="A2767" s="144" t="inlineStr">
        <is>
          <t>DESTINE PETERSON</t>
        </is>
      </c>
      <c r="B2767" s="144" t="inlineStr">
        <is>
          <t>D235660863650 FL</t>
        </is>
      </c>
      <c r="C2767" s="144" t="inlineStr">
        <is>
          <t>WAMEKAN</t>
        </is>
      </c>
      <c r="D2767" s="144" t="n">
        <v>3177464960</v>
      </c>
      <c r="E2767" s="144" t="inlineStr">
        <is>
          <t>BOX</t>
        </is>
      </c>
      <c r="F2767" s="144" t="inlineStr">
        <is>
          <t>DG32BL FL</t>
        </is>
      </c>
      <c r="G2767" s="144" t="inlineStr">
        <is>
          <t>GREEN FREIGHTLINER</t>
        </is>
      </c>
      <c r="H2767" s="144" t="n">
        <v>1221</v>
      </c>
      <c r="I2767" s="144" t="inlineStr">
        <is>
          <t>COMMERICAL</t>
        </is>
      </c>
    </row>
    <row r="2768" ht="18" customHeight="1" s="7">
      <c r="A2768" s="144" t="inlineStr">
        <is>
          <t>ALTON POWELL</t>
        </is>
      </c>
      <c r="B2768" s="144" t="inlineStr">
        <is>
          <t>058351984 GA</t>
        </is>
      </c>
      <c r="C2768" s="144" t="inlineStr">
        <is>
          <t>ALP LOGISTIC</t>
        </is>
      </c>
      <c r="D2768" s="144" t="n">
        <v>2293106369</v>
      </c>
      <c r="E2768" s="144" t="inlineStr">
        <is>
          <t>FLAT</t>
        </is>
      </c>
      <c r="F2768" s="144" t="inlineStr">
        <is>
          <t xml:space="preserve">CO177C GA </t>
        </is>
      </c>
      <c r="G2768" s="144" t="inlineStr">
        <is>
          <t>WHITE KENWORTH</t>
        </is>
      </c>
      <c r="H2768" s="144" t="n">
        <v>1221</v>
      </c>
      <c r="I2768" s="144" t="inlineStr">
        <is>
          <t>COMMERICAL</t>
        </is>
      </c>
    </row>
    <row r="2769" ht="18" customHeight="1" s="7">
      <c r="A2769" s="144" t="inlineStr">
        <is>
          <t>DENDRICK COLBERT</t>
        </is>
      </c>
      <c r="B2769" s="144" t="inlineStr">
        <is>
          <t>052587182 GA</t>
        </is>
      </c>
      <c r="C2769" s="144" t="inlineStr">
        <is>
          <t>TRIPLE STEEL</t>
        </is>
      </c>
      <c r="D2769" s="144" t="n">
        <v>18004762794</v>
      </c>
      <c r="E2769" s="144" t="inlineStr">
        <is>
          <t>FLAT</t>
        </is>
      </c>
      <c r="F2769" s="144" t="inlineStr">
        <is>
          <t>3565968 IN</t>
        </is>
      </c>
      <c r="G2769" s="144" t="inlineStr">
        <is>
          <t>WHITE FREIGHTLINER</t>
        </is>
      </c>
      <c r="H2769" s="144" t="n">
        <v>1330</v>
      </c>
      <c r="I2769" s="144" t="inlineStr">
        <is>
          <t>COMMERICAL</t>
        </is>
      </c>
    </row>
    <row r="2770" ht="18" customHeight="1" s="7">
      <c r="A2770" s="144" t="inlineStr">
        <is>
          <t>HEBERT MATHEW</t>
        </is>
      </c>
      <c r="B2770" s="144" t="inlineStr">
        <is>
          <t>021750001 CO</t>
        </is>
      </c>
      <c r="C2770" s="144" t="inlineStr">
        <is>
          <t>SHERIDAN LOGISTICS</t>
        </is>
      </c>
      <c r="D2770" s="144" t="n">
        <v>9703249485</v>
      </c>
      <c r="E2770" s="144" t="inlineStr">
        <is>
          <t>FLAT</t>
        </is>
      </c>
      <c r="F2770" s="144" t="inlineStr">
        <is>
          <t>2WC292 OK</t>
        </is>
      </c>
      <c r="G2770" s="144" t="inlineStr">
        <is>
          <t>GREEN PETERBILT</t>
        </is>
      </c>
      <c r="H2770" s="144" t="n">
        <v>1221</v>
      </c>
      <c r="I2770" s="144" t="inlineStr">
        <is>
          <t>COMMERICAL</t>
        </is>
      </c>
    </row>
    <row r="2771" ht="18" customHeight="1" s="7">
      <c r="A2771" s="144" t="inlineStr">
        <is>
          <t>SHUNN ERNEST</t>
        </is>
      </c>
      <c r="B2771" s="144" t="inlineStr">
        <is>
          <t>911801846 AK</t>
        </is>
      </c>
      <c r="C2771" s="144" t="inlineStr">
        <is>
          <t>FEDEX</t>
        </is>
      </c>
      <c r="D2771" s="144" t="n">
        <v>4799250909</v>
      </c>
      <c r="E2771" s="144" t="inlineStr">
        <is>
          <t>BOX</t>
        </is>
      </c>
      <c r="F2771" s="144" t="inlineStr">
        <is>
          <t>PWJ5909 OH</t>
        </is>
      </c>
      <c r="G2771" s="144" t="inlineStr">
        <is>
          <t>WHITE KENWORTH</t>
        </is>
      </c>
      <c r="H2771" s="144" t="n">
        <v>1221</v>
      </c>
      <c r="I2771" s="144" t="inlineStr">
        <is>
          <t>COMMERICAL</t>
        </is>
      </c>
    </row>
    <row r="2772" ht="18" customHeight="1" s="7">
      <c r="A2772" s="144" t="inlineStr">
        <is>
          <t>BRADLEY ROBERSON</t>
        </is>
      </c>
      <c r="B2772" s="144" t="inlineStr">
        <is>
          <t>060737801 GA</t>
        </is>
      </c>
      <c r="C2772" s="144" t="inlineStr">
        <is>
          <t>DOORWAYS INC</t>
        </is>
      </c>
      <c r="D2772" s="144" t="n">
        <v>8665723667</v>
      </c>
      <c r="E2772" s="144" t="inlineStr">
        <is>
          <t>VAN</t>
        </is>
      </c>
      <c r="F2772" s="144" t="inlineStr">
        <is>
          <t>CNP4680 GA</t>
        </is>
      </c>
      <c r="G2772" s="144" t="inlineStr">
        <is>
          <t>WHITE GMC</t>
        </is>
      </c>
      <c r="H2772" s="144" t="inlineStr">
        <is>
          <t>GAMEWARDEN</t>
        </is>
      </c>
      <c r="I2772" s="144" t="inlineStr">
        <is>
          <t>CONTRACTOR</t>
        </is>
      </c>
    </row>
    <row r="2773" ht="18" customHeight="1" s="7">
      <c r="A2773" s="144" t="inlineStr">
        <is>
          <t>ADEM ABDUSELAM</t>
        </is>
      </c>
      <c r="B2773" s="144" t="inlineStr">
        <is>
          <t>808AY6051 IA</t>
        </is>
      </c>
      <c r="C2773" s="144" t="inlineStr">
        <is>
          <t>FORTUNE LINES</t>
        </is>
      </c>
      <c r="D2773" s="144" t="n">
        <v>3083180614</v>
      </c>
      <c r="E2773" s="144" t="inlineStr">
        <is>
          <t>BOX</t>
        </is>
      </c>
      <c r="F2773" s="144" t="inlineStr">
        <is>
          <t>P1257346 IL</t>
        </is>
      </c>
      <c r="G2773" s="144" t="inlineStr">
        <is>
          <t>WHITE FREIGHTLINER</t>
        </is>
      </c>
      <c r="H2773" s="144" t="n">
        <v>1221</v>
      </c>
      <c r="I2773" s="144" t="inlineStr">
        <is>
          <t>COMMERICAL</t>
        </is>
      </c>
    </row>
    <row r="2774" ht="18" customHeight="1" s="7">
      <c r="A2774" s="144" t="inlineStr">
        <is>
          <t>BLYSTONE HOWARD</t>
        </is>
      </c>
      <c r="B2774" s="144" t="inlineStr">
        <is>
          <t>21608214 PA</t>
        </is>
      </c>
      <c r="C2774" s="144" t="inlineStr">
        <is>
          <t>SHERIDAN LOGISTICS</t>
        </is>
      </c>
      <c r="D2774" s="144" t="n">
        <v>8147065733</v>
      </c>
      <c r="E2774" s="144" t="inlineStr">
        <is>
          <t>FLAT</t>
        </is>
      </c>
      <c r="F2774" s="144" t="inlineStr">
        <is>
          <t>3KL952 OK</t>
        </is>
      </c>
      <c r="G2774" s="144" t="inlineStr">
        <is>
          <t>GREEN PETERBILT</t>
        </is>
      </c>
      <c r="H2774" s="144" t="n">
        <v>1221</v>
      </c>
      <c r="I2774" s="144" t="inlineStr">
        <is>
          <t>COMMERICAL</t>
        </is>
      </c>
    </row>
    <row r="2775" ht="18" customHeight="1" s="7">
      <c r="A2775" s="144" t="inlineStr">
        <is>
          <t>EVENSON THOMAS</t>
        </is>
      </c>
      <c r="B2775" s="144" t="inlineStr">
        <is>
          <t>T520200881210 FL</t>
        </is>
      </c>
      <c r="C2775" s="144" t="inlineStr">
        <is>
          <t>ALIF UZ CORP</t>
        </is>
      </c>
      <c r="D2775" s="144" t="n">
        <v>3059161594</v>
      </c>
      <c r="E2775" s="144" t="inlineStr">
        <is>
          <t>BOX</t>
        </is>
      </c>
      <c r="F2775" s="144" t="inlineStr">
        <is>
          <t>PXC7432 OH</t>
        </is>
      </c>
      <c r="G2775" s="144" t="inlineStr">
        <is>
          <t>WHITE INTERNATIONAL</t>
        </is>
      </c>
      <c r="H2775" s="144" t="n">
        <v>1221</v>
      </c>
      <c r="I2775" s="144" t="inlineStr">
        <is>
          <t>COMMERICAL</t>
        </is>
      </c>
    </row>
    <row r="2776" ht="18" customHeight="1" s="7">
      <c r="A2776" s="144" t="inlineStr">
        <is>
          <t>WILLIE MCDANIEL</t>
        </is>
      </c>
      <c r="B2776" s="144" t="inlineStr">
        <is>
          <t>000007721433 NC</t>
        </is>
      </c>
      <c r="C2776" s="144" t="inlineStr">
        <is>
          <t>FEDEX</t>
        </is>
      </c>
      <c r="D2776" s="144" t="n">
        <v>3366249410</v>
      </c>
      <c r="E2776" s="144" t="inlineStr">
        <is>
          <t>BOX</t>
        </is>
      </c>
      <c r="F2776" s="144" t="inlineStr">
        <is>
          <t>PXB2308 OH</t>
        </is>
      </c>
      <c r="G2776" s="144" t="inlineStr">
        <is>
          <t>GRAY VOLVO</t>
        </is>
      </c>
      <c r="H2776" s="144" t="n">
        <v>1221</v>
      </c>
      <c r="I2776" s="144" t="inlineStr">
        <is>
          <t>COMMERICAL</t>
        </is>
      </c>
    </row>
    <row r="2777" ht="18" customHeight="1" s="7">
      <c r="A2777" s="144" t="inlineStr">
        <is>
          <t>STEFORN GIBSON</t>
        </is>
      </c>
      <c r="B2777" s="144" t="inlineStr">
        <is>
          <t>056952027NGA</t>
        </is>
      </c>
      <c r="C2777" s="144" t="inlineStr">
        <is>
          <t>IHLE</t>
        </is>
      </c>
      <c r="D2777" s="144" t="n">
        <v>9417735154</v>
      </c>
      <c r="E2777" s="144" t="inlineStr">
        <is>
          <t>FLAT</t>
        </is>
      </c>
      <c r="F2777" s="144" t="inlineStr">
        <is>
          <t>DX2977 IA</t>
        </is>
      </c>
      <c r="G2777" s="144" t="inlineStr">
        <is>
          <t>GREEN PETERBILT</t>
        </is>
      </c>
      <c r="H2777" s="144" t="n">
        <v>1221</v>
      </c>
      <c r="I2777" s="144" t="inlineStr">
        <is>
          <t>COMMERICAL</t>
        </is>
      </c>
    </row>
    <row r="2778" ht="18" customHeight="1" s="7">
      <c r="A2778" s="144" t="inlineStr">
        <is>
          <t>DAVID MAGDANZ</t>
        </is>
      </c>
      <c r="B2778" s="144" t="inlineStr">
        <is>
          <t>055531769 GA</t>
        </is>
      </c>
      <c r="C2778" s="144" t="inlineStr">
        <is>
          <t>CURRENT EDGE</t>
        </is>
      </c>
      <c r="D2778" s="144" t="n">
        <v>9123575800</v>
      </c>
      <c r="E2778" s="144" t="inlineStr">
        <is>
          <t>PU</t>
        </is>
      </c>
      <c r="F2778" s="144" t="inlineStr">
        <is>
          <t>TDU0410 GA</t>
        </is>
      </c>
      <c r="G2778" s="144" t="inlineStr">
        <is>
          <t>GRAY FORD</t>
        </is>
      </c>
      <c r="H2778" s="144" t="n">
        <v>3700</v>
      </c>
      <c r="I2778" s="144" t="inlineStr">
        <is>
          <t>CONTRACTOR</t>
        </is>
      </c>
    </row>
    <row r="2779" ht="18" customHeight="1" s="7">
      <c r="A2779" s="144" t="inlineStr">
        <is>
          <t>CHARLES YOUNG JR</t>
        </is>
      </c>
      <c r="B2779" s="144" t="inlineStr">
        <is>
          <t>00003510379 NC</t>
        </is>
      </c>
      <c r="C2779" s="144" t="inlineStr">
        <is>
          <t>MIGWAY</t>
        </is>
      </c>
      <c r="D2779" s="144" t="n">
        <v>9108509583</v>
      </c>
      <c r="E2779" s="144" t="inlineStr">
        <is>
          <t>BOX</t>
        </is>
      </c>
      <c r="F2779" s="144" t="inlineStr">
        <is>
          <t>NM6343 NC</t>
        </is>
      </c>
      <c r="G2779" s="144" t="inlineStr">
        <is>
          <t>WHITE FREIGHTLINER</t>
        </is>
      </c>
      <c r="H2779" s="144" t="n">
        <v>1221</v>
      </c>
      <c r="I2779" s="144" t="inlineStr">
        <is>
          <t>COMMERICAL</t>
        </is>
      </c>
    </row>
    <row r="2780" ht="18" customHeight="1" s="7">
      <c r="A2780" s="144" t="inlineStr">
        <is>
          <t>WILLIAM OBLISK</t>
        </is>
      </c>
      <c r="B2780" s="144" t="inlineStr">
        <is>
          <t>070424173 GA</t>
        </is>
      </c>
      <c r="C2780" s="144" t="inlineStr">
        <is>
          <t xml:space="preserve">C&amp;S </t>
        </is>
      </c>
      <c r="D2780" s="144" t="n">
        <v>2295070182</v>
      </c>
      <c r="E2780" s="144" t="inlineStr">
        <is>
          <t>SWEEPER</t>
        </is>
      </c>
      <c r="F2780" s="144" t="inlineStr">
        <is>
          <t>GMB116 GA</t>
        </is>
      </c>
      <c r="G2780" s="144" t="inlineStr">
        <is>
          <t>WHITE ISUZU</t>
        </is>
      </c>
      <c r="H2780" s="144" t="inlineStr">
        <is>
          <t>BASEWIDE</t>
        </is>
      </c>
      <c r="I2780" s="144" t="inlineStr">
        <is>
          <t>CONTRACTOR</t>
        </is>
      </c>
    </row>
    <row r="2781" ht="18" customHeight="1" s="7">
      <c r="A2781" s="144" t="inlineStr">
        <is>
          <t>BOBBY ANDERSON III</t>
        </is>
      </c>
      <c r="B2781" s="144" t="inlineStr">
        <is>
          <t>930447981 AK</t>
        </is>
      </c>
      <c r="C2781" s="144" t="inlineStr">
        <is>
          <t>NOVA LINES</t>
        </is>
      </c>
      <c r="D2781" s="144" t="n">
        <v>4796496033</v>
      </c>
      <c r="E2781" s="144" t="inlineStr">
        <is>
          <t>BOX</t>
        </is>
      </c>
      <c r="F2781" s="144" t="inlineStr">
        <is>
          <t>P1125049 IL</t>
        </is>
      </c>
      <c r="G2781" s="144" t="inlineStr">
        <is>
          <t>GRAY FREIGHTLINER</t>
        </is>
      </c>
      <c r="H2781" s="144" t="n">
        <v>1221</v>
      </c>
      <c r="I2781" s="144" t="inlineStr">
        <is>
          <t>COMMERICAL</t>
        </is>
      </c>
    </row>
    <row r="2782" ht="18" customHeight="1" s="7">
      <c r="A2782" s="144" t="inlineStr">
        <is>
          <t>OFARRELL CURTIS</t>
        </is>
      </c>
      <c r="B2782" s="144" t="inlineStr">
        <is>
          <t>05180020 TX</t>
        </is>
      </c>
      <c r="C2782" s="144" t="inlineStr">
        <is>
          <t>MERCER TRANS</t>
        </is>
      </c>
      <c r="D2782" s="144" t="n">
        <v>2815557394</v>
      </c>
      <c r="E2782" s="144" t="inlineStr">
        <is>
          <t>FLAT</t>
        </is>
      </c>
      <c r="F2782" s="144" t="inlineStr">
        <is>
          <t>3009534 IN</t>
        </is>
      </c>
      <c r="G2782" s="144" t="inlineStr">
        <is>
          <t>WHITE KENWORTH</t>
        </is>
      </c>
      <c r="H2782" s="144" t="n">
        <v>1221</v>
      </c>
      <c r="I2782" s="144" t="inlineStr">
        <is>
          <t>COMMERCIAL</t>
        </is>
      </c>
    </row>
    <row r="2783" ht="18" customHeight="1" s="7">
      <c r="A2783" s="144" t="inlineStr">
        <is>
          <t>CHRISTOPHER T MARTIN</t>
        </is>
      </c>
      <c r="B2783" s="144" t="inlineStr">
        <is>
          <t>*059550029 GA</t>
        </is>
      </c>
      <c r="C2783" s="144" t="inlineStr">
        <is>
          <t>BETTS</t>
        </is>
      </c>
      <c r="D2783" s="144" t="n">
        <v>2293154420</v>
      </c>
      <c r="E2783" s="144" t="inlineStr">
        <is>
          <t>PU</t>
        </is>
      </c>
      <c r="F2783" s="144" t="inlineStr">
        <is>
          <t>ECR484 GA</t>
        </is>
      </c>
      <c r="G2783" s="144" t="inlineStr">
        <is>
          <t>WHITE FORD</t>
        </is>
      </c>
      <c r="H2783" s="144" t="inlineStr">
        <is>
          <t>BASEWIDE</t>
        </is>
      </c>
      <c r="I2783" s="144" t="inlineStr">
        <is>
          <t>CONTRACTOR</t>
        </is>
      </c>
    </row>
    <row r="2784" ht="18" customHeight="1" s="7">
      <c r="A2784" s="144" t="inlineStr">
        <is>
          <t xml:space="preserve">WATTS BRANDON </t>
        </is>
      </c>
      <c r="B2784" s="144" t="inlineStr">
        <is>
          <t>*011163288 SC</t>
        </is>
      </c>
      <c r="C2784" s="144" t="inlineStr">
        <is>
          <t>ROYALS</t>
        </is>
      </c>
      <c r="D2784" s="144" t="n">
        <v>8438772422</v>
      </c>
      <c r="E2784" s="144" t="inlineStr">
        <is>
          <t>FLAT</t>
        </is>
      </c>
      <c r="F2784" s="144" t="inlineStr">
        <is>
          <t>XE715Q FL</t>
        </is>
      </c>
      <c r="G2784" s="144" t="inlineStr">
        <is>
          <t>BLUE KENWORTH</t>
        </is>
      </c>
      <c r="H2784" s="144" t="n">
        <v>1221</v>
      </c>
      <c r="I2784" s="144" t="inlineStr">
        <is>
          <t>COMMERCIAL</t>
        </is>
      </c>
    </row>
    <row r="2785" ht="18" customHeight="1" s="7">
      <c r="A2785" s="144" t="inlineStr">
        <is>
          <t>AHSANULLAH SAFI</t>
        </is>
      </c>
      <c r="B2785" s="144" t="inlineStr">
        <is>
          <t>40596566 TX</t>
        </is>
      </c>
      <c r="C2785" s="144" t="inlineStr">
        <is>
          <t>BEK TRANS</t>
        </is>
      </c>
      <c r="D2785" s="144" t="n">
        <v>4698379898</v>
      </c>
      <c r="E2785" s="144" t="inlineStr">
        <is>
          <t>BOX</t>
        </is>
      </c>
      <c r="F2785" s="144" t="inlineStr">
        <is>
          <t>P1246794 IL</t>
        </is>
      </c>
      <c r="G2785" s="144" t="inlineStr">
        <is>
          <t>WHITE FREIGHTLINER</t>
        </is>
      </c>
      <c r="H2785" s="144" t="n">
        <v>1221</v>
      </c>
      <c r="I2785" s="144" t="inlineStr">
        <is>
          <t>COMMERICAL</t>
        </is>
      </c>
    </row>
    <row r="2786" ht="18" customHeight="1" s="7">
      <c r="A2786" s="144" t="inlineStr">
        <is>
          <t>JUSTIN ALEXZANDER</t>
        </is>
      </c>
      <c r="B2786" s="144" t="inlineStr">
        <is>
          <t>050982586 GA</t>
        </is>
      </c>
      <c r="C2786" s="144" t="inlineStr">
        <is>
          <t>EQUIPMENT SHARE</t>
        </is>
      </c>
      <c r="D2786" s="144" t="n">
        <v>4782939153</v>
      </c>
      <c r="E2786" s="144" t="inlineStr">
        <is>
          <t>PU</t>
        </is>
      </c>
      <c r="F2786" s="144" t="inlineStr">
        <is>
          <t xml:space="preserve">3699239 IN </t>
        </is>
      </c>
      <c r="G2786" s="144" t="inlineStr">
        <is>
          <t>WHITE CHEC</t>
        </is>
      </c>
      <c r="H2786" s="144" t="inlineStr">
        <is>
          <t>GATE 15</t>
        </is>
      </c>
      <c r="I2786" s="144" t="inlineStr">
        <is>
          <t>CONTRACTOR</t>
        </is>
      </c>
    </row>
    <row r="2787" ht="18" customHeight="1" s="7">
      <c r="A2787" s="144" t="inlineStr">
        <is>
          <t>BRANDON WILLIAMS</t>
        </is>
      </c>
      <c r="B2787" s="144" t="inlineStr">
        <is>
          <t>9584026 AL</t>
        </is>
      </c>
      <c r="C2787" s="144" t="inlineStr">
        <is>
          <t>MLW LOGISTICS</t>
        </is>
      </c>
      <c r="D2787" s="144" t="n">
        <v>8034146109</v>
      </c>
      <c r="E2787" s="144" t="inlineStr">
        <is>
          <t>PU</t>
        </is>
      </c>
      <c r="F2787" s="144" t="inlineStr">
        <is>
          <t>A452769 IN</t>
        </is>
      </c>
      <c r="G2787" s="144" t="inlineStr">
        <is>
          <t>BLUE CHEV</t>
        </is>
      </c>
      <c r="H2787" s="144" t="n">
        <v>1221</v>
      </c>
      <c r="I2787" s="144" t="inlineStr">
        <is>
          <t>CONTRACTOR</t>
        </is>
      </c>
    </row>
    <row r="2788" ht="18" customHeight="1" s="7">
      <c r="A2788" s="144" t="inlineStr">
        <is>
          <t>DANIEL SPEARS</t>
        </is>
      </c>
      <c r="B2788" s="144" t="inlineStr">
        <is>
          <t>S162173911470 FL</t>
        </is>
      </c>
      <c r="C2788" s="144" t="inlineStr">
        <is>
          <t>B&amp;T FENCING</t>
        </is>
      </c>
      <c r="D2788" s="144" t="n">
        <v>8509421003</v>
      </c>
      <c r="E2788" s="144" t="inlineStr">
        <is>
          <t>PU</t>
        </is>
      </c>
      <c r="F2788" s="144" t="inlineStr">
        <is>
          <t>3848XX FL</t>
        </is>
      </c>
      <c r="G2788" s="144" t="inlineStr">
        <is>
          <t>WHITE CHEV</t>
        </is>
      </c>
      <c r="H2788" s="144" t="inlineStr">
        <is>
          <t>K9</t>
        </is>
      </c>
      <c r="I2788" s="144" t="inlineStr">
        <is>
          <t>CONTRACTOR</t>
        </is>
      </c>
    </row>
    <row r="2789" ht="18" customHeight="1" s="7">
      <c r="A2789" s="144" t="inlineStr">
        <is>
          <t>ISAAC AGUAYO</t>
        </is>
      </c>
      <c r="B2789" s="144" t="inlineStr">
        <is>
          <t>059516975 GA</t>
        </is>
      </c>
      <c r="C2789" s="144" t="inlineStr">
        <is>
          <t>GA POWER</t>
        </is>
      </c>
      <c r="D2789" s="144" t="n">
        <v>4703713981</v>
      </c>
      <c r="E2789" s="144" t="inlineStr">
        <is>
          <t>PU</t>
        </is>
      </c>
      <c r="F2789" s="144" t="inlineStr">
        <is>
          <t>CZD9973 GA</t>
        </is>
      </c>
      <c r="G2789" s="144" t="inlineStr">
        <is>
          <t>WHITE CHEV</t>
        </is>
      </c>
      <c r="H2789" s="144" t="inlineStr">
        <is>
          <t>K9</t>
        </is>
      </c>
      <c r="I2789" s="144" t="inlineStr">
        <is>
          <t>CONTRACTOR</t>
        </is>
      </c>
    </row>
    <row r="2790" ht="18" customHeight="1" s="7">
      <c r="A2790" s="144" t="inlineStr">
        <is>
          <t>EDGAR ANICA</t>
        </is>
      </c>
      <c r="B2790" s="144" t="inlineStr">
        <is>
          <t>051760285 GA</t>
        </is>
      </c>
      <c r="C2790" s="144" t="inlineStr">
        <is>
          <t>ANICA TRANS</t>
        </is>
      </c>
      <c r="D2790" s="144" t="n">
        <v>4047502462</v>
      </c>
      <c r="E2790" s="144" t="inlineStr">
        <is>
          <t>PU</t>
        </is>
      </c>
      <c r="F2790" s="144" t="inlineStr">
        <is>
          <t>C5919B GA</t>
        </is>
      </c>
      <c r="G2790" s="144" t="inlineStr">
        <is>
          <t>BLUE DODGE</t>
        </is>
      </c>
      <c r="H2790" s="144" t="n">
        <v>1221</v>
      </c>
      <c r="I2790" s="144" t="inlineStr">
        <is>
          <t>CONTRACTOR</t>
        </is>
      </c>
    </row>
    <row r="2791" ht="18" customHeight="1" s="7">
      <c r="A2791" s="144" t="inlineStr">
        <is>
          <t>JAMES FUGETT</t>
        </is>
      </c>
      <c r="B2791" s="144" t="inlineStr">
        <is>
          <t>F230448590660 FL</t>
        </is>
      </c>
      <c r="C2791" s="144" t="inlineStr">
        <is>
          <t xml:space="preserve">ACE </t>
        </is>
      </c>
      <c r="D2791" s="144" t="n">
        <v>3525479316</v>
      </c>
      <c r="E2791" s="144" t="inlineStr">
        <is>
          <t>BOX</t>
        </is>
      </c>
      <c r="F2791" s="144" t="inlineStr">
        <is>
          <t>P902281 IL</t>
        </is>
      </c>
      <c r="G2791" s="144" t="inlineStr">
        <is>
          <t>WHITE KENWORTH</t>
        </is>
      </c>
      <c r="H2791" s="144" t="n">
        <v>1221</v>
      </c>
      <c r="I2791" s="144" t="inlineStr">
        <is>
          <t>COMMERICAL</t>
        </is>
      </c>
    </row>
    <row r="2792" ht="18" customHeight="1" s="7">
      <c r="A2792" s="144" t="inlineStr">
        <is>
          <t>DANIELS CHRISTOPHER</t>
        </is>
      </c>
      <c r="B2792" s="144" t="inlineStr">
        <is>
          <t>929179867 AR</t>
        </is>
      </c>
      <c r="C2792" s="144" t="inlineStr">
        <is>
          <t>LB CARTER</t>
        </is>
      </c>
      <c r="D2792" s="144" t="n">
        <v>8704153372</v>
      </c>
      <c r="E2792" s="144" t="inlineStr">
        <is>
          <t>BOX</t>
        </is>
      </c>
      <c r="F2792" s="144" t="inlineStr">
        <is>
          <t>14881 VA</t>
        </is>
      </c>
      <c r="G2792" s="144" t="inlineStr">
        <is>
          <t>BLUE FREIGHTLINER</t>
        </is>
      </c>
      <c r="H2792" s="144" t="n">
        <v>1221</v>
      </c>
      <c r="I2792" s="144" t="inlineStr">
        <is>
          <t>COMMERCIAL</t>
        </is>
      </c>
    </row>
    <row r="2793" ht="18" customHeight="1" s="7">
      <c r="A2793" s="144" t="inlineStr">
        <is>
          <t>MARDALIEV SHAVKAT</t>
        </is>
      </c>
      <c r="B2793" s="144" t="inlineStr">
        <is>
          <t>VY335875 OH</t>
        </is>
      </c>
      <c r="C2793" s="144" t="inlineStr">
        <is>
          <t>NU WAY</t>
        </is>
      </c>
      <c r="D2793" s="144" t="n">
        <v>9374096855</v>
      </c>
      <c r="E2793" s="144" t="inlineStr">
        <is>
          <t>PU</t>
        </is>
      </c>
      <c r="F2793" s="144" t="inlineStr">
        <is>
          <t>299824 IL</t>
        </is>
      </c>
      <c r="G2793" s="144" t="inlineStr">
        <is>
          <t>WHITE FORD</t>
        </is>
      </c>
      <c r="H2793" s="144" t="inlineStr">
        <is>
          <t>GATE 1/5</t>
        </is>
      </c>
      <c r="I2793" s="144" t="inlineStr">
        <is>
          <t>CONTRACTOR</t>
        </is>
      </c>
    </row>
    <row r="2794" ht="18" customHeight="1" s="7">
      <c r="A2794" s="144" t="inlineStr">
        <is>
          <t>STEPHEN SMITHERS</t>
        </is>
      </c>
      <c r="B2794" s="144" t="inlineStr">
        <is>
          <t>T62033219 VA</t>
        </is>
      </c>
      <c r="C2794" s="144" t="inlineStr">
        <is>
          <t>SMITHERS R&amp;R</t>
        </is>
      </c>
      <c r="D2794" s="144" t="n">
        <v>5402294000</v>
      </c>
      <c r="E2794" s="144" t="inlineStr">
        <is>
          <t>VAN</t>
        </is>
      </c>
      <c r="F2794" s="144" t="inlineStr">
        <is>
          <t>TZP9798 VA</t>
        </is>
      </c>
      <c r="G2794" s="144" t="inlineStr">
        <is>
          <t>WHITE MERCEDES</t>
        </is>
      </c>
      <c r="H2794" s="144" t="n">
        <v>3600</v>
      </c>
      <c r="I2794" s="144" t="inlineStr">
        <is>
          <t>CONTRACTOR</t>
        </is>
      </c>
    </row>
    <row r="2795" ht="18" customHeight="1" s="7">
      <c r="A2795" s="144" t="inlineStr">
        <is>
          <t>ANTHONY WILLIAMS</t>
        </is>
      </c>
      <c r="B2795" s="144" t="inlineStr">
        <is>
          <t>W452016932950 FL</t>
        </is>
      </c>
      <c r="C2795" s="144" t="inlineStr">
        <is>
          <t>VERITIV</t>
        </is>
      </c>
      <c r="D2795" s="144" t="n">
        <v>9044866319</v>
      </c>
      <c r="E2795" s="144" t="inlineStr">
        <is>
          <t>BOX</t>
        </is>
      </c>
      <c r="F2795" s="144" t="inlineStr">
        <is>
          <t>98305Z WI</t>
        </is>
      </c>
      <c r="G2795" s="144" t="inlineStr">
        <is>
          <t>WHITE INTERNATIONAL</t>
        </is>
      </c>
      <c r="H2795" s="144" t="inlineStr">
        <is>
          <t>POWERWORKS</t>
        </is>
      </c>
      <c r="I2795" s="144" t="inlineStr">
        <is>
          <t>COMMERICAL</t>
        </is>
      </c>
    </row>
    <row r="2796" ht="18" customHeight="1" s="7">
      <c r="A2796" s="144" t="inlineStr">
        <is>
          <t>JIMMY CAIN</t>
        </is>
      </c>
      <c r="B2796" s="144" t="inlineStr">
        <is>
          <t>008095412 SC</t>
        </is>
      </c>
      <c r="C2796" s="144" t="inlineStr">
        <is>
          <t>JC'S HOTSHOT</t>
        </is>
      </c>
      <c r="D2796" s="144" t="n">
        <v>8646175562</v>
      </c>
      <c r="E2796" s="144" t="inlineStr">
        <is>
          <t>PU</t>
        </is>
      </c>
      <c r="F2796" s="144" t="inlineStr">
        <is>
          <t>YAJ784 SC</t>
        </is>
      </c>
      <c r="G2796" s="144" t="inlineStr">
        <is>
          <t>RED FORD</t>
        </is>
      </c>
      <c r="H2796" s="144" t="n">
        <v>1221</v>
      </c>
      <c r="I2796" s="144" t="inlineStr">
        <is>
          <t>CONTRACTOR</t>
        </is>
      </c>
    </row>
    <row r="2797" ht="18" customHeight="1" s="7">
      <c r="A2797" s="144" t="inlineStr">
        <is>
          <t>DAVID ASHLEY</t>
        </is>
      </c>
      <c r="B2797" s="144" t="inlineStr">
        <is>
          <t>C189597605 OK</t>
        </is>
      </c>
      <c r="C2797" s="144" t="inlineStr">
        <is>
          <t>XLG TRANS</t>
        </is>
      </c>
      <c r="D2797" s="144" t="n">
        <v>7852154751</v>
      </c>
      <c r="E2797" s="144" t="inlineStr">
        <is>
          <t>FLAT</t>
        </is>
      </c>
      <c r="F2797" s="144" t="inlineStr">
        <is>
          <t>2896716 IN</t>
        </is>
      </c>
      <c r="G2797" s="144" t="inlineStr">
        <is>
          <t>YELLOW KENWORTH</t>
        </is>
      </c>
      <c r="H2797" s="144" t="n">
        <v>1221</v>
      </c>
      <c r="I2797" s="144" t="inlineStr">
        <is>
          <t>COMMERICAL</t>
        </is>
      </c>
    </row>
    <row r="2798" ht="18" customHeight="1" s="7">
      <c r="A2798" s="144" t="inlineStr">
        <is>
          <t>YAHYA ABOULKASSIM</t>
        </is>
      </c>
      <c r="B2798" s="144" t="inlineStr">
        <is>
          <t>Y000000760011</t>
        </is>
      </c>
      <c r="C2798" s="144" t="inlineStr">
        <is>
          <t>NATIONAL FREIGHT</t>
        </is>
      </c>
      <c r="D2798" s="144" t="n">
        <v>9044058163</v>
      </c>
      <c r="E2798" s="144" t="inlineStr">
        <is>
          <t>VAN</t>
        </is>
      </c>
      <c r="F2798" s="144" t="inlineStr">
        <is>
          <t>AF82EH FL</t>
        </is>
      </c>
      <c r="G2798" s="144" t="inlineStr">
        <is>
          <t>BLACK DODGE</t>
        </is>
      </c>
      <c r="H2798" s="144" t="n">
        <v>1221</v>
      </c>
      <c r="I2798" s="144" t="inlineStr">
        <is>
          <t>CONTRACTOR</t>
        </is>
      </c>
    </row>
    <row r="2799" ht="18" customHeight="1" s="7">
      <c r="A2799" s="144" t="inlineStr">
        <is>
          <t>RICHARD DRINKWATER</t>
        </is>
      </c>
      <c r="B2799" s="144" t="inlineStr">
        <is>
          <t>T67151591 VA</t>
        </is>
      </c>
      <c r="C2799" s="144" t="inlineStr">
        <is>
          <t>XLG TRANS</t>
        </is>
      </c>
      <c r="D2799" s="144" t="n">
        <v>8048962118</v>
      </c>
      <c r="E2799" s="144" t="inlineStr">
        <is>
          <t>FLAT</t>
        </is>
      </c>
      <c r="F2799" s="144" t="inlineStr">
        <is>
          <t>3824381 IN</t>
        </is>
      </c>
      <c r="G2799" s="144" t="inlineStr">
        <is>
          <t>YELLOW PETERBILT</t>
        </is>
      </c>
      <c r="H2799" s="144" t="n">
        <v>1221</v>
      </c>
      <c r="I2799" s="144" t="inlineStr">
        <is>
          <t>COMMERICAL</t>
        </is>
      </c>
    </row>
    <row r="2800" ht="18" customHeight="1" s="7">
      <c r="A2800" s="144" t="inlineStr">
        <is>
          <t>MICHEAL WILEY</t>
        </is>
      </c>
      <c r="B2800" s="144" t="inlineStr">
        <is>
          <t>T67505821</t>
        </is>
      </c>
      <c r="C2800" s="144" t="inlineStr">
        <is>
          <t>MIGWAY</t>
        </is>
      </c>
      <c r="D2800" s="144" t="n">
        <v>5409102417</v>
      </c>
      <c r="E2800" s="144" t="inlineStr">
        <is>
          <t>BOX</t>
        </is>
      </c>
      <c r="F2800" s="144" t="inlineStr">
        <is>
          <t>NV7128 NC</t>
        </is>
      </c>
      <c r="G2800" s="144" t="inlineStr">
        <is>
          <t>WHITE FREIGHTLINER</t>
        </is>
      </c>
      <c r="H2800" s="144" t="n">
        <v>1221</v>
      </c>
      <c r="I2800" s="144" t="inlineStr">
        <is>
          <t>COMMERICAL</t>
        </is>
      </c>
    </row>
    <row r="2801" ht="18" customHeight="1" s="7">
      <c r="A2801" s="144" t="inlineStr">
        <is>
          <t>VARGAS ARNALDO</t>
        </is>
      </c>
      <c r="B2801" s="144" t="inlineStr">
        <is>
          <t>030660480 NM</t>
        </is>
      </c>
      <c r="C2801" s="144" t="inlineStr">
        <is>
          <t>GABE TRUCKING</t>
        </is>
      </c>
      <c r="D2801" s="144" t="n">
        <v>5753860997</v>
      </c>
      <c r="E2801" s="144" t="inlineStr">
        <is>
          <t>FLAT</t>
        </is>
      </c>
      <c r="F2801" s="144" t="inlineStr">
        <is>
          <t>P1159917 IL</t>
        </is>
      </c>
      <c r="G2801" s="144" t="inlineStr">
        <is>
          <t>GRAY PETERBILT</t>
        </is>
      </c>
      <c r="H2801" s="144" t="n">
        <v>1221</v>
      </c>
      <c r="I2801" s="144" t="inlineStr">
        <is>
          <t>COMMERICAL</t>
        </is>
      </c>
    </row>
    <row r="2802" ht="18" customHeight="1" s="7">
      <c r="A2802" s="144" t="inlineStr">
        <is>
          <t>CHRISTOPHER AKUDE</t>
        </is>
      </c>
      <c r="B2802" s="144" t="inlineStr">
        <is>
          <t>050525665 GA</t>
        </is>
      </c>
      <c r="C2802" s="144" t="inlineStr">
        <is>
          <t>STAR LINE</t>
        </is>
      </c>
      <c r="D2802" s="144" t="n">
        <v>4704887490</v>
      </c>
      <c r="E2802" s="144" t="inlineStr">
        <is>
          <t>BOX</t>
        </is>
      </c>
      <c r="F2802" s="144" t="inlineStr">
        <is>
          <t>N654129 OH</t>
        </is>
      </c>
      <c r="G2802" s="144" t="inlineStr">
        <is>
          <t>BRONZE FREIGHTLINER</t>
        </is>
      </c>
      <c r="H2802" s="144" t="n">
        <v>1221</v>
      </c>
      <c r="I2802" s="144" t="inlineStr">
        <is>
          <t>COMMERICAL</t>
        </is>
      </c>
    </row>
    <row r="2803" ht="18" customHeight="1" s="7">
      <c r="A2803" s="144" t="inlineStr">
        <is>
          <t>ZACK DENHAM</t>
        </is>
      </c>
      <c r="B2803" s="144" t="inlineStr">
        <is>
          <t>055902682 GA</t>
        </is>
      </c>
      <c r="C2803" s="144" t="inlineStr">
        <is>
          <t>MEDIACOM</t>
        </is>
      </c>
      <c r="D2803" s="144" t="n">
        <v>8457633589</v>
      </c>
      <c r="E2803" s="144" t="inlineStr">
        <is>
          <t>VAN</t>
        </is>
      </c>
      <c r="F2803" s="144" t="inlineStr">
        <is>
          <t>SIK4240 GA</t>
        </is>
      </c>
      <c r="G2803" s="144" t="inlineStr">
        <is>
          <t>WHITE FORD</t>
        </is>
      </c>
      <c r="H2803" s="144" t="n">
        <v>7501</v>
      </c>
      <c r="I2803" s="144" t="inlineStr">
        <is>
          <t>CONTRACTOR</t>
        </is>
      </c>
    </row>
    <row r="2804" ht="18" customHeight="1" s="7">
      <c r="A2804" s="144" t="inlineStr">
        <is>
          <t>JAMES BETSILL</t>
        </is>
      </c>
      <c r="B2804" s="144" t="inlineStr">
        <is>
          <t>20992063 PA</t>
        </is>
      </c>
      <c r="C2804" s="144" t="inlineStr">
        <is>
          <t>WRIGHT EXPRESS</t>
        </is>
      </c>
      <c r="D2804" s="144" t="n">
        <v>7173153487</v>
      </c>
      <c r="E2804" s="144" t="inlineStr">
        <is>
          <t>BOX</t>
        </is>
      </c>
      <c r="F2804" s="144" t="inlineStr">
        <is>
          <t>AG98478 PA</t>
        </is>
      </c>
      <c r="G2804" s="144" t="inlineStr">
        <is>
          <t>SILVER FREIGHTLINER</t>
        </is>
      </c>
      <c r="H2804" s="144" t="n">
        <v>1221</v>
      </c>
      <c r="I2804" s="144" t="inlineStr">
        <is>
          <t>COMMERICAL</t>
        </is>
      </c>
    </row>
    <row r="2805" ht="18" customHeight="1" s="7">
      <c r="A2805" s="144" t="inlineStr">
        <is>
          <t>INCER AUGUSTO</t>
        </is>
      </c>
      <c r="B2805" s="144" t="inlineStr">
        <is>
          <t>I526010683350 FL</t>
        </is>
      </c>
      <c r="C2805" s="144" t="inlineStr">
        <is>
          <t>LAND STAR</t>
        </is>
      </c>
      <c r="D2805" s="144" t="n">
        <v>7864235549</v>
      </c>
      <c r="E2805" s="144" t="inlineStr">
        <is>
          <t>FLAT</t>
        </is>
      </c>
      <c r="F2805" s="144" t="inlineStr">
        <is>
          <t>3628827 IN</t>
        </is>
      </c>
      <c r="G2805" s="144" t="inlineStr">
        <is>
          <t>RED VOLVO</t>
        </is>
      </c>
      <c r="H2805" s="144" t="n">
        <v>1221</v>
      </c>
      <c r="I2805" s="144" t="inlineStr">
        <is>
          <t>COMMERICAL</t>
        </is>
      </c>
    </row>
    <row r="2806" ht="18" customHeight="1" s="7">
      <c r="A2806" s="144" t="inlineStr">
        <is>
          <t>ANDREW WALLACE</t>
        </is>
      </c>
      <c r="B2806" s="144" t="inlineStr">
        <is>
          <t>W214473050000 FL</t>
        </is>
      </c>
      <c r="C2806" s="144" t="inlineStr">
        <is>
          <t>LAND STAR</t>
        </is>
      </c>
      <c r="D2806" s="144" t="n">
        <v>9546583787</v>
      </c>
      <c r="E2806" s="144" t="inlineStr">
        <is>
          <t>FLAT</t>
        </is>
      </c>
      <c r="F2806" s="144" t="inlineStr">
        <is>
          <t>3842504 IN</t>
        </is>
      </c>
      <c r="G2806" s="144" t="inlineStr">
        <is>
          <t>PURPLE PETERBILT</t>
        </is>
      </c>
      <c r="H2806" s="144" t="n">
        <v>1221</v>
      </c>
      <c r="I2806" s="144" t="inlineStr">
        <is>
          <t>COMMERICAL</t>
        </is>
      </c>
    </row>
    <row r="2807" ht="18" customHeight="1" s="7">
      <c r="A2807" s="144" t="inlineStr">
        <is>
          <t>GILDARDO RODRIDUEZ</t>
        </is>
      </c>
      <c r="B2807" s="144" t="inlineStr">
        <is>
          <t>21779271 TX</t>
        </is>
      </c>
      <c r="C2807" s="144" t="inlineStr">
        <is>
          <t>EXTRA TRANSPORT</t>
        </is>
      </c>
      <c r="D2807" s="144" t="n">
        <v>9362301310</v>
      </c>
      <c r="E2807" s="144" t="inlineStr">
        <is>
          <t>BOX</t>
        </is>
      </c>
      <c r="F2807" s="144" t="inlineStr">
        <is>
          <t>P1089162 IL</t>
        </is>
      </c>
      <c r="G2807" s="144" t="inlineStr">
        <is>
          <t>WHITE VOLVO</t>
        </is>
      </c>
      <c r="H2807" s="144" t="n">
        <v>1221</v>
      </c>
      <c r="I2807" s="144" t="inlineStr">
        <is>
          <t>COMMERICAL</t>
        </is>
      </c>
    </row>
    <row r="2808" ht="18" customHeight="1" s="7">
      <c r="A2808" s="144" t="inlineStr">
        <is>
          <t>JOANNE COLLINS</t>
        </is>
      </c>
      <c r="B2808" s="144" t="inlineStr">
        <is>
          <t>C452434539290 FL</t>
        </is>
      </c>
      <c r="C2808" s="144" t="inlineStr">
        <is>
          <t>PACKER</t>
        </is>
      </c>
      <c r="D2808" s="144" t="n">
        <v>3528043183</v>
      </c>
      <c r="E2808" s="144" t="inlineStr">
        <is>
          <t>FLAT</t>
        </is>
      </c>
      <c r="F2808" s="144" t="inlineStr">
        <is>
          <t>2613779 IN</t>
        </is>
      </c>
      <c r="G2808" s="144" t="inlineStr">
        <is>
          <t>PURPLE INTERNATIONAL</t>
        </is>
      </c>
      <c r="H2808" s="144" t="n">
        <v>1221</v>
      </c>
      <c r="I2808" s="144" t="inlineStr">
        <is>
          <t>COMMERICAL</t>
        </is>
      </c>
    </row>
    <row r="2809" ht="18" customHeight="1" s="7">
      <c r="A2809" s="144" t="inlineStr">
        <is>
          <t>IBRAHIM BEKTASEVIC</t>
        </is>
      </c>
      <c r="B2809" s="144" t="inlineStr">
        <is>
          <t>U200120009 MI</t>
        </is>
      </c>
      <c r="C2809" s="144" t="inlineStr">
        <is>
          <t>WU TRANS</t>
        </is>
      </c>
      <c r="D2809" s="144" t="n">
        <v>3144242576</v>
      </c>
      <c r="E2809" s="144" t="inlineStr">
        <is>
          <t>BOX</t>
        </is>
      </c>
      <c r="F2809" s="144" t="inlineStr">
        <is>
          <t>78K T2J MI</t>
        </is>
      </c>
      <c r="G2809" s="144" t="inlineStr">
        <is>
          <t>BLUE VOLVO</t>
        </is>
      </c>
      <c r="H2809" s="144" t="n">
        <v>1221</v>
      </c>
      <c r="I2809" s="144" t="inlineStr">
        <is>
          <t>COMMERICAL</t>
        </is>
      </c>
    </row>
    <row r="2810" ht="18" customHeight="1" s="7">
      <c r="A2810" s="144" t="inlineStr">
        <is>
          <t>JASON SELLARS</t>
        </is>
      </c>
      <c r="B2810" s="144" t="inlineStr">
        <is>
          <t>054640561 GA</t>
        </is>
      </c>
      <c r="C2810" s="144" t="inlineStr">
        <is>
          <t>SODREL TRANS</t>
        </is>
      </c>
      <c r="D2810" s="144" t="n">
        <v>2295290627</v>
      </c>
      <c r="E2810" s="144" t="inlineStr">
        <is>
          <t>FLAT</t>
        </is>
      </c>
      <c r="F2810" s="144" t="inlineStr">
        <is>
          <t>C124ER GA</t>
        </is>
      </c>
      <c r="G2810" s="144" t="inlineStr">
        <is>
          <t>PURPLE KENWORTH</t>
        </is>
      </c>
      <c r="H2810" s="144" t="n">
        <v>1221</v>
      </c>
      <c r="I2810" s="144" t="inlineStr">
        <is>
          <t>COMMERICAL</t>
        </is>
      </c>
    </row>
    <row r="2811" ht="18" customHeight="1" s="7">
      <c r="A2811" s="144" t="inlineStr">
        <is>
          <t>ERLAN BAPIEV</t>
        </is>
      </c>
      <c r="B2811" s="144" t="inlineStr">
        <is>
          <t>B11020000068 IL</t>
        </is>
      </c>
      <c r="C2811" s="144" t="inlineStr">
        <is>
          <t>UTL TRANS</t>
        </is>
      </c>
      <c r="D2811" s="144" t="n">
        <v>6737061924</v>
      </c>
      <c r="E2811" s="144" t="inlineStr">
        <is>
          <t>FLAT</t>
        </is>
      </c>
      <c r="F2811" s="144" t="inlineStr">
        <is>
          <t>P1202649 IL</t>
        </is>
      </c>
      <c r="G2811" s="144" t="inlineStr">
        <is>
          <t>BLUE FREIGHTLINER</t>
        </is>
      </c>
      <c r="H2811" s="144" t="n">
        <v>1221</v>
      </c>
      <c r="I2811" s="144" t="inlineStr">
        <is>
          <t>COMMERICAL</t>
        </is>
      </c>
    </row>
    <row r="2812" ht="18" customHeight="1" s="7">
      <c r="A2812" s="144" t="inlineStr">
        <is>
          <t>DEMETRIOS SGOUROS</t>
        </is>
      </c>
      <c r="B2812" s="144" t="inlineStr">
        <is>
          <t>S620139031684 MI</t>
        </is>
      </c>
      <c r="C2812" s="144" t="inlineStr">
        <is>
          <t>TRUST TRANS</t>
        </is>
      </c>
      <c r="D2812" s="144" t="n">
        <v>4154978586</v>
      </c>
      <c r="E2812" s="144" t="inlineStr">
        <is>
          <t>BOX</t>
        </is>
      </c>
      <c r="F2812" s="144" t="inlineStr">
        <is>
          <t>RC20081 M</t>
        </is>
      </c>
      <c r="G2812" s="144" t="inlineStr">
        <is>
          <t>WHITE VOLVO</t>
        </is>
      </c>
      <c r="H2812" s="144" t="n">
        <v>1221</v>
      </c>
      <c r="I2812" s="144" t="inlineStr">
        <is>
          <t>COMMERICAL</t>
        </is>
      </c>
    </row>
    <row r="2813" ht="18" customHeight="1" s="7">
      <c r="A2813" s="144" t="inlineStr">
        <is>
          <t>NOAH PHILLIPS</t>
        </is>
      </c>
      <c r="B2813" s="144" t="inlineStr">
        <is>
          <t>*056828625 GA</t>
        </is>
      </c>
      <c r="C2813" s="144" t="inlineStr">
        <is>
          <t>F FLINT</t>
        </is>
      </c>
      <c r="D2813" s="144" t="n">
        <v>2293432135</v>
      </c>
      <c r="E2813" s="144" t="inlineStr">
        <is>
          <t>BOX</t>
        </is>
      </c>
      <c r="F2813" s="144" t="inlineStr">
        <is>
          <t>ZJW085 GA</t>
        </is>
      </c>
      <c r="G2813" s="144" t="inlineStr">
        <is>
          <t>WHITE KENWORTH</t>
        </is>
      </c>
      <c r="H2813" s="144" t="n">
        <v>2200</v>
      </c>
      <c r="I2813" s="144" t="inlineStr">
        <is>
          <t>COMMERCIAL</t>
        </is>
      </c>
    </row>
    <row r="2814" ht="18" customHeight="1" s="7">
      <c r="A2814" s="144" t="inlineStr">
        <is>
          <t>THOMAS KIRKSEY JR</t>
        </is>
      </c>
      <c r="B2814" s="144" t="inlineStr">
        <is>
          <t>*056386472 GA</t>
        </is>
      </c>
      <c r="C2814" s="144" t="inlineStr">
        <is>
          <t>AEP</t>
        </is>
      </c>
      <c r="D2814" s="144" t="n">
        <v>7063589313</v>
      </c>
      <c r="E2814" s="144" t="inlineStr">
        <is>
          <t>BOX</t>
        </is>
      </c>
      <c r="F2814" s="144" t="inlineStr">
        <is>
          <t>Y136946 OR</t>
        </is>
      </c>
      <c r="G2814" s="144" t="inlineStr">
        <is>
          <t>WHITE FREIGHTLINER</t>
        </is>
      </c>
      <c r="H2814" s="144" t="inlineStr">
        <is>
          <t>K-9</t>
        </is>
      </c>
      <c r="I2814" s="144" t="inlineStr">
        <is>
          <t>COMMERCIAL</t>
        </is>
      </c>
    </row>
    <row r="2815" ht="18" customHeight="1" s="7">
      <c r="A2815" s="144" t="inlineStr">
        <is>
          <t>CHRISTOPHER COOPER</t>
        </is>
      </c>
      <c r="B2815" s="144" t="inlineStr">
        <is>
          <t>052346712 GA</t>
        </is>
      </c>
      <c r="C2815" s="144" t="inlineStr">
        <is>
          <t>THM EXPRESS</t>
        </is>
      </c>
      <c r="D2815" s="144" t="n">
        <v>2299387328</v>
      </c>
      <c r="E2815" s="144" t="inlineStr">
        <is>
          <t>BOX</t>
        </is>
      </c>
      <c r="F2815" s="144" t="inlineStr">
        <is>
          <t>C487DZ GA</t>
        </is>
      </c>
      <c r="G2815" s="144" t="inlineStr">
        <is>
          <t>YELLOW FREIGHTLINER</t>
        </is>
      </c>
      <c r="H2815" s="144" t="n">
        <v>1221</v>
      </c>
      <c r="I2815" s="144" t="inlineStr">
        <is>
          <t>COMMERICAL</t>
        </is>
      </c>
    </row>
    <row r="2816" ht="18" customHeight="1" s="7">
      <c r="A2816" s="144" t="inlineStr">
        <is>
          <t>CARLOS SERRANO</t>
        </is>
      </c>
      <c r="B2816" s="144" t="inlineStr">
        <is>
          <t>S652101740300 FL</t>
        </is>
      </c>
      <c r="C2816" s="144" t="inlineStr">
        <is>
          <t>ALMENAS</t>
        </is>
      </c>
      <c r="D2816" s="144" t="n">
        <v>9569625835</v>
      </c>
      <c r="E2816" s="144" t="inlineStr">
        <is>
          <t>FLAT</t>
        </is>
      </c>
      <c r="F2816" s="144" t="inlineStr">
        <is>
          <t>R792326 TX</t>
        </is>
      </c>
      <c r="G2816" s="144" t="inlineStr">
        <is>
          <t>BLACK KENWORTH</t>
        </is>
      </c>
      <c r="H2816" s="144" t="n">
        <v>1221</v>
      </c>
      <c r="I2816" s="144" t="inlineStr">
        <is>
          <t>COMMERICAL</t>
        </is>
      </c>
    </row>
    <row r="2817" ht="18" customHeight="1" s="7">
      <c r="A2817" s="144" t="inlineStr">
        <is>
          <t>ANTHONY PUCKETT</t>
        </is>
      </c>
      <c r="B2817" s="144" t="inlineStr">
        <is>
          <t>P230010840640 FL</t>
        </is>
      </c>
      <c r="C2817" s="144" t="inlineStr">
        <is>
          <t>AAT CARRIER</t>
        </is>
      </c>
      <c r="D2817" s="144" t="n">
        <v>3217473374</v>
      </c>
      <c r="E2817" s="144" t="inlineStr">
        <is>
          <t>BOX</t>
        </is>
      </c>
      <c r="F2817" s="144" t="inlineStr">
        <is>
          <t>3357494 IN</t>
        </is>
      </c>
      <c r="G2817" s="144" t="inlineStr">
        <is>
          <t>WHITE FREIGHTLINER</t>
        </is>
      </c>
      <c r="H2817" s="144" t="n">
        <v>1221</v>
      </c>
      <c r="I2817" s="144" t="inlineStr">
        <is>
          <t>COMMERICAL</t>
        </is>
      </c>
    </row>
    <row r="2818" ht="18" customHeight="1" s="7">
      <c r="A2818" s="144" t="inlineStr">
        <is>
          <t>CHRISTHOPER BYRD</t>
        </is>
      </c>
      <c r="B2818" s="144" t="inlineStr">
        <is>
          <t>B630102834250 FL</t>
        </is>
      </c>
      <c r="C2818" s="144" t="inlineStr">
        <is>
          <t>NATIONAL CON</t>
        </is>
      </c>
      <c r="D2818" s="144" t="n">
        <v>8003525675</v>
      </c>
      <c r="E2818" s="144" t="inlineStr">
        <is>
          <t>FLAT</t>
        </is>
      </c>
      <c r="F2818" s="144" t="inlineStr">
        <is>
          <t>3439138 IN</t>
        </is>
      </c>
      <c r="G2818" s="144" t="inlineStr">
        <is>
          <t>WHITE FREIGHTLINER</t>
        </is>
      </c>
      <c r="H2818" s="144" t="n">
        <v>2212</v>
      </c>
      <c r="I2818" s="144" t="inlineStr">
        <is>
          <t>COMMERICAL</t>
        </is>
      </c>
    </row>
    <row r="2819" ht="18" customHeight="1" s="7">
      <c r="A2819" s="144" t="inlineStr">
        <is>
          <t>KIRK IVAN DAVID JOE</t>
        </is>
      </c>
      <c r="B2819" s="144" t="inlineStr">
        <is>
          <t>46160924 TX</t>
        </is>
      </c>
      <c r="C2819" s="144" t="inlineStr">
        <is>
          <t>HACKL</t>
        </is>
      </c>
      <c r="D2819" s="144" t="n">
        <v>6602273487</v>
      </c>
      <c r="E2819" s="144" t="inlineStr">
        <is>
          <t>FLAT</t>
        </is>
      </c>
      <c r="F2819" s="144" t="inlineStr">
        <is>
          <t>25775Z WI</t>
        </is>
      </c>
      <c r="G2819" s="144" t="inlineStr">
        <is>
          <t>BLACK PETERBILT</t>
        </is>
      </c>
      <c r="H2819" s="144" t="n">
        <v>1221</v>
      </c>
      <c r="I2819" s="144" t="inlineStr">
        <is>
          <t>COMMERICAL</t>
        </is>
      </c>
    </row>
    <row r="2820" ht="18" customHeight="1" s="7">
      <c r="A2820" s="144" t="inlineStr">
        <is>
          <t>SAINMIL KENEL</t>
        </is>
      </c>
      <c r="B2820" s="144" t="inlineStr">
        <is>
          <t>S228894244000FL</t>
        </is>
      </c>
      <c r="C2820" s="144" t="inlineStr">
        <is>
          <t>MAYBACH</t>
        </is>
      </c>
      <c r="D2820" s="144" t="n">
        <v>5615742390</v>
      </c>
      <c r="E2820" s="144" t="inlineStr">
        <is>
          <t>BOX</t>
        </is>
      </c>
      <c r="F2820" s="144" t="inlineStr">
        <is>
          <t>P1235699 IL</t>
        </is>
      </c>
      <c r="G2820" s="144" t="inlineStr">
        <is>
          <t>WHITE INTERNATIONAL</t>
        </is>
      </c>
      <c r="H2820" s="144" t="n">
        <v>1221</v>
      </c>
      <c r="I2820" s="144" t="inlineStr">
        <is>
          <t>COMMERICAL</t>
        </is>
      </c>
    </row>
    <row r="2821" ht="18" customHeight="1" s="7">
      <c r="A2821" s="144" t="inlineStr">
        <is>
          <t>JESSE OGDEN</t>
        </is>
      </c>
      <c r="B2821" s="144" t="inlineStr">
        <is>
          <t>049607405 GA</t>
        </is>
      </c>
      <c r="C2821" s="144" t="inlineStr">
        <is>
          <t>CENRIMARK</t>
        </is>
      </c>
      <c r="D2821" s="144" t="n">
        <v>6784461203</v>
      </c>
      <c r="E2821" s="144" t="inlineStr">
        <is>
          <t>FLAT</t>
        </is>
      </c>
      <c r="F2821" s="144" t="inlineStr">
        <is>
          <t>P1198986 IL</t>
        </is>
      </c>
      <c r="G2821" s="144" t="inlineStr">
        <is>
          <t>WHITE INTERNATIONAL</t>
        </is>
      </c>
      <c r="H2821" s="144" t="inlineStr">
        <is>
          <t>GATE15</t>
        </is>
      </c>
      <c r="I2821" s="144" t="inlineStr">
        <is>
          <t>COMMERICAL</t>
        </is>
      </c>
    </row>
    <row r="2822" ht="18" customHeight="1" s="7">
      <c r="A2822" s="144" t="inlineStr">
        <is>
          <t>SARKI BENAIK</t>
        </is>
      </c>
      <c r="B2822" s="144" t="inlineStr">
        <is>
          <t>UT063430 OH</t>
        </is>
      </c>
      <c r="C2822" s="144" t="inlineStr">
        <is>
          <t>DK MAX</t>
        </is>
      </c>
      <c r="D2822" s="144" t="n">
        <v>6146952957</v>
      </c>
      <c r="E2822" s="144" t="inlineStr">
        <is>
          <t>BOX</t>
        </is>
      </c>
      <c r="F2822" s="144" t="inlineStr">
        <is>
          <t>P1309957 IL</t>
        </is>
      </c>
      <c r="G2822" s="144" t="inlineStr">
        <is>
          <t>WHITE FREIGHTLINER</t>
        </is>
      </c>
      <c r="H2822" s="144" t="n">
        <v>1221</v>
      </c>
      <c r="I2822" s="144" t="inlineStr">
        <is>
          <t>COMMERICAL</t>
        </is>
      </c>
    </row>
    <row r="2823" ht="18" customHeight="1" s="7">
      <c r="A2823" s="144" t="inlineStr">
        <is>
          <t>VICTOR WASHINGTON</t>
        </is>
      </c>
      <c r="B2823" s="144" t="inlineStr">
        <is>
          <t>000035624668 NC</t>
        </is>
      </c>
      <c r="C2823" s="144" t="inlineStr">
        <is>
          <t>DREAM BUILDERS</t>
        </is>
      </c>
      <c r="D2823" s="144" t="n">
        <v>9102629892</v>
      </c>
      <c r="E2823" s="144" t="inlineStr">
        <is>
          <t>FLAT</t>
        </is>
      </c>
      <c r="F2823" s="144" t="inlineStr">
        <is>
          <t>VV6712 NV</t>
        </is>
      </c>
      <c r="G2823" s="144" t="inlineStr">
        <is>
          <t>GRAY VOLVO</t>
        </is>
      </c>
      <c r="H2823" s="144" t="n">
        <v>1221</v>
      </c>
      <c r="I2823" s="144" t="inlineStr">
        <is>
          <t>COMMERICAL</t>
        </is>
      </c>
    </row>
    <row r="2824" ht="18" customHeight="1" s="7">
      <c r="A2824" s="144" t="inlineStr">
        <is>
          <t>JAMES FLOURNOY</t>
        </is>
      </c>
      <c r="B2824" s="144" t="inlineStr">
        <is>
          <t>055962199 GA</t>
        </is>
      </c>
      <c r="C2824" s="144" t="inlineStr">
        <is>
          <t>FOUR STAR</t>
        </is>
      </c>
      <c r="D2824" s="144" t="n">
        <v>18002398785</v>
      </c>
      <c r="E2824" s="144" t="inlineStr">
        <is>
          <t>PU</t>
        </is>
      </c>
      <c r="F2824" s="144" t="inlineStr">
        <is>
          <t>38A2M36 AL</t>
        </is>
      </c>
      <c r="G2824" s="144" t="inlineStr">
        <is>
          <t>WHITE FORD</t>
        </is>
      </c>
      <c r="H2824" s="144" t="n">
        <v>1330</v>
      </c>
      <c r="I2824" s="144" t="inlineStr">
        <is>
          <t>CONTRACTOR</t>
        </is>
      </c>
    </row>
    <row r="2825" ht="18" customHeight="1" s="7">
      <c r="A2825" s="144" t="inlineStr">
        <is>
          <t>LOYD BOND</t>
        </is>
      </c>
      <c r="B2825" s="144" t="inlineStr">
        <is>
          <t>6154674 AL</t>
        </is>
      </c>
      <c r="C2825" s="144" t="inlineStr">
        <is>
          <t>SHERIDAN LOGISTICS</t>
        </is>
      </c>
      <c r="D2825" s="144" t="n">
        <v>2055343028</v>
      </c>
      <c r="E2825" s="144" t="inlineStr">
        <is>
          <t>FLAT</t>
        </is>
      </c>
      <c r="F2825" s="144" t="inlineStr">
        <is>
          <t>3FL391 OK</t>
        </is>
      </c>
      <c r="G2825" s="144" t="inlineStr">
        <is>
          <t>YELLOW PETERBILT</t>
        </is>
      </c>
      <c r="H2825" s="144" t="n">
        <v>1221</v>
      </c>
      <c r="I2825" s="144" t="inlineStr">
        <is>
          <t>COMMERICAL</t>
        </is>
      </c>
    </row>
    <row r="2826" ht="18" customHeight="1" s="7">
      <c r="A2826" s="144" t="inlineStr">
        <is>
          <t>ALONZO THOMPSON</t>
        </is>
      </c>
      <c r="B2826" s="144" t="inlineStr">
        <is>
          <t>T512012640980 FL</t>
        </is>
      </c>
      <c r="C2826" s="144" t="inlineStr">
        <is>
          <t>EMD EXPRESS</t>
        </is>
      </c>
      <c r="D2826" s="144" t="n">
        <v>4073942492</v>
      </c>
      <c r="E2826" s="144" t="inlineStr">
        <is>
          <t>BOX</t>
        </is>
      </c>
      <c r="F2826" s="144" t="inlineStr">
        <is>
          <t>A79941 KY</t>
        </is>
      </c>
      <c r="G2826" s="144" t="inlineStr">
        <is>
          <t>WHITE FREIGHTLINER</t>
        </is>
      </c>
      <c r="H2826" s="144" t="n">
        <v>1221</v>
      </c>
      <c r="I2826" s="144" t="inlineStr">
        <is>
          <t>COMMERICAL</t>
        </is>
      </c>
    </row>
    <row r="2827" ht="18" customHeight="1" s="7">
      <c r="A2827" s="144" t="inlineStr">
        <is>
          <t>MATT CHAMBLISS</t>
        </is>
      </c>
      <c r="B2827" s="144" t="inlineStr">
        <is>
          <t>052476132 GA</t>
        </is>
      </c>
      <c r="C2827" s="144" t="inlineStr">
        <is>
          <t>METROPOWER</t>
        </is>
      </c>
      <c r="D2827" s="144" t="n">
        <v>2292541020</v>
      </c>
      <c r="E2827" s="144" t="inlineStr">
        <is>
          <t>PU</t>
        </is>
      </c>
      <c r="F2827" s="144" t="inlineStr">
        <is>
          <t>CLX4843 GA</t>
        </is>
      </c>
      <c r="G2827" s="144" t="inlineStr">
        <is>
          <t>WHITE CHEV</t>
        </is>
      </c>
      <c r="H2827" s="144" t="n">
        <v>2200</v>
      </c>
      <c r="I2827" s="144" t="inlineStr">
        <is>
          <t>CONTRACTOR</t>
        </is>
      </c>
    </row>
    <row r="2828" ht="18" customHeight="1" s="7">
      <c r="A2828" s="144" t="inlineStr">
        <is>
          <t>HOWARD NEIGHBOR</t>
        </is>
      </c>
      <c r="B2828" s="144" t="inlineStr">
        <is>
          <t>RS311107 OH</t>
        </is>
      </c>
      <c r="C2828" s="144" t="inlineStr">
        <is>
          <t>JOHN C HIPP</t>
        </is>
      </c>
      <c r="D2828" s="144" t="n">
        <v>3302314141</v>
      </c>
      <c r="E2828" s="144" t="inlineStr">
        <is>
          <t>BOX</t>
        </is>
      </c>
      <c r="F2828" s="144" t="inlineStr">
        <is>
          <t>PW2735 OH</t>
        </is>
      </c>
      <c r="G2828" s="144" t="inlineStr">
        <is>
          <t>RED VOLVO</t>
        </is>
      </c>
      <c r="H2828" s="144" t="n">
        <v>1221</v>
      </c>
      <c r="I2828" s="144" t="inlineStr">
        <is>
          <t>COMMERCIAL</t>
        </is>
      </c>
    </row>
    <row r="2829" ht="18" customHeight="1" s="7">
      <c r="A2829" s="144" t="inlineStr">
        <is>
          <t>GREAVES NDRU</t>
        </is>
      </c>
      <c r="B2829" s="144" t="n">
        <v>767510512</v>
      </c>
      <c r="C2829" s="144" t="inlineStr">
        <is>
          <t>CAROLINA LOGISTIC</t>
        </is>
      </c>
      <c r="D2829" s="144" t="n">
        <v>3477609672</v>
      </c>
      <c r="E2829" s="144" t="inlineStr">
        <is>
          <t>FLAT</t>
        </is>
      </c>
      <c r="F2829" s="144" t="inlineStr">
        <is>
          <t>VW6505 NC</t>
        </is>
      </c>
      <c r="G2829" s="144" t="inlineStr">
        <is>
          <t>WHITE FREIGHTLINER</t>
        </is>
      </c>
      <c r="H2829" s="144" t="n">
        <v>1221</v>
      </c>
      <c r="I2829" s="144" t="inlineStr">
        <is>
          <t>COMMERICAL</t>
        </is>
      </c>
    </row>
    <row r="2830" ht="18" customHeight="1" s="7">
      <c r="A2830" s="144" t="inlineStr">
        <is>
          <t>SKURTU VALENTIN</t>
        </is>
      </c>
      <c r="B2830" s="144" t="inlineStr">
        <is>
          <t>S63086086246 IL</t>
        </is>
      </c>
      <c r="C2830" s="144" t="inlineStr">
        <is>
          <t>FAREAST INC</t>
        </is>
      </c>
      <c r="D2830" s="144" t="n">
        <v>2243495409</v>
      </c>
      <c r="E2830" s="144" t="inlineStr">
        <is>
          <t>FLAT</t>
        </is>
      </c>
      <c r="F2830" s="144" t="inlineStr">
        <is>
          <t>P1242002 IL</t>
        </is>
      </c>
      <c r="G2830" s="144" t="inlineStr">
        <is>
          <t>WHITE FREIGHTLINER</t>
        </is>
      </c>
      <c r="H2830" s="144" t="n">
        <v>1221</v>
      </c>
      <c r="I2830" s="144" t="inlineStr">
        <is>
          <t>COMMERICAL</t>
        </is>
      </c>
    </row>
    <row r="2831" ht="18" customHeight="1" s="7">
      <c r="A2831" s="144" t="inlineStr">
        <is>
          <t>NURZHAN UULU</t>
        </is>
      </c>
      <c r="B2831" s="144" t="inlineStr">
        <is>
          <t>N62562090169 IL</t>
        </is>
      </c>
      <c r="C2831" s="144" t="inlineStr">
        <is>
          <t>NEWS</t>
        </is>
      </c>
      <c r="D2831" s="144" t="n">
        <v>7738506990</v>
      </c>
      <c r="E2831" s="144" t="inlineStr">
        <is>
          <t>FLAT</t>
        </is>
      </c>
      <c r="F2831" s="144" t="inlineStr">
        <is>
          <t>P1293863 IL</t>
        </is>
      </c>
      <c r="G2831" s="144" t="inlineStr">
        <is>
          <t>TAN FREIGHTLINER</t>
        </is>
      </c>
      <c r="H2831" s="144" t="n">
        <v>1221</v>
      </c>
      <c r="I2831" s="144" t="inlineStr">
        <is>
          <t>COMMERCIAL</t>
        </is>
      </c>
    </row>
    <row r="2832" ht="18" customHeight="1" s="7">
      <c r="A2832" s="144" t="inlineStr">
        <is>
          <t>MEDINA JOEL</t>
        </is>
      </c>
      <c r="B2832" s="144" t="inlineStr">
        <is>
          <t>M248324856 KY</t>
        </is>
      </c>
      <c r="C2832" s="144" t="inlineStr">
        <is>
          <t xml:space="preserve">MEDINA </t>
        </is>
      </c>
      <c r="D2832" s="144" t="n">
        <v>9314018838</v>
      </c>
      <c r="E2832" s="144" t="inlineStr">
        <is>
          <t>PU</t>
        </is>
      </c>
      <c r="F2832" s="144" t="inlineStr">
        <is>
          <t>006442A KY</t>
        </is>
      </c>
      <c r="G2832" s="144" t="inlineStr">
        <is>
          <t>BLUE FORD</t>
        </is>
      </c>
      <c r="H2832" s="144" t="n">
        <v>1221</v>
      </c>
      <c r="I2832" s="144" t="inlineStr">
        <is>
          <t>CONTRACTOR</t>
        </is>
      </c>
    </row>
    <row r="2833" ht="18" customHeight="1" s="7">
      <c r="A2833" s="144" t="inlineStr">
        <is>
          <t>ALEC DINA</t>
        </is>
      </c>
      <c r="B2833" s="144" t="inlineStr">
        <is>
          <t>*045050642</t>
        </is>
      </c>
      <c r="C2833" s="144" t="inlineStr">
        <is>
          <t>BRASELTLN SAFE</t>
        </is>
      </c>
      <c r="D2833" s="144" t="n">
        <v>7066542662</v>
      </c>
      <c r="E2833" s="144" t="inlineStr">
        <is>
          <t>PU</t>
        </is>
      </c>
      <c r="F2833" s="144" t="inlineStr">
        <is>
          <t>GFB637 GA</t>
        </is>
      </c>
      <c r="G2833" s="144" t="inlineStr">
        <is>
          <t>BLACK CHEVY</t>
        </is>
      </c>
      <c r="H2833" s="144" t="n">
        <v>7500</v>
      </c>
      <c r="I2833" s="144" t="inlineStr">
        <is>
          <t>CONTRACTOR</t>
        </is>
      </c>
    </row>
    <row r="2834" ht="18" customHeight="1" s="7">
      <c r="A2834" s="144" t="inlineStr">
        <is>
          <t>VILLAGRANA LOPEZ</t>
        </is>
      </c>
      <c r="B2834" s="144" t="inlineStr">
        <is>
          <t>*000031565355 NC</t>
        </is>
      </c>
      <c r="C2834" s="144" t="inlineStr">
        <is>
          <t>CASCO INC</t>
        </is>
      </c>
      <c r="D2834" s="144" t="n">
        <v>7044975856</v>
      </c>
      <c r="E2834" s="144" t="inlineStr">
        <is>
          <t>FLAT</t>
        </is>
      </c>
      <c r="F2834" s="144" t="inlineStr">
        <is>
          <t>NK1957 NC</t>
        </is>
      </c>
      <c r="G2834" s="144" t="inlineStr">
        <is>
          <t>RED FREIGHTLINER</t>
        </is>
      </c>
      <c r="H2834" s="144" t="n">
        <v>1221</v>
      </c>
      <c r="I2834" s="144" t="inlineStr">
        <is>
          <t>COMMERCIAL</t>
        </is>
      </c>
    </row>
    <row r="2835" ht="18" customHeight="1" s="7">
      <c r="A2835" s="144" t="inlineStr">
        <is>
          <t>ZACK BRAFORD</t>
        </is>
      </c>
      <c r="B2835" s="144" t="inlineStr">
        <is>
          <t>*054284733 GA</t>
        </is>
      </c>
      <c r="C2835" s="144" t="inlineStr">
        <is>
          <t>ALKINS</t>
        </is>
      </c>
      <c r="D2835" s="144" t="n">
        <v>2294357765</v>
      </c>
      <c r="E2835" s="144" t="inlineStr">
        <is>
          <t>BOX</t>
        </is>
      </c>
      <c r="F2835" s="144" t="inlineStr">
        <is>
          <t>P759CG GA</t>
        </is>
      </c>
      <c r="G2835" s="144" t="inlineStr">
        <is>
          <t>WHITE FORD</t>
        </is>
      </c>
      <c r="H2835" s="144" t="inlineStr">
        <is>
          <t>NAVY FED</t>
        </is>
      </c>
      <c r="I2835" s="144" t="inlineStr">
        <is>
          <t>COMMERCIAL</t>
        </is>
      </c>
    </row>
    <row r="2836" ht="18" customHeight="1" s="7">
      <c r="A2836" s="144" t="inlineStr">
        <is>
          <t>FARRINGTON DYLAN</t>
        </is>
      </c>
      <c r="B2836" s="144" t="inlineStr">
        <is>
          <t>4163448 TX</t>
        </is>
      </c>
      <c r="C2836" s="144" t="inlineStr">
        <is>
          <t>TWEED</t>
        </is>
      </c>
      <c r="D2836" s="144" t="n">
        <v>7022494626</v>
      </c>
      <c r="E2836" s="144" t="inlineStr">
        <is>
          <t>FLAT</t>
        </is>
      </c>
      <c r="F2836" s="144" t="inlineStr">
        <is>
          <t>A062521 UT</t>
        </is>
      </c>
      <c r="G2836" s="144" t="inlineStr">
        <is>
          <t>BLUE KW</t>
        </is>
      </c>
      <c r="H2836" s="144" t="n">
        <v>1221</v>
      </c>
      <c r="I2836" s="144" t="inlineStr">
        <is>
          <t>COMMERCIAL</t>
        </is>
      </c>
    </row>
    <row r="2837" ht="18" customHeight="1" s="7">
      <c r="A2837" s="144" t="inlineStr">
        <is>
          <t>MICHEAL DOUGLAS</t>
        </is>
      </c>
      <c r="B2837" s="144" t="inlineStr">
        <is>
          <t>*071572137 TN</t>
        </is>
      </c>
      <c r="C2837" s="144" t="inlineStr">
        <is>
          <t xml:space="preserve">AAT CARRIERS </t>
        </is>
      </c>
      <c r="D2837" s="144" t="n">
        <v>4237189916</v>
      </c>
      <c r="E2837" s="144" t="inlineStr">
        <is>
          <t>BOX</t>
        </is>
      </c>
      <c r="F2837" s="144" t="inlineStr">
        <is>
          <t>3119334 IN</t>
        </is>
      </c>
      <c r="G2837" s="144" t="inlineStr">
        <is>
          <t>WHITE VOLVO</t>
        </is>
      </c>
      <c r="H2837" s="144" t="n">
        <v>1221</v>
      </c>
      <c r="I2837" s="144" t="inlineStr">
        <is>
          <t>COMMERCIAL</t>
        </is>
      </c>
    </row>
    <row r="2838" ht="18" customHeight="1" s="7">
      <c r="A2838" s="144" t="inlineStr">
        <is>
          <t>JEREMY GERVIN</t>
        </is>
      </c>
      <c r="B2838" s="144" t="inlineStr">
        <is>
          <t>*051310269</t>
        </is>
      </c>
      <c r="C2838" s="144" t="inlineStr">
        <is>
          <t>FEDEX</t>
        </is>
      </c>
      <c r="D2838" s="144" t="n">
        <v>2293475399</v>
      </c>
      <c r="E2838" s="144" t="inlineStr">
        <is>
          <t>VAN</t>
        </is>
      </c>
      <c r="F2838" s="144" t="inlineStr">
        <is>
          <t>3JR750 OKC</t>
        </is>
      </c>
      <c r="G2838" s="144" t="inlineStr">
        <is>
          <t>WHITE FORD</t>
        </is>
      </c>
      <c r="H2838" s="144" t="n">
        <v>1221</v>
      </c>
      <c r="I2838" s="144" t="inlineStr">
        <is>
          <t>CONTRACTOR</t>
        </is>
      </c>
    </row>
    <row r="2839" ht="18" customHeight="1" s="7">
      <c r="A2839" s="144" t="inlineStr">
        <is>
          <t>JERRY EVERETT</t>
        </is>
      </c>
      <c r="B2839" s="144" t="inlineStr">
        <is>
          <t>E163432704530 FL</t>
        </is>
      </c>
      <c r="C2839" s="144" t="inlineStr">
        <is>
          <t>E&amp;J TRANSIT</t>
        </is>
      </c>
      <c r="D2839" s="144" t="n">
        <v>4048225330</v>
      </c>
      <c r="E2839" s="144" t="inlineStr">
        <is>
          <t>BOX</t>
        </is>
      </c>
      <c r="F2839" s="144" t="inlineStr">
        <is>
          <t>R802044 TX</t>
        </is>
      </c>
      <c r="G2839" s="144" t="inlineStr">
        <is>
          <t>RED INTERNATIONAL</t>
        </is>
      </c>
      <c r="H2839" s="144" t="n">
        <v>7501</v>
      </c>
      <c r="I2839" s="144" t="inlineStr">
        <is>
          <t>COMMERCIAL</t>
        </is>
      </c>
    </row>
    <row r="2840" ht="18" customHeight="1" s="7">
      <c r="A2840" s="144" t="inlineStr">
        <is>
          <t>GRIMES LEE</t>
        </is>
      </c>
      <c r="B2840" s="144" t="inlineStr">
        <is>
          <t>G652832650510 FL</t>
        </is>
      </c>
      <c r="C2840" s="144" t="inlineStr">
        <is>
          <t>ADMIRAL MERCHANTS</t>
        </is>
      </c>
      <c r="D2840" s="144" t="n">
        <v>3524705722</v>
      </c>
      <c r="E2840" s="144" t="inlineStr">
        <is>
          <t>FLAT</t>
        </is>
      </c>
      <c r="F2840" s="144" t="inlineStr">
        <is>
          <t>PAS8550 MI</t>
        </is>
      </c>
      <c r="G2840" s="144" t="inlineStr">
        <is>
          <t>WHITE FREIGHTLINER</t>
        </is>
      </c>
      <c r="H2840" s="144" t="n">
        <v>1221</v>
      </c>
      <c r="I2840" s="144" t="inlineStr">
        <is>
          <t>COMMERCIAL</t>
        </is>
      </c>
    </row>
    <row r="2841" ht="18" customHeight="1" s="7">
      <c r="A2841" s="144" t="inlineStr">
        <is>
          <t>LINNEHAN HARVEY</t>
        </is>
      </c>
      <c r="B2841" s="144" t="n">
        <v>7896294</v>
      </c>
      <c r="C2841" s="144" t="inlineStr">
        <is>
          <t>ADMIRAL MERCHANTS</t>
        </is>
      </c>
      <c r="D2841" s="144" t="n">
        <v>7048603134</v>
      </c>
      <c r="E2841" s="144" t="inlineStr">
        <is>
          <t>FLAT</t>
        </is>
      </c>
      <c r="F2841" s="144" t="inlineStr">
        <is>
          <t>PZB6698 MI</t>
        </is>
      </c>
      <c r="G2841" s="144" t="inlineStr">
        <is>
          <t>WHITE FREIGHTLINER</t>
        </is>
      </c>
      <c r="H2841" s="144" t="n">
        <v>1221</v>
      </c>
      <c r="I2841" s="144" t="inlineStr">
        <is>
          <t>COMMERCIAL</t>
        </is>
      </c>
    </row>
    <row r="2842" ht="18" customHeight="1" s="7">
      <c r="A2842" s="144" t="inlineStr">
        <is>
          <t>JIMENEZ BARRERA</t>
        </is>
      </c>
      <c r="B2842" s="144" t="inlineStr">
        <is>
          <t>B65349452 VA</t>
        </is>
      </c>
      <c r="C2842" s="144" t="inlineStr">
        <is>
          <t>PEREMITER SECURITY</t>
        </is>
      </c>
      <c r="D2842" s="144" t="n">
        <v>5714919293</v>
      </c>
      <c r="E2842" s="144" t="inlineStr">
        <is>
          <t>PU</t>
        </is>
      </c>
      <c r="F2842" s="144" t="inlineStr">
        <is>
          <t>97392 TN</t>
        </is>
      </c>
      <c r="G2842" s="144" t="inlineStr">
        <is>
          <t>WHITE FORD</t>
        </is>
      </c>
      <c r="H2842" s="144" t="inlineStr">
        <is>
          <t>BASEWIDE</t>
        </is>
      </c>
      <c r="I2842" s="144" t="inlineStr">
        <is>
          <t>CONTRACTOR</t>
        </is>
      </c>
    </row>
    <row r="2843" ht="18" customHeight="1" s="7">
      <c r="A2843" s="144" t="inlineStr">
        <is>
          <t>DAVID SPYRES</t>
        </is>
      </c>
      <c r="B2843" s="144" t="inlineStr">
        <is>
          <t>K01574938</t>
        </is>
      </c>
      <c r="C2843" s="144" t="inlineStr">
        <is>
          <t>FEDEX</t>
        </is>
      </c>
      <c r="D2843" s="144" t="n">
        <v>3166191909</v>
      </c>
      <c r="E2843" s="144" t="inlineStr">
        <is>
          <t>BOX</t>
        </is>
      </c>
      <c r="F2843" s="144" t="inlineStr">
        <is>
          <t>PWU3625 OH</t>
        </is>
      </c>
      <c r="G2843" s="144" t="inlineStr">
        <is>
          <t>WHITE WESTERN STAR</t>
        </is>
      </c>
      <c r="H2843" s="144" t="n">
        <v>1221</v>
      </c>
      <c r="I2843" s="144" t="inlineStr">
        <is>
          <t>COMMERCIAL</t>
        </is>
      </c>
    </row>
    <row r="2844" ht="18" customHeight="1" s="7">
      <c r="A2844" s="144" t="inlineStr">
        <is>
          <t>KHADAR ABDULLAHI</t>
        </is>
      </c>
      <c r="B2844" s="144" t="inlineStr">
        <is>
          <t>Y925228270216</t>
        </is>
      </c>
      <c r="C2844" s="144" t="inlineStr">
        <is>
          <t>CZBG LOGISTICS</t>
        </is>
      </c>
      <c r="D2844" s="144" t="n">
        <v>3203303885</v>
      </c>
      <c r="E2844" s="144" t="inlineStr">
        <is>
          <t>BOX</t>
        </is>
      </c>
      <c r="F2844" s="144" t="inlineStr">
        <is>
          <t>SPG53361 IL</t>
        </is>
      </c>
      <c r="G2844" s="144" t="inlineStr">
        <is>
          <t>WHITE FREIGHTLINER</t>
        </is>
      </c>
      <c r="H2844" s="144" t="n">
        <v>1221</v>
      </c>
      <c r="I2844" s="144" t="inlineStr">
        <is>
          <t>COMMERCIAL</t>
        </is>
      </c>
    </row>
    <row r="2845" ht="18" customHeight="1" s="7">
      <c r="A2845" s="144" t="inlineStr">
        <is>
          <t>BRANDON BAKER</t>
        </is>
      </c>
      <c r="B2845" s="144" t="inlineStr">
        <is>
          <t>24942052 TX</t>
        </is>
      </c>
      <c r="C2845" s="144" t="inlineStr">
        <is>
          <t>THT</t>
        </is>
      </c>
      <c r="D2845" s="144" t="n">
        <v>7132031694</v>
      </c>
      <c r="E2845" s="144" t="inlineStr">
        <is>
          <t>PU</t>
        </is>
      </c>
      <c r="F2845" s="144" t="inlineStr">
        <is>
          <t>WBH5965 TX</t>
        </is>
      </c>
      <c r="G2845" s="144" t="inlineStr">
        <is>
          <t>WHITE RAM</t>
        </is>
      </c>
      <c r="H2845" s="144" t="n">
        <v>1221</v>
      </c>
      <c r="I2845" s="144" t="inlineStr">
        <is>
          <t>CONTRACTOR</t>
        </is>
      </c>
    </row>
    <row r="2846" ht="18" customHeight="1" s="7">
      <c r="A2846" s="144" t="inlineStr">
        <is>
          <t>KEVIN HUBBARD</t>
        </is>
      </c>
      <c r="B2846" s="144" t="inlineStr">
        <is>
          <t>052860514 GA</t>
        </is>
      </c>
      <c r="C2846" s="144" t="inlineStr">
        <is>
          <t>TEN 8</t>
        </is>
      </c>
      <c r="D2846" s="144" t="n">
        <v>4787183445</v>
      </c>
      <c r="E2846" s="144" t="inlineStr">
        <is>
          <t>PU</t>
        </is>
      </c>
      <c r="F2846" s="144" t="inlineStr">
        <is>
          <t>SIK8888 GA</t>
        </is>
      </c>
      <c r="G2846" s="144" t="inlineStr">
        <is>
          <t>WHITE RAM</t>
        </is>
      </c>
      <c r="H2846" s="144" t="inlineStr">
        <is>
          <t>STATION 1</t>
        </is>
      </c>
      <c r="I2846" s="144" t="inlineStr">
        <is>
          <t>CONTRACTOR</t>
        </is>
      </c>
    </row>
    <row r="2847" ht="18" customHeight="1" s="7">
      <c r="A2847" s="144" t="inlineStr">
        <is>
          <t xml:space="preserve">NATHANIEL PEACE </t>
        </is>
      </c>
      <c r="B2847" s="144" t="inlineStr">
        <is>
          <t>18633931 TX</t>
        </is>
      </c>
      <c r="C2847" s="144" t="inlineStr">
        <is>
          <t>SHERIDAN LOGISTICS</t>
        </is>
      </c>
      <c r="D2847" s="144" t="n">
        <v>8324014510</v>
      </c>
      <c r="E2847" s="144" t="inlineStr">
        <is>
          <t>FLAT</t>
        </is>
      </c>
      <c r="F2847" s="144" t="inlineStr">
        <is>
          <t>3DA167 OK</t>
        </is>
      </c>
      <c r="G2847" s="144" t="inlineStr">
        <is>
          <t>BLUE PETERBILT</t>
        </is>
      </c>
      <c r="H2847" s="144" t="n">
        <v>1221</v>
      </c>
      <c r="I2847" s="144" t="inlineStr">
        <is>
          <t>COMMERCIAL</t>
        </is>
      </c>
    </row>
    <row r="2848" ht="18" customHeight="1" s="7">
      <c r="A2848" s="144" t="inlineStr">
        <is>
          <t>JOSEPH EVERETT</t>
        </is>
      </c>
      <c r="B2848" s="144" t="inlineStr">
        <is>
          <t>*061481187 GA</t>
        </is>
      </c>
      <c r="C2848" s="144" t="inlineStr">
        <is>
          <t>POOL GEEKS</t>
        </is>
      </c>
      <c r="D2848" s="144" t="n">
        <v>2294990820</v>
      </c>
      <c r="E2848" s="144" t="inlineStr">
        <is>
          <t>PU</t>
        </is>
      </c>
      <c r="F2848" s="144" t="inlineStr">
        <is>
          <t>TGH5076 GA</t>
        </is>
      </c>
      <c r="G2848" s="144" t="inlineStr">
        <is>
          <t>WHITE GMC</t>
        </is>
      </c>
      <c r="H2848" s="144" t="inlineStr">
        <is>
          <t>BASEWIDE</t>
        </is>
      </c>
      <c r="I2848" s="144" t="inlineStr">
        <is>
          <t>CONTRACTOR</t>
        </is>
      </c>
    </row>
    <row r="2849" ht="18" customHeight="1" s="7">
      <c r="A2849" s="144" t="inlineStr">
        <is>
          <t>BARRY DUNCAN</t>
        </is>
      </c>
      <c r="B2849" s="144" t="inlineStr">
        <is>
          <t>D525074583720 FL</t>
        </is>
      </c>
      <c r="C2849" s="144" t="inlineStr">
        <is>
          <t>S DAVID &amp; CO</t>
        </is>
      </c>
      <c r="D2849" s="144" t="n">
        <v>9046367788</v>
      </c>
      <c r="E2849" s="144" t="inlineStr">
        <is>
          <t>PU</t>
        </is>
      </c>
      <c r="F2849" s="144" t="inlineStr">
        <is>
          <t>60DRUM FL</t>
        </is>
      </c>
      <c r="G2849" s="144" t="inlineStr">
        <is>
          <t>WHITE CHEVY</t>
        </is>
      </c>
      <c r="H2849" s="144" t="n">
        <v>2200</v>
      </c>
      <c r="I2849" s="144" t="inlineStr">
        <is>
          <t>CONTRACTOR</t>
        </is>
      </c>
    </row>
    <row r="2850" ht="18" customHeight="1" s="7">
      <c r="A2850" s="144" t="inlineStr">
        <is>
          <t>JONATHAN GUSTARD</t>
        </is>
      </c>
      <c r="B2850" s="144" t="inlineStr">
        <is>
          <t>*049385008 GA</t>
        </is>
      </c>
      <c r="C2850" s="144" t="inlineStr">
        <is>
          <t>EMPIRE OFFICE</t>
        </is>
      </c>
      <c r="D2850" s="144" t="n">
        <v>6782475240</v>
      </c>
      <c r="E2850" s="144" t="inlineStr">
        <is>
          <t>BOX</t>
        </is>
      </c>
      <c r="F2850" s="144" t="inlineStr">
        <is>
          <t>YVA590 GA</t>
        </is>
      </c>
      <c r="G2850" s="144" t="inlineStr">
        <is>
          <t>WHITE FREIGHTLINER</t>
        </is>
      </c>
      <c r="H2850" s="144" t="n">
        <v>7501</v>
      </c>
      <c r="I2850" s="144" t="inlineStr">
        <is>
          <t>COMMERCIAL</t>
        </is>
      </c>
    </row>
    <row r="2851" ht="18" customHeight="1" s="7">
      <c r="A2851" s="144" t="inlineStr">
        <is>
          <t>JUAN GOMEZ</t>
        </is>
      </c>
      <c r="B2851" s="144" t="inlineStr">
        <is>
          <t>*072161196 GA</t>
        </is>
      </c>
      <c r="C2851" s="144" t="inlineStr">
        <is>
          <t>EMPIRE OFFICE</t>
        </is>
      </c>
      <c r="D2851" s="144" t="n">
        <v>6782475240</v>
      </c>
      <c r="E2851" s="144" t="inlineStr">
        <is>
          <t>SEDAN</t>
        </is>
      </c>
      <c r="F2851" s="144" t="inlineStr">
        <is>
          <t>DBM7741 GA</t>
        </is>
      </c>
      <c r="G2851" s="144" t="inlineStr">
        <is>
          <t>RED HONDA</t>
        </is>
      </c>
      <c r="H2851" s="144" t="n">
        <v>7501</v>
      </c>
      <c r="I2851" s="144" t="inlineStr">
        <is>
          <t>COMMERCIAL</t>
        </is>
      </c>
    </row>
    <row r="2852" ht="18" customHeight="1" s="7">
      <c r="A2852" s="144" t="inlineStr">
        <is>
          <t>ANDREW COHEN</t>
        </is>
      </c>
      <c r="B2852" s="144" t="inlineStr">
        <is>
          <t>*000046043116 NC</t>
        </is>
      </c>
      <c r="C2852" s="144" t="inlineStr">
        <is>
          <t>RAMAR TRANSP</t>
        </is>
      </c>
      <c r="D2852" s="144" t="n">
        <v>7242841862</v>
      </c>
      <c r="E2852" s="144" t="inlineStr">
        <is>
          <t>FLAT</t>
        </is>
      </c>
      <c r="F2852" s="144" t="inlineStr">
        <is>
          <t>MC2273 NC</t>
        </is>
      </c>
      <c r="G2852" s="144" t="inlineStr">
        <is>
          <t>RED FREIGHTLINER</t>
        </is>
      </c>
      <c r="H2852" s="144" t="n">
        <v>1221</v>
      </c>
      <c r="I2852" s="144" t="inlineStr">
        <is>
          <t>COMMERCIAL</t>
        </is>
      </c>
    </row>
    <row r="2853" ht="18" customHeight="1" s="7">
      <c r="A2853" s="144" t="inlineStr">
        <is>
          <t>TREVINO WILLIAMS</t>
        </is>
      </c>
      <c r="B2853" s="144" t="inlineStr">
        <is>
          <t>*055682898 GA</t>
        </is>
      </c>
      <c r="C2853" s="144" t="inlineStr">
        <is>
          <t xml:space="preserve">OTM </t>
        </is>
      </c>
      <c r="D2853" s="144" t="n">
        <v>4787183200</v>
      </c>
      <c r="E2853" s="144" t="inlineStr">
        <is>
          <t>BOX</t>
        </is>
      </c>
      <c r="F2853" s="144" t="inlineStr">
        <is>
          <t>C519ES GA</t>
        </is>
      </c>
      <c r="G2853" s="144" t="inlineStr">
        <is>
          <t>WHITE FREIGHTLINER</t>
        </is>
      </c>
      <c r="H2853" s="144" t="n">
        <v>1221</v>
      </c>
      <c r="I2853" s="144" t="inlineStr">
        <is>
          <t>COMMERCIAL</t>
        </is>
      </c>
    </row>
    <row r="2854" ht="18" customHeight="1" s="7">
      <c r="A2854" s="144" t="inlineStr">
        <is>
          <t>MICHEAL CLAYTON</t>
        </is>
      </c>
      <c r="B2854" s="144" t="inlineStr">
        <is>
          <t>*040403399 GA</t>
        </is>
      </c>
      <c r="C2854" s="144" t="inlineStr">
        <is>
          <t>MAG CARRIERS</t>
        </is>
      </c>
      <c r="D2854" s="144" t="n">
        <v>2293315101</v>
      </c>
      <c r="E2854" s="144" t="inlineStr">
        <is>
          <t>BOX</t>
        </is>
      </c>
      <c r="F2854" s="144" t="inlineStr">
        <is>
          <t>C844EL GA</t>
        </is>
      </c>
      <c r="G2854" s="144" t="inlineStr">
        <is>
          <t>BLUE FREIGHTLINER</t>
        </is>
      </c>
      <c r="H2854" s="144" t="n">
        <v>1221</v>
      </c>
      <c r="I2854" s="144" t="inlineStr">
        <is>
          <t>COMMERCIAL</t>
        </is>
      </c>
    </row>
    <row r="2855" ht="18" customHeight="1" s="7">
      <c r="A2855" s="144" t="inlineStr">
        <is>
          <t>LAMAR HARRIS</t>
        </is>
      </c>
      <c r="B2855" s="144" t="inlineStr">
        <is>
          <t>H620212840570 FL</t>
        </is>
      </c>
      <c r="C2855" s="144" t="inlineStr">
        <is>
          <t>DAY ONE FREIGHT</t>
        </is>
      </c>
      <c r="D2855" s="144" t="n">
        <v>8505182768</v>
      </c>
      <c r="E2855" s="144" t="inlineStr">
        <is>
          <t>BOX</t>
        </is>
      </c>
      <c r="F2855" s="144" t="inlineStr">
        <is>
          <t>R770962 TX</t>
        </is>
      </c>
      <c r="G2855" s="144" t="inlineStr">
        <is>
          <t>RED FREIGHTLINER</t>
        </is>
      </c>
      <c r="H2855" s="144" t="n">
        <v>7500</v>
      </c>
      <c r="I2855" s="144" t="inlineStr">
        <is>
          <t>COMMERCIAL</t>
        </is>
      </c>
    </row>
    <row r="2856" ht="18" customHeight="1" s="7">
      <c r="A2856" s="144" t="inlineStr">
        <is>
          <t>BRYAN COLEMAN</t>
        </is>
      </c>
      <c r="B2856" s="144" t="inlineStr">
        <is>
          <t>*057481819 GA</t>
        </is>
      </c>
      <c r="C2856" s="144" t="inlineStr">
        <is>
          <t>ART SIGN</t>
        </is>
      </c>
      <c r="D2856" s="144" t="n">
        <v>9123469427</v>
      </c>
      <c r="E2856" s="144" t="inlineStr">
        <is>
          <t>CRANE</t>
        </is>
      </c>
      <c r="F2856" s="144" t="inlineStr">
        <is>
          <t>DXL397 GA</t>
        </is>
      </c>
      <c r="G2856" s="144" t="inlineStr">
        <is>
          <t>WHITE FREIGHTLINER</t>
        </is>
      </c>
      <c r="H2856" s="144" t="n">
        <v>3500</v>
      </c>
      <c r="I2856" s="144" t="inlineStr">
        <is>
          <t>COMMERCIAL</t>
        </is>
      </c>
    </row>
    <row r="2857" ht="18" customHeight="1" s="7">
      <c r="A2857" s="144" t="inlineStr">
        <is>
          <t>FRANKLIN STRICKLAND</t>
        </is>
      </c>
      <c r="B2857" s="144" t="inlineStr">
        <is>
          <t>*053111690 GA</t>
        </is>
      </c>
      <c r="C2857" s="144" t="inlineStr">
        <is>
          <t>AEP</t>
        </is>
      </c>
      <c r="D2857" s="144" t="n">
        <v>7063257414</v>
      </c>
      <c r="E2857" s="144" t="inlineStr">
        <is>
          <t>BOX</t>
        </is>
      </c>
      <c r="F2857" s="144" t="inlineStr">
        <is>
          <t>Y137029 OR</t>
        </is>
      </c>
      <c r="G2857" s="144" t="inlineStr">
        <is>
          <t>WHITE FRIEGHTLINER</t>
        </is>
      </c>
      <c r="H2857" s="144" t="inlineStr">
        <is>
          <t>K9</t>
        </is>
      </c>
      <c r="I2857" s="144" t="inlineStr">
        <is>
          <t>COMMERCIAL</t>
        </is>
      </c>
    </row>
    <row r="2858" ht="18" customHeight="1" s="7">
      <c r="A2858" s="144" t="inlineStr">
        <is>
          <t>MAROWA TONDERAI</t>
        </is>
      </c>
      <c r="B2858" s="144" t="inlineStr">
        <is>
          <t>49178942 TX</t>
        </is>
      </c>
      <c r="C2858" s="144" t="inlineStr">
        <is>
          <t>VISTA</t>
        </is>
      </c>
      <c r="D2858" s="144" t="n">
        <v>3464318622</v>
      </c>
      <c r="E2858" s="144" t="inlineStr">
        <is>
          <t>FLAT</t>
        </is>
      </c>
      <c r="F2858" s="144" t="inlineStr">
        <is>
          <t>P1248049 IL</t>
        </is>
      </c>
      <c r="G2858" s="144" t="inlineStr">
        <is>
          <t>WHITE FRIEGHTLINER</t>
        </is>
      </c>
      <c r="H2858" s="144" t="n">
        <v>1221</v>
      </c>
      <c r="I2858" s="144" t="inlineStr">
        <is>
          <t>COMMERCIAL</t>
        </is>
      </c>
    </row>
    <row r="2859" ht="18" customHeight="1" s="7">
      <c r="A2859" s="144" t="inlineStr">
        <is>
          <t>MICHAEL HOPKINS</t>
        </is>
      </c>
      <c r="B2859" s="144" t="inlineStr">
        <is>
          <t>*055067108 GA</t>
        </is>
      </c>
      <c r="C2859" s="144" t="inlineStr">
        <is>
          <t>CITY OF ALBANY</t>
        </is>
      </c>
      <c r="D2859" s="144" t="n">
        <v>2293645602</v>
      </c>
      <c r="E2859" s="144" t="inlineStr">
        <is>
          <t>PU</t>
        </is>
      </c>
      <c r="F2859" s="144" t="inlineStr">
        <is>
          <t>GV1830P GA</t>
        </is>
      </c>
      <c r="G2859" s="144" t="inlineStr">
        <is>
          <t>WHITE FORD</t>
        </is>
      </c>
      <c r="H2859" s="144" t="inlineStr">
        <is>
          <t>WTP</t>
        </is>
      </c>
      <c r="I2859" s="144" t="inlineStr">
        <is>
          <t>CONTRACTOR</t>
        </is>
      </c>
    </row>
    <row r="2860" ht="18" customHeight="1" s="7">
      <c r="A2860" s="144" t="inlineStr">
        <is>
          <t>AARON TATE</t>
        </is>
      </c>
      <c r="B2860" s="144" t="inlineStr">
        <is>
          <t>*059373889 GA</t>
        </is>
      </c>
      <c r="C2860" s="144" t="inlineStr">
        <is>
          <t>CBSI</t>
        </is>
      </c>
      <c r="D2860" s="144" t="n">
        <v>4044167224</v>
      </c>
      <c r="E2860" s="144" t="inlineStr">
        <is>
          <t>VAN</t>
        </is>
      </c>
      <c r="F2860" s="144" t="inlineStr">
        <is>
          <t>TBL0559 GA</t>
        </is>
      </c>
      <c r="G2860" s="144" t="inlineStr">
        <is>
          <t>WHITE DODGE</t>
        </is>
      </c>
      <c r="H2860" s="144" t="n">
        <v>7500</v>
      </c>
      <c r="I2860" s="144" t="inlineStr">
        <is>
          <t>CONTRACTOR</t>
        </is>
      </c>
    </row>
    <row r="2861" ht="18" customHeight="1" s="7">
      <c r="A2861" s="144" t="inlineStr">
        <is>
          <t>JOHN ROBERTS</t>
        </is>
      </c>
      <c r="B2861" s="144" t="inlineStr">
        <is>
          <t>055140358 GA</t>
        </is>
      </c>
      <c r="C2861" s="144" t="inlineStr">
        <is>
          <t>GREEN VALLEY TRAN</t>
        </is>
      </c>
      <c r="D2861" s="144" t="n">
        <v>4046061830</v>
      </c>
      <c r="E2861" s="144" t="inlineStr">
        <is>
          <t>BOX</t>
        </is>
      </c>
      <c r="F2861" s="144" t="inlineStr">
        <is>
          <t>V5709HY TN</t>
        </is>
      </c>
      <c r="G2861" s="144" t="inlineStr">
        <is>
          <t>WHITE FREIGHTLINER</t>
        </is>
      </c>
      <c r="H2861" s="144" t="n">
        <v>1221</v>
      </c>
      <c r="I2861" s="144" t="inlineStr">
        <is>
          <t>COMMERICAL</t>
        </is>
      </c>
    </row>
    <row r="2862" ht="18" customHeight="1" s="7">
      <c r="A2862" s="144" t="inlineStr">
        <is>
          <t>CLARENCE RAINEY III</t>
        </is>
      </c>
      <c r="B2862" s="144" t="inlineStr">
        <is>
          <t>R428955150000</t>
        </is>
      </c>
      <c r="C2862" s="144" t="inlineStr">
        <is>
          <t>LANDSTAR</t>
        </is>
      </c>
      <c r="D2862" s="144" t="n">
        <v>7866813408</v>
      </c>
      <c r="E2862" s="144" t="inlineStr">
        <is>
          <t>BOX</t>
        </is>
      </c>
      <c r="F2862" s="144" t="inlineStr">
        <is>
          <t>3882158 IN</t>
        </is>
      </c>
      <c r="G2862" s="144" t="inlineStr">
        <is>
          <t>WHITE FREIGHTLINER</t>
        </is>
      </c>
      <c r="H2862" s="144" t="n">
        <v>1221</v>
      </c>
      <c r="I2862" s="144" t="inlineStr">
        <is>
          <t>COMMERICAL</t>
        </is>
      </c>
    </row>
    <row r="2863" ht="18" customHeight="1" s="7">
      <c r="A2863" s="144" t="inlineStr">
        <is>
          <t>KOBYLSKI CHRISTIAN</t>
        </is>
      </c>
      <c r="B2863" s="144" t="inlineStr">
        <is>
          <t>UZ058584 OH</t>
        </is>
      </c>
      <c r="C2863" s="144" t="inlineStr">
        <is>
          <t>SHELBYS TRANS</t>
        </is>
      </c>
      <c r="D2863" s="144" t="n">
        <v>2168516410</v>
      </c>
      <c r="E2863" s="144" t="inlineStr">
        <is>
          <t>PU</t>
        </is>
      </c>
      <c r="F2863" s="144" t="inlineStr">
        <is>
          <t>U100576 OH</t>
        </is>
      </c>
      <c r="G2863" s="144" t="inlineStr">
        <is>
          <t>BLACK DODGE</t>
        </is>
      </c>
      <c r="H2863" s="144" t="n">
        <v>1221</v>
      </c>
      <c r="I2863" s="144" t="inlineStr">
        <is>
          <t>COMMERICAL</t>
        </is>
      </c>
    </row>
    <row r="2864" ht="18" customHeight="1" s="7">
      <c r="A2864" s="144" t="inlineStr">
        <is>
          <t>BRAIN HOLLEY</t>
        </is>
      </c>
      <c r="B2864" s="144" t="inlineStr">
        <is>
          <t>0534309298 GA</t>
        </is>
      </c>
      <c r="C2864" s="144" t="inlineStr">
        <is>
          <t>SOUTHWAY</t>
        </is>
      </c>
      <c r="D2864" s="144" t="n">
        <v>229434444</v>
      </c>
      <c r="E2864" s="144" t="inlineStr">
        <is>
          <t>CRANE</t>
        </is>
      </c>
      <c r="F2864" s="144" t="inlineStr">
        <is>
          <t>TFJ8669 TX</t>
        </is>
      </c>
      <c r="G2864" s="144" t="inlineStr">
        <is>
          <t>WHITE PETERBILT</t>
        </is>
      </c>
      <c r="H2864" s="144" t="inlineStr">
        <is>
          <t>GATE 15</t>
        </is>
      </c>
      <c r="I2864" s="144" t="inlineStr">
        <is>
          <t>COMMERICAL</t>
        </is>
      </c>
    </row>
    <row r="2865" ht="18" customHeight="1" s="7">
      <c r="A2865" s="144" t="inlineStr">
        <is>
          <t>TRIPP THOMAS</t>
        </is>
      </c>
      <c r="B2865" s="144" t="inlineStr">
        <is>
          <t>061572692 GA</t>
        </is>
      </c>
      <c r="C2865" s="144" t="inlineStr">
        <is>
          <t>SOUTHWAY</t>
        </is>
      </c>
      <c r="D2865" s="144" t="n">
        <v>229434444</v>
      </c>
      <c r="E2865" s="144" t="inlineStr">
        <is>
          <t>PU</t>
        </is>
      </c>
      <c r="F2865" s="144" t="inlineStr">
        <is>
          <t>PQH1339 GA</t>
        </is>
      </c>
      <c r="G2865" s="144" t="inlineStr">
        <is>
          <t xml:space="preserve">  WHITE DODGE </t>
        </is>
      </c>
      <c r="H2865" s="144" t="inlineStr">
        <is>
          <t>GATE 15</t>
        </is>
      </c>
      <c r="I2865" s="144" t="inlineStr">
        <is>
          <t>CONTRACTOR</t>
        </is>
      </c>
    </row>
    <row r="2866" ht="18" customHeight="1" s="7">
      <c r="A2866" s="144" t="inlineStr">
        <is>
          <t>JACOB LAYNE</t>
        </is>
      </c>
      <c r="B2866" s="144" t="inlineStr">
        <is>
          <t>061692752 GA</t>
        </is>
      </c>
      <c r="C2866" s="144" t="inlineStr">
        <is>
          <t>VESTIS</t>
        </is>
      </c>
      <c r="D2866" s="144" t="n">
        <v>2292896288</v>
      </c>
      <c r="E2866" s="144" t="inlineStr">
        <is>
          <t>VAN</t>
        </is>
      </c>
      <c r="F2866" s="144" t="inlineStr">
        <is>
          <t>GXHU96 GA</t>
        </is>
      </c>
      <c r="G2866" s="144" t="inlineStr">
        <is>
          <t>WHITE FORD</t>
        </is>
      </c>
      <c r="H2866" s="144" t="n">
        <v>7500</v>
      </c>
      <c r="I2866" s="144" t="inlineStr">
        <is>
          <t>COMMERICAL</t>
        </is>
      </c>
    </row>
    <row r="2867" ht="18" customHeight="1" s="7">
      <c r="A2867" s="144" t="inlineStr">
        <is>
          <t>MARTHA MOSELEY</t>
        </is>
      </c>
      <c r="B2867" s="144" t="inlineStr">
        <is>
          <t>919686051 AK</t>
        </is>
      </c>
      <c r="C2867" s="144" t="inlineStr">
        <is>
          <t>TRI STATE</t>
        </is>
      </c>
      <c r="D2867" s="144" t="n">
        <v>5014732519</v>
      </c>
      <c r="E2867" s="144" t="inlineStr">
        <is>
          <t>BOX</t>
        </is>
      </c>
      <c r="F2867" s="144" t="inlineStr">
        <is>
          <t>AM56896 AZ</t>
        </is>
      </c>
      <c r="G2867" s="144" t="inlineStr">
        <is>
          <t>GRAY VOLVO</t>
        </is>
      </c>
      <c r="H2867" s="144" t="n">
        <v>1221</v>
      </c>
      <c r="I2867" s="144" t="inlineStr">
        <is>
          <t>COMMERICAL</t>
        </is>
      </c>
    </row>
    <row r="2868" ht="18" customHeight="1" s="7">
      <c r="A2868" s="144" t="inlineStr">
        <is>
          <t xml:space="preserve">BRIAN KELLY </t>
        </is>
      </c>
      <c r="B2868" s="144" t="inlineStr">
        <is>
          <t>10646889 AL</t>
        </is>
      </c>
      <c r="C2868" s="144" t="inlineStr">
        <is>
          <t>LANDSTAR</t>
        </is>
      </c>
      <c r="D2868" s="144" t="n">
        <v>5593497767</v>
      </c>
      <c r="E2868" s="144" t="inlineStr">
        <is>
          <t>VAN</t>
        </is>
      </c>
      <c r="F2868" s="144" t="inlineStr">
        <is>
          <t>A0B9ANP AL</t>
        </is>
      </c>
      <c r="G2868" s="144" t="inlineStr">
        <is>
          <t>BLACK MERCEDES</t>
        </is>
      </c>
      <c r="H2868" s="144" t="n">
        <v>1221</v>
      </c>
      <c r="I2868" s="144" t="inlineStr">
        <is>
          <t>CONTRACTOR</t>
        </is>
      </c>
    </row>
    <row r="2869" ht="18" customHeight="1" s="7">
      <c r="A2869" s="144" t="inlineStr">
        <is>
          <t>STIRBU DUMITRU</t>
        </is>
      </c>
      <c r="B2869" s="144" t="inlineStr">
        <is>
          <t>1605289797 NV</t>
        </is>
      </c>
      <c r="C2869" s="144" t="inlineStr">
        <is>
          <t>AFS</t>
        </is>
      </c>
      <c r="D2869" s="144" t="n">
        <v>7029085061</v>
      </c>
      <c r="E2869" s="144" t="inlineStr">
        <is>
          <t>BOX</t>
        </is>
      </c>
      <c r="F2869" s="144" t="inlineStr">
        <is>
          <t>97736RP WA</t>
        </is>
      </c>
      <c r="G2869" s="144" t="inlineStr">
        <is>
          <t>GRAY KENWORTH</t>
        </is>
      </c>
      <c r="H2869" s="144" t="n">
        <v>1221</v>
      </c>
      <c r="I2869" s="144" t="inlineStr">
        <is>
          <t>COMMERICAL</t>
        </is>
      </c>
    </row>
    <row r="2870" ht="18" customHeight="1" s="7">
      <c r="A2870" s="144" t="inlineStr">
        <is>
          <t>KENNETH YOUNG</t>
        </is>
      </c>
      <c r="B2870" s="144" t="inlineStr">
        <is>
          <t>061943652 GA</t>
        </is>
      </c>
      <c r="C2870" s="144" t="inlineStr">
        <is>
          <t>SAFE AIR</t>
        </is>
      </c>
      <c r="D2870" s="144" t="n">
        <v>2298835100</v>
      </c>
      <c r="E2870" s="144" t="inlineStr">
        <is>
          <t>VAN</t>
        </is>
      </c>
      <c r="F2870" s="144" t="inlineStr">
        <is>
          <t>DBQ8100 GA</t>
        </is>
      </c>
      <c r="G2870" s="144" t="inlineStr">
        <is>
          <t>WHITE FORD</t>
        </is>
      </c>
      <c r="H2870" s="144" t="inlineStr">
        <is>
          <t>GAMEWARDEN</t>
        </is>
      </c>
      <c r="I2870" s="144" t="inlineStr">
        <is>
          <t>CONTRACTOR</t>
        </is>
      </c>
    </row>
    <row r="2871" ht="18" customHeight="1" s="7">
      <c r="A2871" s="144" t="inlineStr">
        <is>
          <t>DESTIN CRAWFORD</t>
        </is>
      </c>
      <c r="B2871" s="144" t="inlineStr">
        <is>
          <t>056425301GA</t>
        </is>
      </c>
      <c r="C2871" s="144" t="inlineStr">
        <is>
          <t>SAM</t>
        </is>
      </c>
      <c r="D2871" s="144" t="n">
        <v>8554390450</v>
      </c>
      <c r="E2871" s="144" t="inlineStr">
        <is>
          <t>PU</t>
        </is>
      </c>
      <c r="F2871" s="144" t="inlineStr">
        <is>
          <t>SCH5305 GA</t>
        </is>
      </c>
      <c r="G2871" s="144" t="inlineStr">
        <is>
          <t>WHITE FORD</t>
        </is>
      </c>
      <c r="H2871" s="144" t="n">
        <v>7501</v>
      </c>
      <c r="I2871" s="144" t="inlineStr">
        <is>
          <t>CONTRACTOR</t>
        </is>
      </c>
    </row>
    <row r="2872" ht="18" customHeight="1" s="7">
      <c r="A2872" s="144" t="inlineStr">
        <is>
          <t>IRA POSEY</t>
        </is>
      </c>
      <c r="B2872" s="144" t="inlineStr">
        <is>
          <t>059462633 GA</t>
        </is>
      </c>
      <c r="C2872" s="144" t="inlineStr">
        <is>
          <t>ART SIGN</t>
        </is>
      </c>
      <c r="D2872" s="144" t="n">
        <v>2298834044</v>
      </c>
      <c r="E2872" s="144" t="inlineStr">
        <is>
          <t>PU</t>
        </is>
      </c>
      <c r="F2872" s="144" t="inlineStr">
        <is>
          <t>BRS7610 GA</t>
        </is>
      </c>
      <c r="G2872" s="144" t="inlineStr">
        <is>
          <t>WHITE FORD</t>
        </is>
      </c>
      <c r="H2872" s="144" t="n">
        <v>7500</v>
      </c>
      <c r="I2872" s="144" t="inlineStr">
        <is>
          <t>CONTRACTOR</t>
        </is>
      </c>
    </row>
    <row r="2873" ht="18" customHeight="1" s="7">
      <c r="A2873" s="144" t="inlineStr">
        <is>
          <t>ATHUOR BELL JR</t>
        </is>
      </c>
      <c r="B2873" s="144" t="inlineStr">
        <is>
          <t>055271039 GA</t>
        </is>
      </c>
      <c r="C2873" s="144" t="inlineStr">
        <is>
          <t>YANCEY RENTALS</t>
        </is>
      </c>
      <c r="D2873" s="144" t="n">
        <v>2298867355</v>
      </c>
      <c r="E2873" s="144" t="inlineStr">
        <is>
          <t>PU</t>
        </is>
      </c>
      <c r="F2873" s="144" t="inlineStr">
        <is>
          <t>CKK1306 GA</t>
        </is>
      </c>
      <c r="G2873" s="144" t="inlineStr">
        <is>
          <t>WHITE DODGE</t>
        </is>
      </c>
      <c r="H2873" s="144" t="inlineStr">
        <is>
          <t>BASEWIDE</t>
        </is>
      </c>
      <c r="I2873" s="144" t="inlineStr">
        <is>
          <t>CONTRACTOR</t>
        </is>
      </c>
    </row>
    <row r="2874" ht="18" customHeight="1" s="7">
      <c r="A2874" s="144" t="inlineStr">
        <is>
          <t>CARLTON WILLIAMS</t>
        </is>
      </c>
      <c r="B2874" s="144" t="inlineStr">
        <is>
          <t>045678125 GA</t>
        </is>
      </c>
      <c r="C2874" s="144" t="inlineStr">
        <is>
          <t>FREIGHTONE</t>
        </is>
      </c>
      <c r="D2874" s="144" t="n">
        <v>2292882662</v>
      </c>
      <c r="E2874" s="144" t="inlineStr">
        <is>
          <t>BOX</t>
        </is>
      </c>
      <c r="F2874" s="144" t="inlineStr">
        <is>
          <t>P1085876 IL</t>
        </is>
      </c>
      <c r="G2874" s="144" t="inlineStr">
        <is>
          <t>GREEN FREIGHTLINER</t>
        </is>
      </c>
      <c r="H2874" s="144" t="n">
        <v>1221</v>
      </c>
      <c r="I2874" s="144" t="inlineStr">
        <is>
          <t>COMMERICAL</t>
        </is>
      </c>
    </row>
    <row r="2875" ht="18" customHeight="1" s="7">
      <c r="A2875" s="144" t="inlineStr">
        <is>
          <t>DELGADO ANDERSON</t>
        </is>
      </c>
      <c r="B2875" s="144" t="inlineStr">
        <is>
          <t>072389142 GA</t>
        </is>
      </c>
      <c r="C2875" s="144" t="inlineStr">
        <is>
          <t>ATLANTA GLASS</t>
        </is>
      </c>
      <c r="D2875" s="144" t="n">
        <v>7708409566</v>
      </c>
      <c r="E2875" s="144" t="inlineStr">
        <is>
          <t>PU</t>
        </is>
      </c>
      <c r="F2875" s="144" t="inlineStr">
        <is>
          <t>SFA3628 GA</t>
        </is>
      </c>
      <c r="G2875" s="144" t="inlineStr">
        <is>
          <t>WHITE FORD</t>
        </is>
      </c>
      <c r="H2875" s="144" t="n">
        <v>7500</v>
      </c>
      <c r="I2875" s="144" t="inlineStr">
        <is>
          <t>CONTRACTOR</t>
        </is>
      </c>
    </row>
    <row r="2876" ht="18" customHeight="1" s="7">
      <c r="A2876" s="144" t="inlineStr">
        <is>
          <t>JUSTIN WILSON</t>
        </is>
      </c>
      <c r="B2876" s="144" t="inlineStr">
        <is>
          <t>W425454676719 MI</t>
        </is>
      </c>
      <c r="C2876" s="144" t="inlineStr">
        <is>
          <t>AOT DELIVERY</t>
        </is>
      </c>
      <c r="D2876" s="144" t="n">
        <v>5864384402</v>
      </c>
      <c r="E2876" s="144" t="inlineStr">
        <is>
          <t>BOX</t>
        </is>
      </c>
      <c r="F2876" s="144" t="inlineStr">
        <is>
          <t>BD67932 MI</t>
        </is>
      </c>
      <c r="G2876" s="144" t="inlineStr">
        <is>
          <t>WHITE HINO</t>
        </is>
      </c>
      <c r="H2876" s="144" t="n">
        <v>1221</v>
      </c>
      <c r="I2876" s="144" t="inlineStr">
        <is>
          <t>COMMERICAL</t>
        </is>
      </c>
    </row>
    <row r="2877" ht="18" customHeight="1" s="7">
      <c r="A2877" s="144" t="inlineStr">
        <is>
          <t>BRAIN SKIPPER</t>
        </is>
      </c>
      <c r="B2877" s="144" t="inlineStr">
        <is>
          <t>800320544 MS</t>
        </is>
      </c>
      <c r="C2877" s="144" t="inlineStr">
        <is>
          <t>DEPLOYED TRANS</t>
        </is>
      </c>
      <c r="D2877" s="144" t="n">
        <v>6019425403</v>
      </c>
      <c r="E2877" s="144" t="inlineStr">
        <is>
          <t>BOX</t>
        </is>
      </c>
      <c r="F2877" s="144" t="inlineStr">
        <is>
          <t>A528466 MS</t>
        </is>
      </c>
      <c r="G2877" s="144" t="inlineStr">
        <is>
          <t>WHITE PETERBILT</t>
        </is>
      </c>
      <c r="H2877" s="144" t="n">
        <v>1221</v>
      </c>
      <c r="I2877" s="144" t="inlineStr">
        <is>
          <t>COMMERICAL</t>
        </is>
      </c>
    </row>
    <row r="2878" ht="18" customHeight="1" s="7">
      <c r="A2878" s="144" t="inlineStr">
        <is>
          <t>CRAIG CAMDEN</t>
        </is>
      </c>
      <c r="B2878" s="144" t="inlineStr">
        <is>
          <t>C620103631110 FL</t>
        </is>
      </c>
      <c r="C2878" s="144" t="inlineStr">
        <is>
          <t>TRI STATE</t>
        </is>
      </c>
      <c r="D2878" s="144" t="n">
        <v>8502289851</v>
      </c>
      <c r="E2878" s="144" t="inlineStr">
        <is>
          <t>VAN</t>
        </is>
      </c>
      <c r="F2878" s="144" t="inlineStr">
        <is>
          <t xml:space="preserve">SEC7532 GA </t>
        </is>
      </c>
      <c r="G2878" s="144" t="inlineStr">
        <is>
          <t>WHITE DODGE</t>
        </is>
      </c>
      <c r="H2878" s="144" t="inlineStr">
        <is>
          <t>GOODWILL</t>
        </is>
      </c>
      <c r="I2878" s="144" t="inlineStr">
        <is>
          <t>CONTRACTOR</t>
        </is>
      </c>
    </row>
    <row r="2879" ht="18" customHeight="1" s="7">
      <c r="A2879" s="144" t="inlineStr">
        <is>
          <t>RAY GLIDDEN</t>
        </is>
      </c>
      <c r="B2879" s="144" t="inlineStr">
        <is>
          <t>G435725712810 FL</t>
        </is>
      </c>
      <c r="C2879" s="144" t="inlineStr">
        <is>
          <t>LANDSTAR</t>
        </is>
      </c>
      <c r="D2879" s="144" t="n">
        <v>9514736818</v>
      </c>
      <c r="E2879" s="144" t="inlineStr">
        <is>
          <t>BOX</t>
        </is>
      </c>
      <c r="F2879" s="144" t="inlineStr">
        <is>
          <t>355770 IN</t>
        </is>
      </c>
      <c r="G2879" s="144" t="inlineStr">
        <is>
          <t>BLACK WESTERNSTAR</t>
        </is>
      </c>
      <c r="H2879" s="144" t="n">
        <v>1221</v>
      </c>
      <c r="I2879" s="144" t="inlineStr">
        <is>
          <t>COMMERICAL</t>
        </is>
      </c>
    </row>
    <row r="2880" ht="18" customHeight="1" s="7">
      <c r="A2880" s="144" t="inlineStr">
        <is>
          <t>SAMANTHA ANDERSON</t>
        </is>
      </c>
      <c r="B2880" s="144" t="inlineStr">
        <is>
          <t>101762477 SC</t>
        </is>
      </c>
      <c r="C2880" s="144" t="inlineStr">
        <is>
          <t xml:space="preserve">F2F </t>
        </is>
      </c>
      <c r="D2880" s="144" t="n">
        <v>8034816121</v>
      </c>
      <c r="E2880" s="144" t="inlineStr">
        <is>
          <t>BOX</t>
        </is>
      </c>
      <c r="F2880" s="144" t="inlineStr">
        <is>
          <t>V414OHY TN</t>
        </is>
      </c>
      <c r="G2880" s="144" t="inlineStr">
        <is>
          <t>RED FREIGHTLINER</t>
        </is>
      </c>
      <c r="H2880" s="144" t="n">
        <v>1221</v>
      </c>
      <c r="I2880" s="144" t="inlineStr">
        <is>
          <t>COMMERICAL</t>
        </is>
      </c>
    </row>
    <row r="2881" ht="18" customHeight="1" s="7">
      <c r="A2881" s="144" t="inlineStr">
        <is>
          <t>SEAN FOWLER</t>
        </is>
      </c>
      <c r="B2881" s="144" t="inlineStr">
        <is>
          <t>*055365526 GA</t>
        </is>
      </c>
      <c r="C2881" s="144" t="inlineStr">
        <is>
          <t>AMERICAN PIPING</t>
        </is>
      </c>
      <c r="D2881" s="144" t="n">
        <v>4787437473</v>
      </c>
      <c r="E2881" s="144" t="inlineStr">
        <is>
          <t>PU</t>
        </is>
      </c>
      <c r="F2881" s="144" t="inlineStr">
        <is>
          <t>ZJL334 GA</t>
        </is>
      </c>
      <c r="G2881" s="144" t="inlineStr">
        <is>
          <t>BLUE FORD</t>
        </is>
      </c>
      <c r="H2881" s="144" t="n">
        <v>1331</v>
      </c>
      <c r="I2881" s="144" t="inlineStr">
        <is>
          <t>CONTRACTOR</t>
        </is>
      </c>
    </row>
    <row r="2882" ht="18" customHeight="1" s="7">
      <c r="A2882" s="144" t="inlineStr">
        <is>
          <t xml:space="preserve">DAVID MOORE </t>
        </is>
      </c>
      <c r="B2882" s="144" t="inlineStr">
        <is>
          <t>0710328974 IN</t>
        </is>
      </c>
      <c r="C2882" s="144" t="inlineStr">
        <is>
          <t>NITRO</t>
        </is>
      </c>
      <c r="D2882" s="144" t="n">
        <v>5023810165</v>
      </c>
      <c r="E2882" s="144" t="inlineStr">
        <is>
          <t>BOX</t>
        </is>
      </c>
      <c r="F2882" s="144" t="inlineStr">
        <is>
          <t>3672163 IN</t>
        </is>
      </c>
      <c r="G2882" s="144" t="inlineStr">
        <is>
          <t>SILVER VOLVO</t>
        </is>
      </c>
      <c r="H2882" s="144" t="n">
        <v>1221</v>
      </c>
      <c r="I2882" s="144" t="inlineStr">
        <is>
          <t>COMMERICAL</t>
        </is>
      </c>
    </row>
    <row r="2883" ht="18" customHeight="1" s="7">
      <c r="A2883" s="144" t="inlineStr">
        <is>
          <t>JOHN KNIGHT</t>
        </is>
      </c>
      <c r="B2883" s="144" t="inlineStr">
        <is>
          <t>49737604 GA</t>
        </is>
      </c>
      <c r="C2883" s="144" t="inlineStr">
        <is>
          <t>RAILPORT SERVICES</t>
        </is>
      </c>
      <c r="D2883" s="144" t="n">
        <v>9123832952</v>
      </c>
      <c r="E2883" s="144" t="inlineStr">
        <is>
          <t>BOX</t>
        </is>
      </c>
      <c r="F2883" s="144" t="inlineStr">
        <is>
          <t>IC2W17 GA</t>
        </is>
      </c>
      <c r="G2883" s="144" t="inlineStr">
        <is>
          <t>BLUE KENWORTH</t>
        </is>
      </c>
      <c r="H2883" s="144" t="n">
        <v>1221</v>
      </c>
      <c r="I2883" s="144" t="inlineStr">
        <is>
          <t>COMMERICAL</t>
        </is>
      </c>
    </row>
    <row r="2884" ht="18" customHeight="1" s="7">
      <c r="A2884" s="144" t="inlineStr">
        <is>
          <t>NOEL DANIEL</t>
        </is>
      </c>
      <c r="B2884" s="144" t="inlineStr">
        <is>
          <t>011561380 SC</t>
        </is>
      </c>
      <c r="C2884" s="144" t="inlineStr">
        <is>
          <t>LANDSTAR</t>
        </is>
      </c>
      <c r="D2884" s="144" t="n">
        <v>8033787507</v>
      </c>
      <c r="E2884" s="144" t="inlineStr">
        <is>
          <t>BOX</t>
        </is>
      </c>
      <c r="F2884" s="144" t="inlineStr">
        <is>
          <t>3167686 IN</t>
        </is>
      </c>
      <c r="G2884" s="144" t="inlineStr">
        <is>
          <t>BLUE KENWORTH</t>
        </is>
      </c>
      <c r="H2884" s="144" t="n">
        <v>1221</v>
      </c>
      <c r="I2884" s="144" t="inlineStr">
        <is>
          <t>COMMERICAL</t>
        </is>
      </c>
    </row>
    <row r="2885" ht="18" customHeight="1" s="7">
      <c r="A2885" s="144" t="inlineStr">
        <is>
          <t>FREDDICK MCCONNELL</t>
        </is>
      </c>
      <c r="B2885" s="144" t="inlineStr">
        <is>
          <t>RQ117634</t>
        </is>
      </c>
      <c r="C2885" s="144" t="inlineStr">
        <is>
          <t>LANDSTAR</t>
        </is>
      </c>
      <c r="D2885" s="144" t="n">
        <v>3306189812</v>
      </c>
      <c r="E2885" s="144" t="inlineStr">
        <is>
          <t>BOX</t>
        </is>
      </c>
      <c r="F2885" s="144" t="inlineStr">
        <is>
          <t>PVY9790 OH</t>
        </is>
      </c>
      <c r="G2885" s="144" t="inlineStr">
        <is>
          <t>WHITE FREIGHTLINER</t>
        </is>
      </c>
      <c r="H2885" s="144" t="n">
        <v>1221</v>
      </c>
      <c r="I2885" s="144" t="inlineStr">
        <is>
          <t>COMMERICAL</t>
        </is>
      </c>
    </row>
    <row r="2886" ht="18" customHeight="1" s="7">
      <c r="A2886" s="144" t="inlineStr">
        <is>
          <t>LOZADA REYNALDO</t>
        </is>
      </c>
      <c r="B2886" s="144" t="inlineStr">
        <is>
          <t>L230720692490 FL</t>
        </is>
      </c>
      <c r="C2886" s="144" t="inlineStr">
        <is>
          <t>RAILPORT SERVICES</t>
        </is>
      </c>
      <c r="D2886" s="144" t="n">
        <v>9042103498</v>
      </c>
      <c r="E2886" s="144" t="inlineStr">
        <is>
          <t>BOX</t>
        </is>
      </c>
      <c r="F2886" s="144" t="inlineStr">
        <is>
          <t>DF97FF FL</t>
        </is>
      </c>
      <c r="G2886" s="144" t="inlineStr">
        <is>
          <t>WHITE FREIGHTLINER</t>
        </is>
      </c>
      <c r="H2886" s="144" t="n">
        <v>1221</v>
      </c>
      <c r="I2886" s="144" t="inlineStr">
        <is>
          <t>COMMERICAL</t>
        </is>
      </c>
    </row>
    <row r="2887" ht="18" customHeight="1" s="7">
      <c r="A2887" s="144" t="inlineStr">
        <is>
          <t>ARTHUR REMILLARD</t>
        </is>
      </c>
      <c r="B2887" s="144" t="inlineStr">
        <is>
          <t>053272232 GA</t>
        </is>
      </c>
      <c r="C2887" s="144" t="inlineStr">
        <is>
          <t>CBSI</t>
        </is>
      </c>
      <c r="D2887" s="144" t="n">
        <v>6786402404</v>
      </c>
      <c r="E2887" s="144" t="inlineStr">
        <is>
          <t>PU</t>
        </is>
      </c>
      <c r="F2887" s="144" t="inlineStr">
        <is>
          <t>CZB4650 GA</t>
        </is>
      </c>
      <c r="G2887" s="144" t="inlineStr">
        <is>
          <t>WHITE CHEV</t>
        </is>
      </c>
      <c r="H2887" s="144" t="n">
        <v>3600</v>
      </c>
      <c r="I2887" s="144" t="inlineStr">
        <is>
          <t>CONTRACTOR</t>
        </is>
      </c>
    </row>
    <row r="2888" ht="18" customHeight="1" s="7">
      <c r="A2888" s="144" t="inlineStr">
        <is>
          <t>BARBER BRADY</t>
        </is>
      </c>
      <c r="B2888" s="144" t="inlineStr">
        <is>
          <t>*061260246 GA</t>
        </is>
      </c>
      <c r="C2888" s="144" t="inlineStr">
        <is>
          <t>SAFE AIR</t>
        </is>
      </c>
      <c r="D2888" s="144" t="n">
        <v>2288835100</v>
      </c>
      <c r="E2888" s="144" t="inlineStr">
        <is>
          <t>PU</t>
        </is>
      </c>
      <c r="F2888" s="144" t="inlineStr">
        <is>
          <t>RJY4927 GA</t>
        </is>
      </c>
      <c r="G2888" s="144" t="inlineStr">
        <is>
          <t>WHITE FORD</t>
        </is>
      </c>
      <c r="H2888" s="144" t="n">
        <v>2200</v>
      </c>
      <c r="I2888" s="144" t="inlineStr">
        <is>
          <t>CONTRACTOR</t>
        </is>
      </c>
    </row>
    <row r="2889" ht="18" customHeight="1" s="7">
      <c r="A2889" s="144" t="inlineStr">
        <is>
          <t>SAKANOVIC ERMIN</t>
        </is>
      </c>
      <c r="B2889" s="144" t="inlineStr">
        <is>
          <t>S251200802490 FL</t>
        </is>
      </c>
      <c r="C2889" s="144" t="inlineStr">
        <is>
          <t>HH LINE</t>
        </is>
      </c>
      <c r="D2889" s="144" t="n">
        <v>9045211093</v>
      </c>
      <c r="E2889" s="144" t="inlineStr">
        <is>
          <t>BOX</t>
        </is>
      </c>
      <c r="F2889" s="144" t="inlineStr">
        <is>
          <t>XE074Z FL</t>
        </is>
      </c>
      <c r="G2889" s="144" t="inlineStr">
        <is>
          <t>WHITE FREIGHTLINER</t>
        </is>
      </c>
      <c r="H2889" s="144" t="n">
        <v>1221</v>
      </c>
      <c r="I2889" s="144" t="inlineStr">
        <is>
          <t>COMMERCIAL</t>
        </is>
      </c>
    </row>
    <row r="2890" ht="18" customHeight="1" s="7">
      <c r="A2890" s="144" t="inlineStr">
        <is>
          <t>BOBBY MCCULLOCH</t>
        </is>
      </c>
      <c r="B2890" s="144" t="inlineStr">
        <is>
          <t>050904076 GA</t>
        </is>
      </c>
      <c r="C2890" s="144" t="inlineStr">
        <is>
          <t>E TRANSPORT</t>
        </is>
      </c>
      <c r="D2890" s="144" t="n">
        <v>9125155264</v>
      </c>
      <c r="E2890" s="144" t="inlineStr">
        <is>
          <t>BOX</t>
        </is>
      </c>
      <c r="F2890" s="144" t="inlineStr">
        <is>
          <t>PXD3271 OH</t>
        </is>
      </c>
      <c r="G2890" s="144" t="inlineStr">
        <is>
          <t>RED WESTERN</t>
        </is>
      </c>
      <c r="H2890" s="144" t="n">
        <v>1221</v>
      </c>
      <c r="I2890" s="144" t="inlineStr">
        <is>
          <t>COMMERICAL</t>
        </is>
      </c>
    </row>
    <row r="2891" ht="18" customHeight="1" s="7">
      <c r="A2891" s="144" t="inlineStr">
        <is>
          <t>DANIEL TILLAM</t>
        </is>
      </c>
      <c r="B2891" s="144" t="inlineStr">
        <is>
          <t>067196733 GA</t>
        </is>
      </c>
      <c r="C2891" s="144" t="inlineStr">
        <is>
          <t>MEDALLION</t>
        </is>
      </c>
      <c r="D2891" s="144" t="n">
        <v>40431013339</v>
      </c>
      <c r="E2891" s="144" t="inlineStr">
        <is>
          <t>BOX</t>
        </is>
      </c>
      <c r="F2891" s="144" t="inlineStr">
        <is>
          <t>3503916 IN</t>
        </is>
      </c>
      <c r="G2891" s="144" t="inlineStr">
        <is>
          <t>WHITE MACK</t>
        </is>
      </c>
      <c r="H2891" s="144" t="n">
        <v>1221</v>
      </c>
      <c r="I2891" s="144" t="inlineStr">
        <is>
          <t>COMMERICAL</t>
        </is>
      </c>
    </row>
    <row r="2892" ht="18" customHeight="1" s="7">
      <c r="A2892" s="144" t="inlineStr">
        <is>
          <t>HARVEY JOHNSON</t>
        </is>
      </c>
      <c r="B2892" s="144" t="inlineStr">
        <is>
          <t>008616618 SC</t>
        </is>
      </c>
      <c r="C2892" s="144" t="inlineStr">
        <is>
          <t>GIVE 2 GET</t>
        </is>
      </c>
      <c r="D2892" s="144" t="n">
        <v>8034433187</v>
      </c>
      <c r="E2892" s="144" t="inlineStr">
        <is>
          <t>FLAT</t>
        </is>
      </c>
      <c r="F2892" s="144" t="inlineStr">
        <is>
          <t>P1251767 IL</t>
        </is>
      </c>
      <c r="G2892" s="144" t="inlineStr">
        <is>
          <t>BLUE KENWORTH</t>
        </is>
      </c>
      <c r="H2892" s="144" t="n">
        <v>1221</v>
      </c>
      <c r="I2892" s="144" t="inlineStr">
        <is>
          <t>COMMERICAL</t>
        </is>
      </c>
    </row>
    <row r="2893" ht="18" customHeight="1" s="7">
      <c r="A2893" s="144" t="inlineStr">
        <is>
          <t>MAURICE DOUGLAS</t>
        </is>
      </c>
      <c r="B2893" s="144" t="inlineStr">
        <is>
          <t>D336718270000 FL</t>
        </is>
      </c>
      <c r="C2893" s="144" t="inlineStr">
        <is>
          <t>RAILPORT SERVICES</t>
        </is>
      </c>
      <c r="D2893" s="144" t="n">
        <v>9046511214</v>
      </c>
      <c r="E2893" s="144" t="inlineStr">
        <is>
          <t>BOX</t>
        </is>
      </c>
      <c r="F2893" s="144" t="inlineStr">
        <is>
          <t>PXD2254 OH</t>
        </is>
      </c>
      <c r="G2893" s="144" t="inlineStr">
        <is>
          <t>RED KENWORTH</t>
        </is>
      </c>
      <c r="H2893" s="144" t="n">
        <v>1221</v>
      </c>
      <c r="I2893" s="144" t="inlineStr">
        <is>
          <t>COMMERICAL</t>
        </is>
      </c>
    </row>
    <row r="2894" ht="18" customHeight="1" s="7">
      <c r="A2894" s="144" t="inlineStr">
        <is>
          <t>CLEVELAND MILLER</t>
        </is>
      </c>
      <c r="B2894" s="144" t="inlineStr">
        <is>
          <t>035926039 GA</t>
        </is>
      </c>
      <c r="C2894" s="144" t="inlineStr">
        <is>
          <t>RAILPORT SERVICES</t>
        </is>
      </c>
      <c r="D2894" s="144" t="n">
        <v>9129503599</v>
      </c>
      <c r="E2894" s="144" t="inlineStr">
        <is>
          <t>BOX</t>
        </is>
      </c>
      <c r="F2894" s="144" t="inlineStr">
        <is>
          <t>C178CU GA</t>
        </is>
      </c>
      <c r="G2894" s="144" t="inlineStr">
        <is>
          <t>BLUE FREIGHTLINER</t>
        </is>
      </c>
      <c r="H2894" s="144" t="n">
        <v>1221</v>
      </c>
      <c r="I2894" s="144" t="inlineStr">
        <is>
          <t>COMMERICAL</t>
        </is>
      </c>
    </row>
    <row r="2895" ht="18" customHeight="1" s="7">
      <c r="A2895" s="144" t="inlineStr">
        <is>
          <t>SEAN REED</t>
        </is>
      </c>
      <c r="B2895" s="144" t="inlineStr">
        <is>
          <t>051757755 GA</t>
        </is>
      </c>
      <c r="C2895" s="144" t="inlineStr">
        <is>
          <t xml:space="preserve">TURNER'S </t>
        </is>
      </c>
      <c r="D2895" s="144" t="n">
        <v>2294573097</v>
      </c>
      <c r="E2895" s="144" t="inlineStr">
        <is>
          <t>BOX</t>
        </is>
      </c>
      <c r="F2895" s="144" t="inlineStr">
        <is>
          <t>3761239 IN</t>
        </is>
      </c>
      <c r="G2895" s="144" t="inlineStr">
        <is>
          <t>GREEN HINO</t>
        </is>
      </c>
      <c r="H2895" s="144" t="inlineStr">
        <is>
          <t>HOUSING</t>
        </is>
      </c>
      <c r="I2895" s="144" t="inlineStr">
        <is>
          <t>COMMERICAL</t>
        </is>
      </c>
    </row>
    <row r="2896" ht="18" customHeight="1" s="7">
      <c r="A2896" s="144" t="inlineStr">
        <is>
          <t>ERICA SIMS</t>
        </is>
      </c>
      <c r="B2896" s="144" t="inlineStr">
        <is>
          <t>8302115 AL</t>
        </is>
      </c>
      <c r="C2896" s="144" t="inlineStr">
        <is>
          <t>RDX LLC</t>
        </is>
      </c>
      <c r="D2896" s="144" t="n">
        <v>2055125177</v>
      </c>
      <c r="E2896" s="144" t="inlineStr">
        <is>
          <t>BOX</t>
        </is>
      </c>
      <c r="F2896" s="144" t="inlineStr">
        <is>
          <t>U5873HY TN</t>
        </is>
      </c>
      <c r="G2896" s="144" t="inlineStr">
        <is>
          <t>RED FREIGHTLINER</t>
        </is>
      </c>
      <c r="H2896" s="144" t="n">
        <v>1221</v>
      </c>
      <c r="I2896" s="144" t="inlineStr">
        <is>
          <t>COMMERICAL</t>
        </is>
      </c>
    </row>
    <row r="2897" ht="18" customHeight="1" s="7">
      <c r="A2897" s="144" t="inlineStr">
        <is>
          <t>ISRAEL HERNANDEZ</t>
        </is>
      </c>
      <c r="B2897" s="144" t="inlineStr">
        <is>
          <t>H655400792560 FL</t>
        </is>
      </c>
      <c r="C2897" s="144" t="inlineStr">
        <is>
          <t>SCHILLER</t>
        </is>
      </c>
      <c r="D2897" s="144" t="n">
        <v>6892509778</v>
      </c>
      <c r="E2897" s="144" t="inlineStr">
        <is>
          <t>BOX</t>
        </is>
      </c>
      <c r="F2897" s="144" t="inlineStr">
        <is>
          <t>P1311785 IL</t>
        </is>
      </c>
      <c r="G2897" s="144" t="inlineStr">
        <is>
          <t>WHITE PETERBILT</t>
        </is>
      </c>
      <c r="H2897" s="144" t="n">
        <v>1221</v>
      </c>
      <c r="I2897" s="144" t="inlineStr">
        <is>
          <t>COMMERICAL</t>
        </is>
      </c>
    </row>
    <row r="2898" ht="18" customHeight="1" s="7">
      <c r="A2898" s="144" t="inlineStr">
        <is>
          <t>MAURICE JONES</t>
        </is>
      </c>
      <c r="B2898" s="144" t="inlineStr">
        <is>
          <t>J520552760240 FL</t>
        </is>
      </c>
      <c r="C2898" s="144" t="inlineStr">
        <is>
          <t>RAILPORT SERVICES</t>
        </is>
      </c>
      <c r="D2898" s="144" t="n">
        <v>9043348287</v>
      </c>
      <c r="E2898" s="144" t="inlineStr">
        <is>
          <t>BOX</t>
        </is>
      </c>
      <c r="F2898" s="144" t="inlineStr">
        <is>
          <t>PWZ2650 OH</t>
        </is>
      </c>
      <c r="G2898" s="144" t="inlineStr">
        <is>
          <t>RED VOLVO</t>
        </is>
      </c>
      <c r="H2898" s="144" t="n">
        <v>1221</v>
      </c>
      <c r="I2898" s="144" t="inlineStr">
        <is>
          <t>COMMERICAL</t>
        </is>
      </c>
    </row>
    <row r="2899" ht="18" customHeight="1" s="7">
      <c r="A2899" s="144" t="inlineStr">
        <is>
          <t>RICHARD PARKER</t>
        </is>
      </c>
      <c r="B2899" s="144" t="inlineStr">
        <is>
          <t>P626745583210 FL</t>
        </is>
      </c>
      <c r="C2899" s="144" t="inlineStr">
        <is>
          <t>LANDSTAR</t>
        </is>
      </c>
      <c r="D2899" s="144" t="n">
        <v>9044879631</v>
      </c>
      <c r="E2899" s="144" t="inlineStr">
        <is>
          <t>BOX</t>
        </is>
      </c>
      <c r="F2899" s="144" t="inlineStr">
        <is>
          <t>3411095 IN</t>
        </is>
      </c>
      <c r="G2899" s="144" t="inlineStr">
        <is>
          <t>WHITE FREIGHTLINER</t>
        </is>
      </c>
      <c r="H2899" s="144" t="n">
        <v>1221</v>
      </c>
      <c r="I2899" s="144" t="inlineStr">
        <is>
          <t>COMMERICAL</t>
        </is>
      </c>
    </row>
    <row r="2900" ht="18" customHeight="1" s="7">
      <c r="A2900" s="144" t="inlineStr">
        <is>
          <t>CALA RENE</t>
        </is>
      </c>
      <c r="B2900" s="144" t="inlineStr">
        <is>
          <t>C17914197 KY</t>
        </is>
      </c>
      <c r="C2900" s="144" t="inlineStr">
        <is>
          <t>ARCALAS</t>
        </is>
      </c>
      <c r="D2900" s="144" t="n">
        <v>5023225097</v>
      </c>
      <c r="E2900" s="144" t="inlineStr">
        <is>
          <t>BOX</t>
        </is>
      </c>
      <c r="F2900" s="144" t="inlineStr">
        <is>
          <t>011370A KY</t>
        </is>
      </c>
      <c r="G2900" s="144" t="inlineStr">
        <is>
          <t>MARRON KENWORTH</t>
        </is>
      </c>
      <c r="H2900" s="144" t="n">
        <v>1221</v>
      </c>
      <c r="I2900" s="144" t="inlineStr">
        <is>
          <t>COMMERICAL</t>
        </is>
      </c>
    </row>
    <row r="2901" ht="18" customHeight="1" s="7">
      <c r="A2901" s="144" t="inlineStr">
        <is>
          <t>CHRISTIAN CATRETT</t>
        </is>
      </c>
      <c r="B2901" s="144" t="inlineStr">
        <is>
          <t>*054775968 GA</t>
        </is>
      </c>
      <c r="C2901" s="144" t="inlineStr">
        <is>
          <t>ROTO ROOTER</t>
        </is>
      </c>
      <c r="D2901" s="144" t="n">
        <v>2298949673</v>
      </c>
      <c r="E2901" s="144" t="inlineStr">
        <is>
          <t>VAN</t>
        </is>
      </c>
      <c r="F2901" s="144" t="inlineStr">
        <is>
          <t>SKW4206 GA</t>
        </is>
      </c>
      <c r="G2901" s="144" t="inlineStr">
        <is>
          <t>WHITE FORD</t>
        </is>
      </c>
      <c r="H2901" s="144" t="n">
        <v>1600</v>
      </c>
      <c r="I2901" s="144" t="inlineStr">
        <is>
          <t>CONTRACTOR</t>
        </is>
      </c>
    </row>
    <row r="2902" ht="18" customHeight="1" s="7">
      <c r="A2902" s="144" t="inlineStr">
        <is>
          <t>MAXWELL ODOM</t>
        </is>
      </c>
      <c r="B2902" s="144" t="inlineStr">
        <is>
          <t>*061516440 GA</t>
        </is>
      </c>
      <c r="C2902" s="144" t="inlineStr">
        <is>
          <t>METROPOWER</t>
        </is>
      </c>
      <c r="D2902" s="144" t="n">
        <v>2293444808</v>
      </c>
      <c r="E2902" s="144" t="inlineStr">
        <is>
          <t>VAN</t>
        </is>
      </c>
      <c r="F2902" s="144" t="inlineStr">
        <is>
          <t>RGQ1525 GA</t>
        </is>
      </c>
      <c r="G2902" s="144" t="inlineStr">
        <is>
          <t>WHITE/ RED CHEVY</t>
        </is>
      </c>
      <c r="H2902" s="144" t="inlineStr">
        <is>
          <t>BASEWIDE</t>
        </is>
      </c>
      <c r="I2902" s="144" t="inlineStr">
        <is>
          <t>CONTRACTOR</t>
        </is>
      </c>
    </row>
    <row r="2903" ht="18" customHeight="1" s="7">
      <c r="A2903" s="144" t="inlineStr">
        <is>
          <t>RAY BINN</t>
        </is>
      </c>
      <c r="B2903" s="144" t="inlineStr">
        <is>
          <t>*030457422 GA</t>
        </is>
      </c>
      <c r="C2903" s="144" t="inlineStr">
        <is>
          <t>JOE HEAVY</t>
        </is>
      </c>
      <c r="D2903" s="144" t="n">
        <v>2295914669</v>
      </c>
      <c r="E2903" s="144" t="inlineStr">
        <is>
          <t>FLAT</t>
        </is>
      </c>
      <c r="F2903" s="144" t="inlineStr">
        <is>
          <t>C724DC GA</t>
        </is>
      </c>
      <c r="G2903" s="144" t="inlineStr">
        <is>
          <t>GREEN KENWORTH</t>
        </is>
      </c>
      <c r="H2903" s="144" t="n">
        <v>1221</v>
      </c>
      <c r="I2903" s="144" t="inlineStr">
        <is>
          <t>COMMERCIAL</t>
        </is>
      </c>
    </row>
    <row r="2904" ht="18" customHeight="1" s="7">
      <c r="A2904" s="144" t="inlineStr">
        <is>
          <t>CHANDLER MOORE</t>
        </is>
      </c>
      <c r="B2904" s="144" t="inlineStr">
        <is>
          <t>*060520029 GA</t>
        </is>
      </c>
      <c r="C2904" s="144" t="inlineStr">
        <is>
          <t>METROPOWER</t>
        </is>
      </c>
      <c r="D2904" s="144" t="n">
        <v>2298948742</v>
      </c>
      <c r="E2904" s="144" t="inlineStr">
        <is>
          <t>VAN</t>
        </is>
      </c>
      <c r="F2904" s="144" t="inlineStr">
        <is>
          <t>DCP8466 GA</t>
        </is>
      </c>
      <c r="G2904" s="144" t="inlineStr">
        <is>
          <t>WHITE/RED CHEVY</t>
        </is>
      </c>
      <c r="H2904" s="144" t="n">
        <v>7500</v>
      </c>
      <c r="I2904" s="144" t="inlineStr">
        <is>
          <t>CONTRACTOR</t>
        </is>
      </c>
    </row>
    <row r="2905" ht="18" customHeight="1" s="7">
      <c r="A2905" s="144" t="inlineStr">
        <is>
          <t>CHADILI SAMY</t>
        </is>
      </c>
      <c r="B2905" s="144" t="inlineStr">
        <is>
          <t>C220798899000 FL</t>
        </is>
      </c>
      <c r="C2905" s="144" t="inlineStr">
        <is>
          <t>NVS EXPRESS</t>
        </is>
      </c>
      <c r="D2905" s="144" t="n">
        <v>7274219004</v>
      </c>
      <c r="E2905" s="144" t="inlineStr">
        <is>
          <t>BOX</t>
        </is>
      </c>
      <c r="F2905" s="144" t="inlineStr">
        <is>
          <t>P1113000 IL</t>
        </is>
      </c>
      <c r="G2905" s="144" t="inlineStr">
        <is>
          <t>BLUE PETERBILT</t>
        </is>
      </c>
      <c r="H2905" s="144" t="n">
        <v>1221</v>
      </c>
      <c r="I2905" s="144" t="inlineStr">
        <is>
          <t>COMMERCIAL</t>
        </is>
      </c>
    </row>
    <row r="2906" ht="18" customHeight="1" s="7">
      <c r="A2906" s="144" t="inlineStr">
        <is>
          <t>DYESS MICHEAL</t>
        </is>
      </c>
      <c r="B2906" s="144" t="inlineStr">
        <is>
          <t>*054129125 GA</t>
        </is>
      </c>
      <c r="C2906" s="144" t="inlineStr">
        <is>
          <t>DOUGHERTY GLASS</t>
        </is>
      </c>
      <c r="D2906" s="144" t="n">
        <v>2298866364</v>
      </c>
      <c r="E2906" s="144" t="inlineStr">
        <is>
          <t>PU</t>
        </is>
      </c>
      <c r="F2906" s="144" t="inlineStr">
        <is>
          <t>SFS0323 GA</t>
        </is>
      </c>
      <c r="G2906" s="144" t="inlineStr">
        <is>
          <t>WHITE CHEVY</t>
        </is>
      </c>
      <c r="H2906" s="144" t="inlineStr">
        <is>
          <t>K-9</t>
        </is>
      </c>
      <c r="I2906" s="144" t="inlineStr">
        <is>
          <t>CONTRACTOR</t>
        </is>
      </c>
    </row>
    <row r="2907" ht="18" customHeight="1" s="7">
      <c r="A2907" s="144" t="inlineStr">
        <is>
          <t>TY COOK</t>
        </is>
      </c>
      <c r="B2907" s="144" t="inlineStr">
        <is>
          <t>*057973879 GA</t>
        </is>
      </c>
      <c r="C2907" s="144" t="inlineStr">
        <is>
          <t>MEDIACOM</t>
        </is>
      </c>
      <c r="D2907" s="144" t="n">
        <v>2293131974</v>
      </c>
      <c r="E2907" s="144" t="inlineStr">
        <is>
          <t>VAN</t>
        </is>
      </c>
      <c r="F2907" s="144" t="inlineStr">
        <is>
          <t>BXS9033 GA</t>
        </is>
      </c>
      <c r="G2907" s="144" t="inlineStr">
        <is>
          <t>WHITE FORD</t>
        </is>
      </c>
      <c r="H2907" s="144" t="inlineStr">
        <is>
          <t>HOUSING</t>
        </is>
      </c>
      <c r="I2907" s="144" t="inlineStr">
        <is>
          <t>CONTRACTOR</t>
        </is>
      </c>
    </row>
    <row r="2908" ht="18" customHeight="1" s="7">
      <c r="A2908" s="144" t="inlineStr">
        <is>
          <t>THOMAS SUTTON</t>
        </is>
      </c>
      <c r="B2908" s="144" t="inlineStr">
        <is>
          <t>*044917213 GA</t>
        </is>
      </c>
      <c r="C2908" s="144" t="inlineStr">
        <is>
          <t>GT WRECKER</t>
        </is>
      </c>
      <c r="D2908" s="144" t="n">
        <v>2292417360</v>
      </c>
      <c r="E2908" s="144" t="inlineStr">
        <is>
          <t>FLAT</t>
        </is>
      </c>
      <c r="F2908" s="144" t="inlineStr">
        <is>
          <t>C0063C GA</t>
        </is>
      </c>
      <c r="G2908" s="144" t="inlineStr">
        <is>
          <t>WHITE FREIGHTLINER</t>
        </is>
      </c>
      <c r="H2908" s="144" t="n">
        <v>2200</v>
      </c>
      <c r="I2908" s="144" t="inlineStr">
        <is>
          <t>COMMERCIAL</t>
        </is>
      </c>
    </row>
    <row r="2909" ht="18" customHeight="1" s="7">
      <c r="A2909" s="144" t="inlineStr">
        <is>
          <t>HILLIARY HARRIS</t>
        </is>
      </c>
      <c r="B2909" s="144" t="inlineStr">
        <is>
          <t>*049150784 GA</t>
        </is>
      </c>
      <c r="C2909" s="144" t="inlineStr">
        <is>
          <t>R&amp;L</t>
        </is>
      </c>
      <c r="D2909" s="144" t="n">
        <v>4042851910</v>
      </c>
      <c r="E2909" s="144" t="inlineStr">
        <is>
          <t>BOX</t>
        </is>
      </c>
      <c r="F2909" s="144" t="inlineStr">
        <is>
          <t>3464122 IN</t>
        </is>
      </c>
      <c r="G2909" s="144" t="inlineStr">
        <is>
          <t>GREEN PETERBILT</t>
        </is>
      </c>
      <c r="H2909" s="144" t="n">
        <v>1221</v>
      </c>
      <c r="I2909" s="144" t="inlineStr">
        <is>
          <t>COMMERCIAL</t>
        </is>
      </c>
    </row>
    <row r="2910" ht="18" customHeight="1" s="7">
      <c r="A2910" s="144" t="inlineStr">
        <is>
          <t>XUEMING HU</t>
        </is>
      </c>
      <c r="B2910" s="144" t="inlineStr">
        <is>
          <t>*070072873 GA</t>
        </is>
      </c>
      <c r="C2910" s="144" t="inlineStr">
        <is>
          <t>YUANS</t>
        </is>
      </c>
      <c r="D2910" s="144" t="n">
        <v>6262839908</v>
      </c>
      <c r="E2910" s="144" t="inlineStr">
        <is>
          <t>BOX</t>
        </is>
      </c>
      <c r="F2910" s="144" t="inlineStr">
        <is>
          <t>XP89924 CA</t>
        </is>
      </c>
      <c r="G2910" s="144" t="inlineStr">
        <is>
          <t>WHITE FREIGHTLINER</t>
        </is>
      </c>
      <c r="H2910" s="144" t="n">
        <v>1221</v>
      </c>
      <c r="I2910" s="144" t="inlineStr">
        <is>
          <t>COMMERCIAL</t>
        </is>
      </c>
    </row>
    <row r="2911" ht="18" customHeight="1" s="7">
      <c r="A2911" s="144" t="inlineStr">
        <is>
          <t>CHRISTOPHER BROTHERTON</t>
        </is>
      </c>
      <c r="B2911" s="144" t="inlineStr">
        <is>
          <t>R398142800820 MI</t>
        </is>
      </c>
      <c r="C2911" s="144" t="inlineStr">
        <is>
          <t>BAARTS TRUCKING</t>
        </is>
      </c>
      <c r="D2911" s="144" t="n">
        <v>2184140014</v>
      </c>
      <c r="E2911" s="144" t="inlineStr">
        <is>
          <t>FLAT</t>
        </is>
      </c>
      <c r="F2911" s="144" t="inlineStr">
        <is>
          <t>PAV9325 MI</t>
        </is>
      </c>
      <c r="G2911" s="144" t="inlineStr">
        <is>
          <t>RED FREIGHTLINER</t>
        </is>
      </c>
      <c r="H2911" s="144" t="n">
        <v>1221</v>
      </c>
      <c r="I2911" s="144" t="inlineStr">
        <is>
          <t>COMMERCIAL</t>
        </is>
      </c>
    </row>
    <row r="2912" ht="18" customHeight="1" s="7">
      <c r="A2912" s="144" t="inlineStr">
        <is>
          <t>KENEOSE AKOJE</t>
        </is>
      </c>
      <c r="B2912" s="144" t="inlineStr">
        <is>
          <t>*000028875808 NC</t>
        </is>
      </c>
      <c r="C2912" s="144" t="inlineStr">
        <is>
          <t>CLT EXPRESS</t>
        </is>
      </c>
      <c r="D2912" s="144" t="n">
        <v>3362596766</v>
      </c>
      <c r="E2912" s="144" t="inlineStr">
        <is>
          <t>BOX</t>
        </is>
      </c>
      <c r="F2912" s="144" t="inlineStr">
        <is>
          <t>NP5574 NC</t>
        </is>
      </c>
      <c r="G2912" s="144" t="inlineStr">
        <is>
          <t>WHITE VOLVO</t>
        </is>
      </c>
      <c r="H2912" s="144" t="n">
        <v>1221</v>
      </c>
      <c r="I2912" s="144" t="inlineStr">
        <is>
          <t>COMMERCIAL</t>
        </is>
      </c>
    </row>
    <row r="2913" ht="18" customHeight="1" s="7">
      <c r="A2913" s="144" t="inlineStr">
        <is>
          <t>JUSTIN MOREE</t>
        </is>
      </c>
      <c r="B2913" s="144" t="inlineStr">
        <is>
          <t>*054963786 GA</t>
        </is>
      </c>
      <c r="C2913" s="144" t="inlineStr">
        <is>
          <t>GEA</t>
        </is>
      </c>
      <c r="D2913" s="144" t="n">
        <v>2295848541</v>
      </c>
      <c r="E2913" s="144" t="inlineStr">
        <is>
          <t>PU</t>
        </is>
      </c>
      <c r="F2913" s="144" t="inlineStr">
        <is>
          <t>TCT8265 GA</t>
        </is>
      </c>
      <c r="G2913" s="144" t="inlineStr">
        <is>
          <t xml:space="preserve">WHITE FORD </t>
        </is>
      </c>
      <c r="H2913" s="144" t="inlineStr">
        <is>
          <t>WATER PLANT</t>
        </is>
      </c>
      <c r="I2913" s="144" t="inlineStr">
        <is>
          <t>CONTRACTOR</t>
        </is>
      </c>
    </row>
    <row r="2914" ht="18" customHeight="1" s="7">
      <c r="A2914" s="144" t="inlineStr">
        <is>
          <t>ROBERT KERBER</t>
        </is>
      </c>
      <c r="B2914" s="144" t="inlineStr">
        <is>
          <t>1502138909 NV</t>
        </is>
      </c>
      <c r="C2914" s="144" t="inlineStr">
        <is>
          <t>AATCA</t>
        </is>
      </c>
      <c r="D2914" s="144" t="n">
        <v>7029848582</v>
      </c>
      <c r="E2914" s="144" t="inlineStr">
        <is>
          <t>VAN</t>
        </is>
      </c>
      <c r="F2914" s="144" t="inlineStr">
        <is>
          <t>824X97 NV</t>
        </is>
      </c>
      <c r="G2914" s="144" t="inlineStr">
        <is>
          <t>WHITE MERCEDES</t>
        </is>
      </c>
      <c r="H2914" s="144" t="n">
        <v>1221</v>
      </c>
      <c r="I2914" s="144" t="inlineStr">
        <is>
          <t>CONTRACTOR</t>
        </is>
      </c>
    </row>
    <row r="2915" ht="18" customHeight="1" s="7">
      <c r="A2915" s="144" t="inlineStr">
        <is>
          <t>LEON WILLIAMSON</t>
        </is>
      </c>
      <c r="B2915" s="144" t="inlineStr">
        <is>
          <t>17392733 TX</t>
        </is>
      </c>
      <c r="C2915" s="144" t="inlineStr">
        <is>
          <t>FEDEX</t>
        </is>
      </c>
      <c r="D2915" s="144" t="n">
        <v>9035061789</v>
      </c>
      <c r="E2915" s="144" t="inlineStr">
        <is>
          <t>BOX</t>
        </is>
      </c>
      <c r="F2915" s="144" t="inlineStr">
        <is>
          <t>PWR4759 OH</t>
        </is>
      </c>
      <c r="G2915" s="144" t="inlineStr">
        <is>
          <t>WHITE FREIGHTLINER</t>
        </is>
      </c>
      <c r="H2915" s="144" t="n">
        <v>1221</v>
      </c>
      <c r="I2915" s="144" t="inlineStr">
        <is>
          <t>COMMERCIAL</t>
        </is>
      </c>
    </row>
    <row r="2916" ht="18" customHeight="1" s="7">
      <c r="A2916" s="144" t="inlineStr">
        <is>
          <t>RICHARD LEE DAVIS</t>
        </is>
      </c>
      <c r="B2916" s="144" t="inlineStr">
        <is>
          <t>D120752603080 FL</t>
        </is>
      </c>
      <c r="C2916" s="144" t="inlineStr">
        <is>
          <t>ABOUT BIZ</t>
        </is>
      </c>
      <c r="D2916" s="144" t="n">
        <v>3868040834</v>
      </c>
      <c r="E2916" s="144" t="inlineStr">
        <is>
          <t>PU</t>
        </is>
      </c>
      <c r="F2916" s="144" t="inlineStr">
        <is>
          <t>DD67GY FL</t>
        </is>
      </c>
      <c r="G2916" s="144" t="inlineStr">
        <is>
          <t>BLACK FORD</t>
        </is>
      </c>
      <c r="H2916" s="144" t="n">
        <v>1221</v>
      </c>
      <c r="I2916" s="144" t="inlineStr">
        <is>
          <t>CONTRACTOR</t>
        </is>
      </c>
    </row>
    <row r="2917" ht="18" customHeight="1" s="7">
      <c r="A2917" s="144" t="inlineStr">
        <is>
          <t>CALVERT RONNIE</t>
        </is>
      </c>
      <c r="B2917" s="144" t="inlineStr">
        <is>
          <t>*050340867 GA</t>
        </is>
      </c>
      <c r="C2917" s="144" t="inlineStr">
        <is>
          <t>FOLEY</t>
        </is>
      </c>
      <c r="D2917" s="144" t="n">
        <v>7063028366</v>
      </c>
      <c r="E2917" s="144" t="inlineStr">
        <is>
          <t>FLAT</t>
        </is>
      </c>
      <c r="F2917" s="144" t="inlineStr">
        <is>
          <t>35774579 IN</t>
        </is>
      </c>
      <c r="G2917" s="144" t="inlineStr">
        <is>
          <t>RED FREIGHTLINER</t>
        </is>
      </c>
      <c r="H2917" s="144" t="n">
        <v>1221</v>
      </c>
      <c r="I2917" s="144" t="inlineStr">
        <is>
          <t>COMMERCIAL</t>
        </is>
      </c>
    </row>
    <row r="2918" ht="18" customHeight="1" s="7">
      <c r="A2918" s="144" t="inlineStr">
        <is>
          <t>ANYEE WORLEY</t>
        </is>
      </c>
      <c r="B2918" s="144" t="inlineStr">
        <is>
          <t>C1764869 CA</t>
        </is>
      </c>
      <c r="C2918" s="144" t="inlineStr">
        <is>
          <t>FEDEX</t>
        </is>
      </c>
      <c r="D2918" s="144" t="n">
        <v>9513233393</v>
      </c>
      <c r="E2918" s="144" t="inlineStr">
        <is>
          <t>BOX</t>
        </is>
      </c>
      <c r="F2918" s="144" t="inlineStr">
        <is>
          <t>PWY0183 OH</t>
        </is>
      </c>
      <c r="G2918" s="144" t="inlineStr">
        <is>
          <t>WHITE FREIGHTLINER</t>
        </is>
      </c>
      <c r="H2918" s="144" t="n">
        <v>1221</v>
      </c>
      <c r="I2918" s="144" t="inlineStr">
        <is>
          <t>COMMERCIAL</t>
        </is>
      </c>
    </row>
    <row r="2919" ht="18" customHeight="1" s="7">
      <c r="A2919" s="144" t="inlineStr">
        <is>
          <t>NICHOLAS REYNOLDS</t>
        </is>
      </c>
      <c r="B2919" s="144" t="inlineStr">
        <is>
          <t>*007743661 SC</t>
        </is>
      </c>
      <c r="C2919" s="144" t="inlineStr">
        <is>
          <t>ERI ULTRA</t>
        </is>
      </c>
      <c r="D2919" s="144" t="n">
        <v>8647873586</v>
      </c>
      <c r="E2919" s="144" t="inlineStr">
        <is>
          <t>PU</t>
        </is>
      </c>
      <c r="F2919" s="144" t="inlineStr">
        <is>
          <t>325ALZ SC</t>
        </is>
      </c>
      <c r="G2919" s="144" t="inlineStr">
        <is>
          <t>GRAY FORD</t>
        </is>
      </c>
      <c r="H2919" s="144" t="n">
        <v>2200</v>
      </c>
      <c r="I2919" s="144" t="inlineStr">
        <is>
          <t>CONTRACTOR</t>
        </is>
      </c>
    </row>
    <row r="2920" ht="18" customHeight="1" s="7">
      <c r="A2920" s="144" t="inlineStr">
        <is>
          <t>ANTONIO GONZALEZ</t>
        </is>
      </c>
      <c r="B2920" s="144" t="inlineStr">
        <is>
          <t>50504043 TX</t>
        </is>
      </c>
      <c r="C2920" s="144" t="inlineStr">
        <is>
          <t>OCEANO SERVICES</t>
        </is>
      </c>
      <c r="D2920" s="144" t="n">
        <v>8303055416</v>
      </c>
      <c r="E2920" s="144" t="inlineStr">
        <is>
          <t>PU</t>
        </is>
      </c>
      <c r="F2920" s="144" t="inlineStr">
        <is>
          <t>VCC5982 TX</t>
        </is>
      </c>
      <c r="G2920" s="144" t="inlineStr">
        <is>
          <t>WHITE DODGE</t>
        </is>
      </c>
      <c r="H2920" s="144" t="n">
        <v>1221</v>
      </c>
      <c r="I2920" s="144" t="inlineStr">
        <is>
          <t>CONTRACTOR</t>
        </is>
      </c>
    </row>
    <row r="2921" ht="18" customHeight="1" s="7">
      <c r="A2921" s="144" t="inlineStr">
        <is>
          <t>PATRICK DOOLEY</t>
        </is>
      </c>
      <c r="B2921" s="144" t="inlineStr">
        <is>
          <t>*0544448201 GA</t>
        </is>
      </c>
      <c r="C2921" s="144" t="inlineStr">
        <is>
          <t>TTL</t>
        </is>
      </c>
      <c r="D2921" s="144" t="n">
        <v>2298346519</v>
      </c>
      <c r="E2921" s="144" t="inlineStr">
        <is>
          <t>PU</t>
        </is>
      </c>
      <c r="F2921" s="144" t="inlineStr">
        <is>
          <t>63A6PYT AL</t>
        </is>
      </c>
      <c r="G2921" s="144" t="inlineStr">
        <is>
          <t>WHITE TOYOTA</t>
        </is>
      </c>
      <c r="H2921" s="144" t="inlineStr">
        <is>
          <t>GATE 15</t>
        </is>
      </c>
      <c r="I2921" s="144" t="inlineStr">
        <is>
          <t>CONTRACTOR</t>
        </is>
      </c>
    </row>
    <row r="2922" ht="18" customHeight="1" s="7">
      <c r="A2922" s="144" t="inlineStr">
        <is>
          <t>JAMES GREEN</t>
        </is>
      </c>
      <c r="B2922" s="144" t="inlineStr">
        <is>
          <t>D06098614 AZ</t>
        </is>
      </c>
      <c r="C2922" s="144" t="inlineStr">
        <is>
          <t>COMM FREIGHT</t>
        </is>
      </c>
      <c r="D2922" s="144" t="n">
        <v>4233314844</v>
      </c>
      <c r="E2922" s="144" t="inlineStr">
        <is>
          <t>BOX</t>
        </is>
      </c>
      <c r="F2922" s="144" t="inlineStr">
        <is>
          <t>48266PF NY</t>
        </is>
      </c>
      <c r="G2922" s="144" t="inlineStr">
        <is>
          <t>WHITE MACK</t>
        </is>
      </c>
      <c r="H2922" s="144" t="n">
        <v>1221</v>
      </c>
      <c r="I2922" s="144" t="inlineStr">
        <is>
          <t>COMMERCIAL</t>
        </is>
      </c>
    </row>
    <row r="2923" ht="18" customHeight="1" s="7">
      <c r="A2923" s="144" t="inlineStr">
        <is>
          <t>JAQUON COVINGTON</t>
        </is>
      </c>
      <c r="B2923" s="144" t="inlineStr">
        <is>
          <t>*000030149684 NC</t>
        </is>
      </c>
      <c r="C2923" s="144" t="inlineStr">
        <is>
          <t>EMR EXPRESS</t>
        </is>
      </c>
      <c r="D2923" s="144" t="n">
        <v>7047732556</v>
      </c>
      <c r="E2923" s="144" t="inlineStr">
        <is>
          <t>BOX</t>
        </is>
      </c>
      <c r="F2923" s="144" t="inlineStr">
        <is>
          <t>P1243127 IL</t>
        </is>
      </c>
      <c r="G2923" s="144" t="inlineStr">
        <is>
          <t>RED FREIGHTLINER</t>
        </is>
      </c>
      <c r="H2923" s="144" t="n">
        <v>1221</v>
      </c>
      <c r="I2923" s="144" t="inlineStr">
        <is>
          <t>COMMERCIAL</t>
        </is>
      </c>
    </row>
    <row r="2924" ht="18" customHeight="1" s="7">
      <c r="A2924" s="144" t="inlineStr">
        <is>
          <t>SHAWN SHEFFIELD</t>
        </is>
      </c>
      <c r="B2924" s="144" t="inlineStr">
        <is>
          <t>*055387137 GA</t>
        </is>
      </c>
      <c r="C2924" s="144" t="inlineStr">
        <is>
          <t>SDS</t>
        </is>
      </c>
      <c r="D2924" s="144" t="n">
        <v>2292543345</v>
      </c>
      <c r="E2924" s="144" t="inlineStr">
        <is>
          <t>PU</t>
        </is>
      </c>
      <c r="F2924" s="144" t="inlineStr">
        <is>
          <t>C596EH GA</t>
        </is>
      </c>
      <c r="G2924" s="144" t="inlineStr">
        <is>
          <t>BLACK DODGE</t>
        </is>
      </c>
      <c r="H2924" s="144" t="n">
        <v>1221</v>
      </c>
      <c r="I2924" s="144" t="inlineStr">
        <is>
          <t>CONTRACTOR</t>
        </is>
      </c>
    </row>
    <row r="2925" ht="18" customHeight="1" s="7">
      <c r="A2925" s="144" t="inlineStr">
        <is>
          <t>KIJERA MUHAMMED</t>
        </is>
      </c>
      <c r="B2925" s="144" t="inlineStr">
        <is>
          <t>*059908240 GA</t>
        </is>
      </c>
      <c r="C2925" s="144" t="inlineStr">
        <is>
          <t>LEDCOR</t>
        </is>
      </c>
      <c r="D2925" s="144" t="n">
        <v>4046329063</v>
      </c>
      <c r="E2925" s="144" t="inlineStr">
        <is>
          <t>VAN</t>
        </is>
      </c>
      <c r="F2925" s="144" t="inlineStr">
        <is>
          <t>SDF7044 GA</t>
        </is>
      </c>
      <c r="G2925" s="144" t="inlineStr">
        <is>
          <t>WHITE DODGE</t>
        </is>
      </c>
      <c r="H2925" s="144" t="n">
        <v>3600</v>
      </c>
      <c r="I2925" s="144" t="inlineStr">
        <is>
          <t>CONTRACTOR</t>
        </is>
      </c>
    </row>
    <row r="2926" ht="18" customHeight="1" s="7">
      <c r="A2926" s="144" t="inlineStr">
        <is>
          <t>RIGG RIAN</t>
        </is>
      </c>
      <c r="B2926" s="144" t="inlineStr">
        <is>
          <t>*071653120 GA</t>
        </is>
      </c>
      <c r="C2926" s="144" t="inlineStr">
        <is>
          <t>EMPIRE NATIONAL</t>
        </is>
      </c>
      <c r="D2926" s="144" t="n">
        <v>2282710205</v>
      </c>
      <c r="E2926" s="144" t="inlineStr">
        <is>
          <t>VAN</t>
        </is>
      </c>
      <c r="F2926" s="144" t="inlineStr">
        <is>
          <t>SHK0783 GA</t>
        </is>
      </c>
      <c r="G2926" s="144" t="inlineStr">
        <is>
          <t>WHITE MERCEDES</t>
        </is>
      </c>
      <c r="H2926" s="144" t="n">
        <v>1351</v>
      </c>
      <c r="I2926" s="144" t="inlineStr">
        <is>
          <t>CONTRACTOR</t>
        </is>
      </c>
    </row>
    <row r="2927" ht="18" customHeight="1" s="7">
      <c r="A2927" s="144" t="inlineStr">
        <is>
          <t>WILLIAM WALTON</t>
        </is>
      </c>
      <c r="B2927" s="144" t="inlineStr">
        <is>
          <t>W435937702190 FL</t>
        </is>
      </c>
      <c r="C2927" s="144" t="inlineStr">
        <is>
          <t>FEDEX</t>
        </is>
      </c>
      <c r="D2927" s="144" t="n">
        <v>9043189431</v>
      </c>
      <c r="E2927" s="144" t="inlineStr">
        <is>
          <t>BOX</t>
        </is>
      </c>
      <c r="F2927" s="144" t="inlineStr">
        <is>
          <t>PWN5693 OH</t>
        </is>
      </c>
      <c r="G2927" s="144" t="inlineStr">
        <is>
          <t>WHITE WESTERN STAR</t>
        </is>
      </c>
      <c r="H2927" s="144" t="n">
        <v>1221</v>
      </c>
      <c r="I2927" s="144" t="inlineStr">
        <is>
          <t>COMMERCIAL</t>
        </is>
      </c>
    </row>
    <row r="2928" ht="18" customHeight="1" s="7">
      <c r="A2928" s="144" t="inlineStr">
        <is>
          <t>LARRY GARRETT</t>
        </is>
      </c>
      <c r="B2928" s="144" t="inlineStr">
        <is>
          <t>*056132958 GA</t>
        </is>
      </c>
      <c r="C2928" s="144" t="inlineStr">
        <is>
          <t>B &amp; H TRUCKING</t>
        </is>
      </c>
      <c r="D2928" s="144" t="n">
        <v>9124225667</v>
      </c>
      <c r="E2928" s="144" t="inlineStr">
        <is>
          <t>FLAT</t>
        </is>
      </c>
      <c r="F2928" s="144" t="inlineStr">
        <is>
          <t>M89IHV TN</t>
        </is>
      </c>
      <c r="G2928" s="144" t="inlineStr">
        <is>
          <t>WHITE INTERNATIONAL</t>
        </is>
      </c>
      <c r="H2928" s="144" t="n">
        <v>5305</v>
      </c>
      <c r="I2928" s="144" t="inlineStr">
        <is>
          <t>COMMERCIAL</t>
        </is>
      </c>
    </row>
    <row r="2929" ht="18" customHeight="1" s="7">
      <c r="A2929" s="144" t="inlineStr">
        <is>
          <t>MATTHEW THOMAS</t>
        </is>
      </c>
      <c r="B2929" s="144" t="inlineStr">
        <is>
          <t>10638700 AL</t>
        </is>
      </c>
      <c r="C2929" s="144" t="inlineStr">
        <is>
          <t xml:space="preserve">D&amp;DS </t>
        </is>
      </c>
      <c r="D2929" s="144" t="n">
        <v>5027973539</v>
      </c>
      <c r="E2929" s="144" t="inlineStr">
        <is>
          <t>FLAT</t>
        </is>
      </c>
      <c r="F2929" s="144" t="inlineStr">
        <is>
          <t>3104122 IN</t>
        </is>
      </c>
      <c r="G2929" s="144" t="inlineStr">
        <is>
          <t>RED PETERBILT</t>
        </is>
      </c>
      <c r="H2929" s="144" t="n">
        <v>1221</v>
      </c>
      <c r="I2929" s="144" t="inlineStr">
        <is>
          <t>COMMERCIAL</t>
        </is>
      </c>
    </row>
    <row r="2930" ht="18" customHeight="1" s="7">
      <c r="A2930" s="144" t="inlineStr">
        <is>
          <t>JOSE REYES</t>
        </is>
      </c>
      <c r="B2930" s="144" t="inlineStr">
        <is>
          <t>057601832 GA</t>
        </is>
      </c>
      <c r="C2930" s="144" t="inlineStr">
        <is>
          <t>SHERMAN</t>
        </is>
      </c>
      <c r="D2930" s="144" t="n">
        <v>6787666230</v>
      </c>
      <c r="E2930" s="144" t="inlineStr">
        <is>
          <t>PU</t>
        </is>
      </c>
      <c r="F2930" s="144" t="inlineStr">
        <is>
          <t>SCV4461 GA</t>
        </is>
      </c>
      <c r="G2930" s="144" t="inlineStr">
        <is>
          <t>BURGANDY DODGE</t>
        </is>
      </c>
      <c r="H2930" s="144" t="inlineStr">
        <is>
          <t>HOUSING</t>
        </is>
      </c>
      <c r="I2930" s="144" t="inlineStr">
        <is>
          <t>CONTRACTOR</t>
        </is>
      </c>
    </row>
    <row r="2931" ht="18" customHeight="1" s="7">
      <c r="A2931" s="144" t="inlineStr">
        <is>
          <t>WILLIAM JACKSON</t>
        </is>
      </c>
      <c r="B2931" s="144" t="inlineStr">
        <is>
          <t>J250933710240 FL</t>
        </is>
      </c>
      <c r="C2931" s="144" t="inlineStr">
        <is>
          <t>PREFERRED</t>
        </is>
      </c>
      <c r="D2931" s="144" t="n">
        <v>3869352773</v>
      </c>
      <c r="E2931" s="144" t="inlineStr">
        <is>
          <t>FLAT</t>
        </is>
      </c>
      <c r="F2931" s="144" t="inlineStr">
        <is>
          <t>E347U FL</t>
        </is>
      </c>
      <c r="G2931" s="144" t="inlineStr">
        <is>
          <t>GRAY VOLVO</t>
        </is>
      </c>
      <c r="H2931" s="144" t="n">
        <v>1221</v>
      </c>
      <c r="I2931" s="144" t="inlineStr">
        <is>
          <t>COMMERCIAL</t>
        </is>
      </c>
    </row>
    <row r="2932" ht="18" customHeight="1" s="7">
      <c r="A2932" s="144" t="inlineStr">
        <is>
          <t>ALAIN PRESUME</t>
        </is>
      </c>
      <c r="B2932" s="144" t="inlineStr">
        <is>
          <t>P625000823350 FL</t>
        </is>
      </c>
      <c r="C2932" s="144" t="inlineStr">
        <is>
          <t>U-HOME</t>
        </is>
      </c>
      <c r="D2932" s="144" t="n">
        <v>3217463401</v>
      </c>
      <c r="E2932" s="144" t="inlineStr">
        <is>
          <t>BOX</t>
        </is>
      </c>
      <c r="F2932" s="144" t="inlineStr">
        <is>
          <t>XE937A FL</t>
        </is>
      </c>
      <c r="G2932" s="144" t="inlineStr">
        <is>
          <t>RED FREIGHTLINER</t>
        </is>
      </c>
      <c r="H2932" s="144" t="n">
        <v>1221</v>
      </c>
      <c r="I2932" s="144" t="inlineStr">
        <is>
          <t>COMMERCIAL</t>
        </is>
      </c>
    </row>
    <row r="2933" ht="18" customHeight="1" s="7">
      <c r="A2933" s="144" t="inlineStr">
        <is>
          <t>PAUL MASSARO</t>
        </is>
      </c>
      <c r="B2933" s="144" t="inlineStr">
        <is>
          <t>*053299735 GA</t>
        </is>
      </c>
      <c r="C2933" s="144" t="inlineStr">
        <is>
          <t>PREFERRED</t>
        </is>
      </c>
      <c r="D2933" s="144" t="n">
        <v>3869352773</v>
      </c>
      <c r="E2933" s="144" t="inlineStr">
        <is>
          <t>FLAT</t>
        </is>
      </c>
      <c r="F2933" s="144" t="inlineStr">
        <is>
          <t>XE342U FL</t>
        </is>
      </c>
      <c r="G2933" s="144" t="inlineStr">
        <is>
          <t>BLUE VOLVO</t>
        </is>
      </c>
      <c r="H2933" s="144" t="n">
        <v>1221</v>
      </c>
      <c r="I2933" s="144" t="inlineStr">
        <is>
          <t>COMMERCIAL</t>
        </is>
      </c>
    </row>
    <row r="2934" ht="18" customHeight="1" s="7">
      <c r="A2934" s="144" t="inlineStr">
        <is>
          <t>ISLAMIDIN ABITOV</t>
        </is>
      </c>
      <c r="B2934" s="144" t="inlineStr">
        <is>
          <t>A13140096195 IL</t>
        </is>
      </c>
      <c r="C2934" s="144" t="inlineStr">
        <is>
          <t>KAVKAZ</t>
        </is>
      </c>
      <c r="D2934" s="144" t="n">
        <v>7735737387</v>
      </c>
      <c r="E2934" s="144" t="inlineStr">
        <is>
          <t>BOX</t>
        </is>
      </c>
      <c r="F2934" s="144" t="inlineStr">
        <is>
          <t>P1246478 IL</t>
        </is>
      </c>
      <c r="G2934" s="144" t="inlineStr">
        <is>
          <t>WHITE FREIGHTLINER</t>
        </is>
      </c>
      <c r="H2934" s="144" t="n">
        <v>1221</v>
      </c>
      <c r="I2934" s="144" t="inlineStr">
        <is>
          <t>COMMERCIAL</t>
        </is>
      </c>
    </row>
    <row r="2935" ht="18" customHeight="1" s="7">
      <c r="A2935" s="144" t="inlineStr">
        <is>
          <t>BRADLEY DAUGHTRY</t>
        </is>
      </c>
      <c r="B2935" s="144" t="inlineStr">
        <is>
          <t>*055973007 GA</t>
        </is>
      </c>
      <c r="C2935" s="144" t="inlineStr">
        <is>
          <t>UNIFIRST</t>
        </is>
      </c>
      <c r="D2935" s="144" t="n">
        <v>2298814424</v>
      </c>
      <c r="E2935" s="144" t="inlineStr">
        <is>
          <t>BOX</t>
        </is>
      </c>
      <c r="F2935" s="144" t="inlineStr">
        <is>
          <t>XJL523 GA</t>
        </is>
      </c>
      <c r="G2935" s="144" t="inlineStr">
        <is>
          <t>GREEN FREIGHTLINER</t>
        </is>
      </c>
      <c r="H2935" s="144" t="n">
        <v>5400</v>
      </c>
      <c r="I2935" s="144" t="inlineStr">
        <is>
          <t>COMMERCIAL</t>
        </is>
      </c>
    </row>
    <row r="2936" ht="18" customHeight="1" s="7">
      <c r="A2936" s="144" t="inlineStr">
        <is>
          <t>LARRY LYKINS</t>
        </is>
      </c>
      <c r="B2936" s="144" t="inlineStr">
        <is>
          <t>L95100392 KY</t>
        </is>
      </c>
      <c r="C2936" s="144" t="inlineStr">
        <is>
          <t>XLG TRANS</t>
        </is>
      </c>
      <c r="D2936" s="144" t="n">
        <v>6067763455</v>
      </c>
      <c r="E2936" s="144" t="inlineStr">
        <is>
          <t>FLAT</t>
        </is>
      </c>
      <c r="F2936" s="144" t="inlineStr">
        <is>
          <t>2876649 IN</t>
        </is>
      </c>
      <c r="G2936" s="144" t="inlineStr">
        <is>
          <t>YELLOW PETERBILT</t>
        </is>
      </c>
      <c r="H2936" s="144" t="n">
        <v>1221</v>
      </c>
      <c r="I2936" s="144" t="inlineStr">
        <is>
          <t>COMMERCIAL</t>
        </is>
      </c>
    </row>
    <row r="2937" ht="18" customHeight="1" s="7">
      <c r="A2937" s="144" t="inlineStr">
        <is>
          <t>JORGE GONZALEZ</t>
        </is>
      </c>
      <c r="B2937" s="144" t="inlineStr">
        <is>
          <t>*G524429843310 FL</t>
        </is>
      </c>
      <c r="C2937" s="144" t="inlineStr">
        <is>
          <t>JLZ TRANS</t>
        </is>
      </c>
      <c r="D2937" s="144" t="n">
        <v>3056997774</v>
      </c>
      <c r="E2937" s="144" t="inlineStr">
        <is>
          <t>FLAT</t>
        </is>
      </c>
      <c r="F2937" s="144" t="inlineStr">
        <is>
          <t>DF69FF FL</t>
        </is>
      </c>
      <c r="G2937" s="144" t="inlineStr">
        <is>
          <t>BLACK KENWORTH</t>
        </is>
      </c>
      <c r="H2937" s="144" t="n">
        <v>1221</v>
      </c>
      <c r="I2937" s="144" t="inlineStr">
        <is>
          <t>COMMERICAL</t>
        </is>
      </c>
    </row>
    <row r="2938" ht="18" customHeight="1" s="7">
      <c r="A2938" s="144" t="inlineStr">
        <is>
          <t>KEITH ISLER</t>
        </is>
      </c>
      <c r="B2938" s="144" t="inlineStr">
        <is>
          <t>056615109 GA</t>
        </is>
      </c>
      <c r="C2938" s="144" t="inlineStr">
        <is>
          <t>COMPANY SOUTHWAY</t>
        </is>
      </c>
      <c r="D2938" s="144" t="n">
        <v>8508411265</v>
      </c>
      <c r="E2938" s="144" t="inlineStr">
        <is>
          <t>PU</t>
        </is>
      </c>
      <c r="F2938" s="144" t="inlineStr">
        <is>
          <t>PQH1339 GA</t>
        </is>
      </c>
      <c r="G2938" s="144" t="inlineStr">
        <is>
          <t xml:space="preserve">WHITE DODGE </t>
        </is>
      </c>
      <c r="H2938" s="144" t="inlineStr">
        <is>
          <t>GATE 15</t>
        </is>
      </c>
      <c r="I2938" s="144" t="inlineStr">
        <is>
          <t>CONTRACTOR</t>
        </is>
      </c>
    </row>
    <row r="2939" ht="18" customHeight="1" s="7">
      <c r="A2939" s="144" t="inlineStr">
        <is>
          <t>ADAM MITCHELL</t>
        </is>
      </c>
      <c r="B2939" s="144" t="inlineStr">
        <is>
          <t>051142817 GA</t>
        </is>
      </c>
      <c r="C2939" s="144" t="inlineStr">
        <is>
          <t>CBSI</t>
        </is>
      </c>
      <c r="D2939" s="144" t="n">
        <v>4706948093</v>
      </c>
      <c r="E2939" s="144" t="inlineStr">
        <is>
          <t>PU</t>
        </is>
      </c>
      <c r="F2939" s="144" t="inlineStr">
        <is>
          <t>CVM294 GA</t>
        </is>
      </c>
      <c r="G2939" s="144" t="inlineStr">
        <is>
          <t>WHITE CHEV</t>
        </is>
      </c>
      <c r="H2939" s="144" t="n">
        <v>7501</v>
      </c>
      <c r="I2939" s="144" t="inlineStr">
        <is>
          <t>CONTRACTOR</t>
        </is>
      </c>
    </row>
    <row r="2940" ht="18" customHeight="1" s="7">
      <c r="A2940" s="144" t="inlineStr">
        <is>
          <t>HOUSTON ALLEN</t>
        </is>
      </c>
      <c r="B2940" s="144" t="inlineStr">
        <is>
          <t>056486746 GA</t>
        </is>
      </c>
      <c r="C2940" s="144" t="inlineStr">
        <is>
          <t>CBSI</t>
        </is>
      </c>
      <c r="D2940" s="144" t="n">
        <v>7069749785</v>
      </c>
      <c r="E2940" s="144" t="inlineStr">
        <is>
          <t>PU</t>
        </is>
      </c>
      <c r="F2940" s="144" t="inlineStr">
        <is>
          <t>CQH7291 GA</t>
        </is>
      </c>
      <c r="G2940" s="144" t="inlineStr">
        <is>
          <t>BLACK FORD</t>
        </is>
      </c>
      <c r="H2940" s="144" t="n">
        <v>7501</v>
      </c>
      <c r="I2940" s="144" t="inlineStr">
        <is>
          <t>CONTRACTOR</t>
        </is>
      </c>
    </row>
    <row r="2941" ht="18" customHeight="1" s="7">
      <c r="A2941" s="144" t="inlineStr">
        <is>
          <t>LEAVIN HILL</t>
        </is>
      </c>
      <c r="B2941" s="144" t="inlineStr">
        <is>
          <t>011393968 SC</t>
        </is>
      </c>
      <c r="C2941" s="144" t="inlineStr">
        <is>
          <t>MERCER TRANS</t>
        </is>
      </c>
      <c r="D2941" s="144" t="n">
        <v>8435921603</v>
      </c>
      <c r="E2941" s="144" t="inlineStr">
        <is>
          <t>FLAT</t>
        </is>
      </c>
      <c r="F2941" s="144" t="inlineStr">
        <is>
          <t>3009213 IN</t>
        </is>
      </c>
      <c r="G2941" s="144" t="inlineStr">
        <is>
          <t>BLUE PETERBILT</t>
        </is>
      </c>
      <c r="H2941" s="144" t="n">
        <v>1221</v>
      </c>
      <c r="I2941" s="144" t="inlineStr">
        <is>
          <t>COMMERICAL</t>
        </is>
      </c>
    </row>
    <row r="2942" ht="18" customHeight="1" s="7">
      <c r="A2942" s="144" t="inlineStr">
        <is>
          <t>WILLIAM PADGETT</t>
        </is>
      </c>
      <c r="B2942" s="144" t="inlineStr">
        <is>
          <t>060111181 GA</t>
        </is>
      </c>
      <c r="C2942" s="144" t="inlineStr">
        <is>
          <t>INDUSTRIAL MANUFACTURING</t>
        </is>
      </c>
      <c r="D2942" s="144" t="n">
        <v>2298883992</v>
      </c>
      <c r="E2942" s="144" t="inlineStr">
        <is>
          <t>PU</t>
        </is>
      </c>
      <c r="F2942" s="144" t="inlineStr">
        <is>
          <t>YHE532 GA</t>
        </is>
      </c>
      <c r="G2942" s="144" t="inlineStr">
        <is>
          <t>GRAY FORD</t>
        </is>
      </c>
      <c r="H2942" s="144" t="inlineStr">
        <is>
          <t>WATER PLANT</t>
        </is>
      </c>
      <c r="I2942" s="144" t="inlineStr">
        <is>
          <t>CONTRACTOR</t>
        </is>
      </c>
    </row>
    <row r="2943" ht="18" customHeight="1" s="7">
      <c r="A2943" s="144" t="inlineStr">
        <is>
          <t>MUMAMED SLJIVO</t>
        </is>
      </c>
      <c r="B2943" s="144" t="inlineStr">
        <is>
          <t>054603593 GA</t>
        </is>
      </c>
      <c r="C2943" s="144" t="inlineStr">
        <is>
          <t>HTL TRANS</t>
        </is>
      </c>
      <c r="D2943" s="144" t="n">
        <v>4045797720</v>
      </c>
      <c r="E2943" s="144" t="inlineStr">
        <is>
          <t>BOX</t>
        </is>
      </c>
      <c r="F2943" s="144" t="inlineStr">
        <is>
          <t>C130CU GA</t>
        </is>
      </c>
      <c r="G2943" s="144" t="inlineStr">
        <is>
          <t>BLACK FREIGHTLINER</t>
        </is>
      </c>
      <c r="H2943" s="144" t="n">
        <v>1221</v>
      </c>
      <c r="I2943" s="144" t="inlineStr">
        <is>
          <t>COMMERICAL</t>
        </is>
      </c>
    </row>
    <row r="2944" ht="18" customHeight="1" s="7">
      <c r="A2944" s="144" t="inlineStr">
        <is>
          <t>ALEZANDRO MOORE</t>
        </is>
      </c>
      <c r="B2944" s="144" t="inlineStr">
        <is>
          <t>032918946 GA</t>
        </is>
      </c>
      <c r="C2944" s="144" t="inlineStr">
        <is>
          <t>KLB SOUTH</t>
        </is>
      </c>
      <c r="D2944" s="144" t="n">
        <v>2296729696</v>
      </c>
      <c r="E2944" s="144" t="inlineStr">
        <is>
          <t>BOX</t>
        </is>
      </c>
      <c r="F2944" s="144" t="inlineStr">
        <is>
          <t>XE127Z FL</t>
        </is>
      </c>
      <c r="G2944" s="144" t="inlineStr">
        <is>
          <t>WHITE FREIGHTLINER</t>
        </is>
      </c>
      <c r="H2944" s="144" t="n">
        <v>7500</v>
      </c>
      <c r="I2944" s="144" t="inlineStr">
        <is>
          <t>COMMERICAL</t>
        </is>
      </c>
    </row>
    <row r="2945" ht="18" customHeight="1" s="7">
      <c r="A2945" s="144" t="inlineStr">
        <is>
          <t>AREGAY GEBREMARIAM</t>
        </is>
      </c>
      <c r="B2945" s="144" t="inlineStr">
        <is>
          <t>070936052 GA</t>
        </is>
      </c>
      <c r="C2945" s="144" t="inlineStr">
        <is>
          <t>MLBD TRANS</t>
        </is>
      </c>
      <c r="D2945" s="144" t="n">
        <v>6053605822</v>
      </c>
      <c r="E2945" s="144" t="inlineStr">
        <is>
          <t>BOX</t>
        </is>
      </c>
      <c r="F2945" s="144" t="inlineStr">
        <is>
          <t>C075FC GA</t>
        </is>
      </c>
      <c r="G2945" s="144" t="inlineStr">
        <is>
          <t>WHITE FREIGHTLINER</t>
        </is>
      </c>
      <c r="H2945" s="144" t="n">
        <v>1221</v>
      </c>
      <c r="I2945" s="144" t="inlineStr">
        <is>
          <t>COMMERICAL</t>
        </is>
      </c>
    </row>
    <row r="2946" ht="18" customHeight="1" s="7">
      <c r="A2946" s="144" t="inlineStr">
        <is>
          <t>COUKOULIS PETER</t>
        </is>
      </c>
      <c r="B2946" s="144" t="inlineStr">
        <is>
          <t>C242662902890</t>
        </is>
      </c>
      <c r="C2946" s="144" t="inlineStr">
        <is>
          <t>LL ELECTRIC</t>
        </is>
      </c>
      <c r="D2946" s="144" t="n">
        <v>850562411</v>
      </c>
      <c r="E2946" s="144" t="inlineStr">
        <is>
          <t>PU</t>
        </is>
      </c>
      <c r="F2946" s="144" t="inlineStr">
        <is>
          <t>86DUDT FL</t>
        </is>
      </c>
      <c r="G2946" s="144" t="inlineStr">
        <is>
          <t>WHITE FORD</t>
        </is>
      </c>
      <c r="H2946" s="144" t="inlineStr">
        <is>
          <t>GAME WARDEN</t>
        </is>
      </c>
      <c r="I2946" s="144" t="inlineStr">
        <is>
          <t>CONTRACTOR</t>
        </is>
      </c>
    </row>
    <row r="2947" ht="18" customHeight="1" s="7">
      <c r="A2947" s="144" t="inlineStr">
        <is>
          <t>ROOSEVELT WILLIAMS</t>
        </is>
      </c>
      <c r="B2947" s="144" t="inlineStr">
        <is>
          <t>052745885 GA</t>
        </is>
      </c>
      <c r="C2947" s="144" t="inlineStr">
        <is>
          <t>GARDNERS</t>
        </is>
      </c>
      <c r="D2947" s="144" t="n">
        <v>2292056375</v>
      </c>
      <c r="E2947" s="144" t="inlineStr">
        <is>
          <t>BOX</t>
        </is>
      </c>
      <c r="F2947" s="144" t="inlineStr">
        <is>
          <t>C072EU GA</t>
        </is>
      </c>
      <c r="G2947" s="144" t="inlineStr">
        <is>
          <t>WHITE FREIGHTLINER</t>
        </is>
      </c>
      <c r="H2947" s="144" t="n">
        <v>1221</v>
      </c>
      <c r="I2947" s="144" t="inlineStr">
        <is>
          <t>COMMERICAL</t>
        </is>
      </c>
    </row>
    <row r="2948" ht="18" customHeight="1" s="7">
      <c r="A2948" s="144" t="inlineStr">
        <is>
          <t>DERRICK SUTTON</t>
        </is>
      </c>
      <c r="B2948" s="144" t="inlineStr">
        <is>
          <t>054012945 GA</t>
        </is>
      </c>
      <c r="C2948" s="144" t="inlineStr">
        <is>
          <t>T FORCE</t>
        </is>
      </c>
      <c r="D2948" s="144" t="n">
        <v>229388000</v>
      </c>
      <c r="E2948" s="144" t="inlineStr">
        <is>
          <t>BOX</t>
        </is>
      </c>
      <c r="F2948" s="144" t="inlineStr">
        <is>
          <t>3180410 IN</t>
        </is>
      </c>
      <c r="G2948" s="144" t="inlineStr">
        <is>
          <t>WHITE KENWORTH</t>
        </is>
      </c>
      <c r="H2948" s="144" t="n">
        <v>1221</v>
      </c>
      <c r="I2948" s="144" t="inlineStr">
        <is>
          <t>COMMERICAL</t>
        </is>
      </c>
    </row>
    <row r="2949" ht="18" customHeight="1" s="7">
      <c r="A2949" s="144" t="inlineStr">
        <is>
          <t>MICHEAL DEDINA</t>
        </is>
      </c>
      <c r="B2949" s="144" t="inlineStr">
        <is>
          <t>10434064 AL</t>
        </is>
      </c>
      <c r="C2949" s="144" t="inlineStr">
        <is>
          <t>AUTOMATED DOOR</t>
        </is>
      </c>
      <c r="D2949" s="144" t="n">
        <v>7066534302</v>
      </c>
      <c r="E2949" s="144" t="inlineStr">
        <is>
          <t>VAN</t>
        </is>
      </c>
      <c r="F2949" s="144" t="inlineStr">
        <is>
          <t>SAK6883 GA</t>
        </is>
      </c>
      <c r="G2949" s="144" t="inlineStr">
        <is>
          <t>WHITE FORD</t>
        </is>
      </c>
      <c r="H2949" s="144" t="n">
        <v>1221</v>
      </c>
      <c r="I2949" s="144" t="inlineStr">
        <is>
          <t>CONTRACTOR</t>
        </is>
      </c>
    </row>
    <row r="2950" ht="18" customHeight="1" s="7">
      <c r="A2950" s="144" t="inlineStr">
        <is>
          <t>POGULIS SALVIS</t>
        </is>
      </c>
      <c r="B2950" s="144" t="inlineStr">
        <is>
          <t>P217189582000</t>
        </is>
      </c>
      <c r="C2950" s="144" t="inlineStr">
        <is>
          <t>FINCO</t>
        </is>
      </c>
      <c r="D2950" s="144" t="n">
        <v>4077567900</v>
      </c>
      <c r="E2950" s="144" t="inlineStr">
        <is>
          <t>BOX</t>
        </is>
      </c>
      <c r="F2950" s="144" t="inlineStr">
        <is>
          <t>P1235446 IL</t>
        </is>
      </c>
      <c r="G2950" s="144" t="inlineStr">
        <is>
          <t>BLACK FREIGHTLINER</t>
        </is>
      </c>
      <c r="H2950" s="144" t="n">
        <v>1221</v>
      </c>
      <c r="I2950" s="144" t="inlineStr">
        <is>
          <t>COMMERICAL</t>
        </is>
      </c>
    </row>
    <row r="2951" ht="18" customHeight="1" s="7">
      <c r="A2951" s="144" t="inlineStr">
        <is>
          <t>JARMAR MCQUEEN</t>
        </is>
      </c>
      <c r="B2951" s="144" t="inlineStr">
        <is>
          <t>057525036 GA</t>
        </is>
      </c>
      <c r="C2951" s="144" t="inlineStr">
        <is>
          <t>CARRIES EXPRESS</t>
        </is>
      </c>
      <c r="D2951" s="144" t="n">
        <v>2295395488</v>
      </c>
      <c r="E2951" s="144" t="inlineStr">
        <is>
          <t>VAN</t>
        </is>
      </c>
      <c r="F2951" s="144" t="inlineStr">
        <is>
          <t>DCD1083 GA</t>
        </is>
      </c>
      <c r="G2951" s="144" t="inlineStr">
        <is>
          <t>WHITE CHEV</t>
        </is>
      </c>
      <c r="H2951" s="144" t="inlineStr">
        <is>
          <t>HOUSING</t>
        </is>
      </c>
      <c r="I2951" s="144" t="inlineStr">
        <is>
          <t>CONTRACTOR</t>
        </is>
      </c>
    </row>
    <row r="2952" ht="18" customHeight="1" s="7">
      <c r="A2952" s="144" t="inlineStr">
        <is>
          <t>RODERICK BENTON</t>
        </is>
      </c>
      <c r="B2952" s="144" t="inlineStr">
        <is>
          <t>5552294 AL</t>
        </is>
      </c>
      <c r="C2952" s="144" t="inlineStr">
        <is>
          <t>KNT LOGISTIC</t>
        </is>
      </c>
      <c r="D2952" s="144" t="n">
        <v>7065938485</v>
      </c>
      <c r="E2952" s="144" t="inlineStr">
        <is>
          <t>BOX</t>
        </is>
      </c>
      <c r="F2952" s="144" t="inlineStr">
        <is>
          <t>1186013 OK</t>
        </is>
      </c>
      <c r="G2952" s="144" t="inlineStr">
        <is>
          <t>WHITE FREIGHTLINER</t>
        </is>
      </c>
      <c r="H2952" s="144" t="n">
        <v>1221</v>
      </c>
      <c r="I2952" s="144" t="inlineStr">
        <is>
          <t>COMMERICAL</t>
        </is>
      </c>
    </row>
    <row r="2953" ht="18" customHeight="1" s="7">
      <c r="A2953" s="144" t="inlineStr">
        <is>
          <t>JAMES GILLMORE</t>
        </is>
      </c>
      <c r="B2953" s="144" t="inlineStr">
        <is>
          <t>17626579 PA</t>
        </is>
      </c>
      <c r="C2953" s="144" t="inlineStr">
        <is>
          <t>WRIGHT EXPRESS</t>
        </is>
      </c>
      <c r="D2953" s="144" t="n">
        <v>7175790655</v>
      </c>
      <c r="E2953" s="144" t="inlineStr">
        <is>
          <t>BOX</t>
        </is>
      </c>
      <c r="F2953" s="144" t="inlineStr">
        <is>
          <t>AH22941 PA</t>
        </is>
      </c>
      <c r="G2953" s="144" t="inlineStr">
        <is>
          <t>BLUE KENWORTH</t>
        </is>
      </c>
      <c r="H2953" s="144" t="n">
        <v>1221</v>
      </c>
      <c r="I2953" s="144" t="inlineStr">
        <is>
          <t>COMMERICAL</t>
        </is>
      </c>
    </row>
    <row r="2954" ht="18" customHeight="1" s="7">
      <c r="A2954" s="144" t="inlineStr">
        <is>
          <t>GARY SADDLER</t>
        </is>
      </c>
      <c r="B2954" s="144" t="inlineStr">
        <is>
          <t>051556624 GA</t>
        </is>
      </c>
      <c r="C2954" s="144" t="inlineStr">
        <is>
          <t>ATLANTA DASH</t>
        </is>
      </c>
      <c r="D2954" s="144" t="n">
        <v>4049815189</v>
      </c>
      <c r="E2954" s="144" t="inlineStr">
        <is>
          <t>VAN</t>
        </is>
      </c>
      <c r="F2954" s="144" t="inlineStr">
        <is>
          <t xml:space="preserve">TCS9142 GA </t>
        </is>
      </c>
      <c r="G2954" s="144" t="inlineStr">
        <is>
          <t>WHITE NISSAN</t>
        </is>
      </c>
      <c r="H2954" s="144" t="n">
        <v>1221</v>
      </c>
      <c r="I2954" s="144" t="inlineStr">
        <is>
          <t>COMMERICAL</t>
        </is>
      </c>
    </row>
    <row r="2955" ht="18" customHeight="1" s="7">
      <c r="A2955" s="144" t="inlineStr">
        <is>
          <t>JAMES FLOWERS</t>
        </is>
      </c>
      <c r="B2955" s="144" t="inlineStr">
        <is>
          <t>3440784 AL</t>
        </is>
      </c>
      <c r="C2955" s="144" t="inlineStr">
        <is>
          <t>RHETT TRUCKING</t>
        </is>
      </c>
      <c r="D2955" s="144" t="n">
        <v>2053532370</v>
      </c>
      <c r="E2955" s="144" t="inlineStr">
        <is>
          <t>FLAT</t>
        </is>
      </c>
      <c r="F2955" s="144" t="inlineStr">
        <is>
          <t>1178877 AL</t>
        </is>
      </c>
      <c r="G2955" s="144" t="inlineStr">
        <is>
          <t>RED KENWORTH</t>
        </is>
      </c>
      <c r="H2955" s="144" t="n">
        <v>1221</v>
      </c>
      <c r="I2955" s="144" t="inlineStr">
        <is>
          <t>COMMERICAL</t>
        </is>
      </c>
    </row>
    <row r="2956" ht="18" customHeight="1" s="7">
      <c r="A2956" s="144" t="inlineStr">
        <is>
          <t>DANNY DEAN</t>
        </is>
      </c>
      <c r="B2956" s="144" t="inlineStr">
        <is>
          <t>M59166341 AZ</t>
        </is>
      </c>
      <c r="C2956" s="144" t="inlineStr">
        <is>
          <t>GREEN VALLEY TRAN</t>
        </is>
      </c>
      <c r="D2956" s="144" t="n">
        <v>6192474549</v>
      </c>
      <c r="E2956" s="144" t="inlineStr">
        <is>
          <t>BOX</t>
        </is>
      </c>
      <c r="F2956" s="144" t="inlineStr">
        <is>
          <t>T7888HY TN</t>
        </is>
      </c>
      <c r="G2956" s="144" t="inlineStr">
        <is>
          <t>WHITE FREIGHTLINER</t>
        </is>
      </c>
      <c r="H2956" s="144" t="n">
        <v>1221</v>
      </c>
      <c r="I2956" s="144" t="inlineStr">
        <is>
          <t>COMMERICAL</t>
        </is>
      </c>
    </row>
    <row r="2957" ht="18" customHeight="1" s="7">
      <c r="A2957" s="144" t="inlineStr">
        <is>
          <t>VICTOR SIMMONS</t>
        </is>
      </c>
      <c r="B2957" s="144" t="inlineStr">
        <is>
          <t>01680221 TX</t>
        </is>
      </c>
      <c r="C2957" s="144" t="inlineStr">
        <is>
          <t>FRIGOLET</t>
        </is>
      </c>
      <c r="D2957" s="144" t="n">
        <v>8064406640</v>
      </c>
      <c r="E2957" s="144" t="inlineStr">
        <is>
          <t>PU</t>
        </is>
      </c>
      <c r="F2957" s="144" t="inlineStr">
        <is>
          <t>WSC1174 TX</t>
        </is>
      </c>
      <c r="G2957" s="144" t="inlineStr">
        <is>
          <t>BLACK CHEV</t>
        </is>
      </c>
      <c r="H2957" s="144" t="n">
        <v>1221</v>
      </c>
      <c r="I2957" s="144" t="inlineStr">
        <is>
          <t>CONTRACTOR</t>
        </is>
      </c>
    </row>
    <row r="2958" ht="18" customHeight="1" s="7">
      <c r="A2958" s="144" t="inlineStr">
        <is>
          <t>TERIVIO DAY</t>
        </is>
      </c>
      <c r="B2958" s="144" t="inlineStr">
        <is>
          <t>D000812904170 FL</t>
        </is>
      </c>
      <c r="C2958" s="144" t="inlineStr">
        <is>
          <t>CDT</t>
        </is>
      </c>
      <c r="D2958" s="144" t="n">
        <v>3522404944</v>
      </c>
      <c r="E2958" s="144" t="inlineStr">
        <is>
          <t>FLAT</t>
        </is>
      </c>
      <c r="F2958" s="144" t="inlineStr">
        <is>
          <t>DF27HC FL</t>
        </is>
      </c>
      <c r="G2958" s="144" t="inlineStr">
        <is>
          <t>ORANGE VOLVO</t>
        </is>
      </c>
      <c r="H2958" s="144" t="inlineStr">
        <is>
          <t>GATE 15</t>
        </is>
      </c>
      <c r="I2958" s="144" t="inlineStr">
        <is>
          <t>COMMERICAL</t>
        </is>
      </c>
    </row>
    <row r="2959" ht="18" customHeight="1" s="7">
      <c r="A2959" s="144" t="inlineStr">
        <is>
          <t>JARU YOUNG</t>
        </is>
      </c>
      <c r="B2959" s="144" t="inlineStr">
        <is>
          <t>060610572 GA</t>
        </is>
      </c>
      <c r="C2959" s="144" t="inlineStr">
        <is>
          <t>LANDSTAR</t>
        </is>
      </c>
      <c r="D2959" s="144" t="n">
        <v>9548185190</v>
      </c>
      <c r="E2959" s="144" t="inlineStr">
        <is>
          <t>BOX</t>
        </is>
      </c>
      <c r="F2959" s="144" t="inlineStr">
        <is>
          <t>3732355 IN</t>
        </is>
      </c>
      <c r="G2959" s="144" t="inlineStr">
        <is>
          <t>WHITE VOLVO</t>
        </is>
      </c>
      <c r="H2959" s="144" t="n">
        <v>1221</v>
      </c>
      <c r="I2959" s="144" t="inlineStr">
        <is>
          <t>COMMERICAL</t>
        </is>
      </c>
    </row>
    <row r="2960" ht="18" customHeight="1" s="7">
      <c r="A2960" s="144" t="inlineStr">
        <is>
          <t>IOAN MONDOCA</t>
        </is>
      </c>
      <c r="B2960" s="144" t="inlineStr">
        <is>
          <t>071327831 GA</t>
        </is>
      </c>
      <c r="C2960" s="144" t="inlineStr">
        <is>
          <t>CONDOR TRANS</t>
        </is>
      </c>
      <c r="D2960" s="144" t="n">
        <v>4255242385</v>
      </c>
      <c r="E2960" s="144" t="inlineStr">
        <is>
          <t>BOX</t>
        </is>
      </c>
      <c r="F2960" s="144" t="inlineStr">
        <is>
          <t>C037EY GA</t>
        </is>
      </c>
      <c r="G2960" s="144" t="inlineStr">
        <is>
          <t>WHITE VOLVO</t>
        </is>
      </c>
      <c r="H2960" s="144" t="n">
        <v>1221</v>
      </c>
      <c r="I2960" s="144" t="inlineStr">
        <is>
          <t>COMMERIAL</t>
        </is>
      </c>
    </row>
    <row r="2961" ht="18" customHeight="1" s="7">
      <c r="A2961" s="144" t="inlineStr">
        <is>
          <t>CHRISTOPHER HARRIS</t>
        </is>
      </c>
      <c r="B2961" s="144" t="inlineStr">
        <is>
          <t>51930594 TX</t>
        </is>
      </c>
      <c r="C2961" s="144" t="inlineStr">
        <is>
          <t>ALEDO TRANS</t>
        </is>
      </c>
      <c r="D2961" s="144" t="n">
        <v>6157957403</v>
      </c>
      <c r="E2961" s="144" t="inlineStr">
        <is>
          <t>BOX</t>
        </is>
      </c>
      <c r="F2961" s="144" t="inlineStr">
        <is>
          <t>56063Z WI</t>
        </is>
      </c>
      <c r="G2961" s="144" t="inlineStr">
        <is>
          <t>BLUE VOLVO</t>
        </is>
      </c>
      <c r="H2961" s="144" t="n">
        <v>1221</v>
      </c>
      <c r="I2961" s="144" t="inlineStr">
        <is>
          <t>COMMERICAL</t>
        </is>
      </c>
    </row>
    <row r="2962" ht="18" customHeight="1" s="7">
      <c r="A2962" s="144" t="inlineStr">
        <is>
          <t>ROBERT GODWIN</t>
        </is>
      </c>
      <c r="B2962" s="144" t="inlineStr">
        <is>
          <t>G350765691630 FL</t>
        </is>
      </c>
      <c r="C2962" s="144" t="inlineStr">
        <is>
          <t>SINEX</t>
        </is>
      </c>
      <c r="D2962" s="144" t="n">
        <v>571437825</v>
      </c>
      <c r="E2962" s="144" t="inlineStr">
        <is>
          <t>BOX</t>
        </is>
      </c>
      <c r="F2962" s="144" t="inlineStr">
        <is>
          <t>PAV0436 MS</t>
        </is>
      </c>
      <c r="G2962" s="144" t="inlineStr">
        <is>
          <t>GRAY INTERNATIONAL</t>
        </is>
      </c>
      <c r="H2962" s="144" t="n">
        <v>1221</v>
      </c>
      <c r="I2962" s="144" t="inlineStr">
        <is>
          <t>COMMERICAL</t>
        </is>
      </c>
    </row>
    <row r="2963" ht="18" customHeight="1" s="7">
      <c r="A2963" s="144" t="inlineStr">
        <is>
          <t>ROBERTS BURTON</t>
        </is>
      </c>
      <c r="B2963" s="144" t="inlineStr">
        <is>
          <t>*049241664 GA</t>
        </is>
      </c>
      <c r="C2963" s="144" t="inlineStr">
        <is>
          <t>DSC-EMI</t>
        </is>
      </c>
      <c r="D2963" s="144" t="n">
        <v>2298817789</v>
      </c>
      <c r="E2963" s="144" t="inlineStr">
        <is>
          <t>PU</t>
        </is>
      </c>
      <c r="F2963" s="144" t="inlineStr">
        <is>
          <t>TAE8496 NC</t>
        </is>
      </c>
      <c r="G2963" s="144" t="inlineStr">
        <is>
          <t>WHITE CHEVY</t>
        </is>
      </c>
      <c r="H2963" s="144" t="n">
        <v>5651</v>
      </c>
      <c r="I2963" s="144" t="inlineStr">
        <is>
          <t>CONTRACTOR</t>
        </is>
      </c>
    </row>
    <row r="2964" ht="18" customHeight="1" s="7">
      <c r="A2964" s="144" t="inlineStr">
        <is>
          <t>PHELPS ZACHARY</t>
        </is>
      </c>
      <c r="B2964" s="144" t="inlineStr">
        <is>
          <t>P232192314000 FL</t>
        </is>
      </c>
      <c r="C2964" s="144" t="inlineStr">
        <is>
          <t>CDT</t>
        </is>
      </c>
      <c r="D2964" s="144" t="n">
        <v>8285134667</v>
      </c>
      <c r="E2964" s="144" t="inlineStr">
        <is>
          <t>FLAT</t>
        </is>
      </c>
      <c r="F2964" s="144" t="inlineStr">
        <is>
          <t>DF65HC FL</t>
        </is>
      </c>
      <c r="G2964" s="144" t="inlineStr">
        <is>
          <t>ORANGE KENWORTH</t>
        </is>
      </c>
      <c r="H2964" s="144" t="inlineStr">
        <is>
          <t>GATE1/5</t>
        </is>
      </c>
      <c r="I2964" s="144" t="inlineStr">
        <is>
          <t>COMMERCIAL</t>
        </is>
      </c>
    </row>
    <row r="2965" ht="18" customHeight="1" s="7">
      <c r="A2965" s="144" t="inlineStr">
        <is>
          <t>KAPRIS BATTLE</t>
        </is>
      </c>
      <c r="B2965" s="144" t="inlineStr">
        <is>
          <t>*058150118 GA</t>
        </is>
      </c>
      <c r="C2965" s="144" t="inlineStr">
        <is>
          <t>CHI LOGISTIC</t>
        </is>
      </c>
      <c r="D2965" s="144" t="n">
        <v>2298055911</v>
      </c>
      <c r="E2965" s="144" t="inlineStr">
        <is>
          <t>BOX</t>
        </is>
      </c>
      <c r="F2965" s="144" t="inlineStr">
        <is>
          <t>P1255289 IL</t>
        </is>
      </c>
      <c r="G2965" s="144" t="inlineStr">
        <is>
          <t>WHITE FREIGHTLINER</t>
        </is>
      </c>
      <c r="H2965" s="144" t="n">
        <v>1221</v>
      </c>
      <c r="I2965" s="144" t="inlineStr">
        <is>
          <t>COMMERCIAL</t>
        </is>
      </c>
    </row>
    <row r="2966" ht="18" customHeight="1" s="7">
      <c r="A2966" s="144" t="inlineStr">
        <is>
          <t>JACOB FINCANNON</t>
        </is>
      </c>
      <c r="B2966" s="144" t="inlineStr">
        <is>
          <t>*058332198 GA</t>
        </is>
      </c>
      <c r="C2966" s="144" t="inlineStr">
        <is>
          <t>WILSON SAFE</t>
        </is>
      </c>
      <c r="D2966" s="144" t="n">
        <v>7066542662</v>
      </c>
      <c r="E2966" s="144" t="inlineStr">
        <is>
          <t>PU</t>
        </is>
      </c>
      <c r="F2966" s="144" t="inlineStr">
        <is>
          <t>RFZ7079 GA</t>
        </is>
      </c>
      <c r="G2966" s="144" t="inlineStr">
        <is>
          <t>WHITE FORD</t>
        </is>
      </c>
      <c r="H2966" s="144" t="n">
        <v>7500</v>
      </c>
      <c r="I2966" s="144" t="inlineStr">
        <is>
          <t>CONTRACTOR</t>
        </is>
      </c>
    </row>
    <row r="2967" ht="18" customHeight="1" s="7">
      <c r="A2967" s="144" t="inlineStr">
        <is>
          <t>WILLIAM MACLAUGHLIN III</t>
        </is>
      </c>
      <c r="B2967" s="144" t="inlineStr">
        <is>
          <t>*049032510 GA</t>
        </is>
      </c>
      <c r="C2967" s="144" t="inlineStr">
        <is>
          <t>GT WRECKER</t>
        </is>
      </c>
      <c r="D2967" s="144" t="n">
        <v>2292927014</v>
      </c>
      <c r="E2967" s="144" t="inlineStr">
        <is>
          <t>FLAT</t>
        </is>
      </c>
      <c r="F2967" s="144" t="inlineStr">
        <is>
          <t>C123DS GA</t>
        </is>
      </c>
      <c r="G2967" s="144" t="inlineStr">
        <is>
          <t>WHITE FREIGHTLINER</t>
        </is>
      </c>
      <c r="H2967" s="144" t="n">
        <v>2200</v>
      </c>
      <c r="I2967" s="144" t="inlineStr">
        <is>
          <t>COMMERCIAL</t>
        </is>
      </c>
    </row>
    <row r="2968" ht="18" customHeight="1" s="7">
      <c r="A2968" s="144" t="inlineStr">
        <is>
          <t>CHARLES MANNING</t>
        </is>
      </c>
      <c r="B2968" s="144" t="inlineStr">
        <is>
          <t>*6220265 AL</t>
        </is>
      </c>
      <c r="C2968" s="144" t="inlineStr">
        <is>
          <t>ROBBIE D WOOD</t>
        </is>
      </c>
      <c r="D2968" s="144" t="n">
        <v>2053948478</v>
      </c>
      <c r="E2968" s="144" t="inlineStr">
        <is>
          <t>DUMP</t>
        </is>
      </c>
      <c r="F2968" s="144" t="inlineStr">
        <is>
          <t>1213054 AL</t>
        </is>
      </c>
      <c r="G2968" s="144" t="inlineStr">
        <is>
          <t>RED KENWORTH</t>
        </is>
      </c>
      <c r="H2968" s="144" t="n">
        <v>1630</v>
      </c>
      <c r="I2968" s="144" t="inlineStr">
        <is>
          <t>COMMERCIAL</t>
        </is>
      </c>
    </row>
    <row r="2969" ht="18" customHeight="1" s="7">
      <c r="A2969" s="144" t="inlineStr">
        <is>
          <t>MCCORMICK CAREY</t>
        </is>
      </c>
      <c r="B2969" s="144" t="inlineStr">
        <is>
          <t>M265112731270 FL</t>
        </is>
      </c>
      <c r="C2969" s="144" t="inlineStr">
        <is>
          <t>CDT</t>
        </is>
      </c>
      <c r="D2969" s="144" t="n">
        <v>3522461619</v>
      </c>
      <c r="E2969" s="144" t="inlineStr">
        <is>
          <t>FLAT</t>
        </is>
      </c>
      <c r="F2969" s="144" t="inlineStr">
        <is>
          <t>DF10HD FL</t>
        </is>
      </c>
      <c r="G2969" s="144" t="inlineStr">
        <is>
          <t>PINKY KENWORTH</t>
        </is>
      </c>
      <c r="H2969" s="144" t="inlineStr">
        <is>
          <t>GATE1/5</t>
        </is>
      </c>
      <c r="I2969" s="144" t="inlineStr">
        <is>
          <t>COMMERCIAL</t>
        </is>
      </c>
    </row>
    <row r="2970" ht="18" customHeight="1" s="7">
      <c r="A2970" s="144" t="inlineStr">
        <is>
          <t>CABA-PRESCOTT CANDIDA</t>
        </is>
      </c>
      <c r="B2970" s="144" t="inlineStr">
        <is>
          <t>C116116648280 FL</t>
        </is>
      </c>
      <c r="C2970" s="144" t="inlineStr">
        <is>
          <t>LANDSTAR</t>
        </is>
      </c>
      <c r="D2970" s="144" t="n">
        <v>3124422159</v>
      </c>
      <c r="E2970" s="144" t="inlineStr">
        <is>
          <t>BOX</t>
        </is>
      </c>
      <c r="F2970" s="144" t="inlineStr">
        <is>
          <t>3611541 IND</t>
        </is>
      </c>
      <c r="G2970" s="144" t="inlineStr">
        <is>
          <t>WHITE FREIGHTLINER</t>
        </is>
      </c>
      <c r="H2970" s="144" t="n">
        <v>1221</v>
      </c>
      <c r="I2970" s="144" t="inlineStr">
        <is>
          <t>COMMERCIAL</t>
        </is>
      </c>
    </row>
    <row r="2971" ht="18" customHeight="1" s="7">
      <c r="A2971" s="144" t="inlineStr">
        <is>
          <t>BAI APISALOME</t>
        </is>
      </c>
      <c r="B2971" s="144" t="inlineStr">
        <is>
          <t>224397414 UT</t>
        </is>
      </c>
      <c r="C2971" s="144" t="inlineStr">
        <is>
          <t>SUN RISE</t>
        </is>
      </c>
      <c r="D2971" s="144" t="n">
        <v>9166646634</v>
      </c>
      <c r="E2971" s="144" t="inlineStr">
        <is>
          <t>BOX</t>
        </is>
      </c>
      <c r="F2971" s="144" t="inlineStr">
        <is>
          <t>ZP17740 CA</t>
        </is>
      </c>
      <c r="G2971" s="144" t="inlineStr">
        <is>
          <t>WHITE VOLVO</t>
        </is>
      </c>
      <c r="H2971" s="144" t="n">
        <v>1221</v>
      </c>
      <c r="I2971" s="144" t="inlineStr">
        <is>
          <t>COMMERCIAL</t>
        </is>
      </c>
    </row>
    <row r="2972" ht="18" customHeight="1" s="7">
      <c r="A2972" s="144" t="inlineStr">
        <is>
          <t>VILANOVA MICHEAL</t>
        </is>
      </c>
      <c r="B2972" s="144" t="inlineStr">
        <is>
          <t>V451540804180 FL</t>
        </is>
      </c>
      <c r="C2972" s="144" t="inlineStr">
        <is>
          <t xml:space="preserve">REAL KING </t>
        </is>
      </c>
      <c r="D2972" s="144" t="n">
        <v>7863932427</v>
      </c>
      <c r="E2972" s="144" t="inlineStr">
        <is>
          <t>BOX</t>
        </is>
      </c>
      <c r="F2972" s="144" t="inlineStr">
        <is>
          <t>XE747I FL</t>
        </is>
      </c>
      <c r="G2972" s="144" t="inlineStr">
        <is>
          <t>BLACK FREIGHTLINER</t>
        </is>
      </c>
      <c r="H2972" s="144" t="n">
        <v>1221</v>
      </c>
      <c r="I2972" s="144" t="inlineStr">
        <is>
          <t>COMMERCIAL</t>
        </is>
      </c>
    </row>
    <row r="2973" ht="18" customHeight="1" s="7">
      <c r="A2973" s="144" t="inlineStr">
        <is>
          <t>TRAKINA SPENCER</t>
        </is>
      </c>
      <c r="B2973" s="144" t="inlineStr">
        <is>
          <t>*054357006 GA</t>
        </is>
      </c>
      <c r="C2973" s="144" t="inlineStr">
        <is>
          <t>BLUE SKY</t>
        </is>
      </c>
      <c r="D2973" s="144" t="n">
        <v>7707319831</v>
      </c>
      <c r="E2973" s="144" t="inlineStr">
        <is>
          <t>BOX</t>
        </is>
      </c>
      <c r="F2973" s="144" t="inlineStr">
        <is>
          <t>C966DU GA</t>
        </is>
      </c>
      <c r="G2973" s="144" t="inlineStr">
        <is>
          <t>WHITE FREIGHTLINER</t>
        </is>
      </c>
      <c r="H2973" s="144" t="n">
        <v>1221</v>
      </c>
      <c r="I2973" s="144" t="inlineStr">
        <is>
          <t>COMMERCIAL</t>
        </is>
      </c>
    </row>
    <row r="2974" ht="18" customHeight="1" s="7">
      <c r="A2974" s="144" t="inlineStr">
        <is>
          <t>TYLER PLYE</t>
        </is>
      </c>
      <c r="B2974" s="144" t="inlineStr">
        <is>
          <t>*P215753546000 FL</t>
        </is>
      </c>
      <c r="C2974" s="144" t="inlineStr">
        <is>
          <t>MOBEDDA</t>
        </is>
      </c>
      <c r="D2974" s="144" t="n">
        <v>7278318504</v>
      </c>
      <c r="E2974" s="144" t="inlineStr">
        <is>
          <t>FLAT</t>
        </is>
      </c>
      <c r="F2974" s="144" t="inlineStr">
        <is>
          <t>P1312586 IL</t>
        </is>
      </c>
      <c r="G2974" s="144" t="inlineStr">
        <is>
          <t>WHITE FREIGHTLINER</t>
        </is>
      </c>
      <c r="H2974" s="144" t="n">
        <v>1221</v>
      </c>
      <c r="I2974" s="144" t="inlineStr">
        <is>
          <t>COMMERICAL</t>
        </is>
      </c>
    </row>
    <row r="2975" ht="18" customHeight="1" s="7">
      <c r="A2975" s="144" t="inlineStr">
        <is>
          <t>WILLIAM MURPHY</t>
        </is>
      </c>
      <c r="B2975" s="144" t="inlineStr">
        <is>
          <t>053289430 GA</t>
        </is>
      </c>
      <c r="C2975" s="144" t="inlineStr">
        <is>
          <t>JIM BOYD CONSTRUCTION</t>
        </is>
      </c>
      <c r="D2975" s="144" t="n">
        <v>2294209898</v>
      </c>
      <c r="E2975" s="144" t="inlineStr">
        <is>
          <t>VAC HALL</t>
        </is>
      </c>
      <c r="F2975" s="144" t="inlineStr">
        <is>
          <t>GEL635 GA</t>
        </is>
      </c>
      <c r="G2975" s="144" t="inlineStr">
        <is>
          <t>WHITE FREIGHTLINER</t>
        </is>
      </c>
      <c r="H2975" s="144" t="inlineStr">
        <is>
          <t>BASEWIDE</t>
        </is>
      </c>
      <c r="I2975" s="144" t="inlineStr">
        <is>
          <t>COMMERICAL</t>
        </is>
      </c>
    </row>
    <row r="2976" ht="18" customHeight="1" s="7">
      <c r="A2976" s="144" t="inlineStr">
        <is>
          <t>JOE SESSION</t>
        </is>
      </c>
      <c r="B2976" s="144" t="inlineStr">
        <is>
          <t>055563421 GA</t>
        </is>
      </c>
      <c r="C2976" s="144" t="inlineStr">
        <is>
          <t>DSC-EMI</t>
        </is>
      </c>
      <c r="D2976" s="144" t="n">
        <v>2299035934</v>
      </c>
      <c r="E2976" s="144" t="inlineStr">
        <is>
          <t>VAN</t>
        </is>
      </c>
      <c r="F2976" s="144" t="inlineStr">
        <is>
          <t>HQC7914 NC</t>
        </is>
      </c>
      <c r="G2976" s="144" t="inlineStr">
        <is>
          <t>WHITE CHEV</t>
        </is>
      </c>
      <c r="H2976" s="144" t="n">
        <v>5651</v>
      </c>
      <c r="I2976" s="144" t="inlineStr">
        <is>
          <t>CONTRACTOR</t>
        </is>
      </c>
    </row>
    <row r="2977" ht="18" customHeight="1" s="7">
      <c r="A2977" s="144" t="inlineStr">
        <is>
          <t>TRADARIOUS EDWARDS</t>
        </is>
      </c>
      <c r="B2977" s="144" t="inlineStr">
        <is>
          <t>059753033 GA</t>
        </is>
      </c>
      <c r="C2977" s="144" t="inlineStr">
        <is>
          <t>FOX CARRIER</t>
        </is>
      </c>
      <c r="D2977" s="144" t="n">
        <v>4045528088</v>
      </c>
      <c r="E2977" s="144" t="inlineStr">
        <is>
          <t>VAN</t>
        </is>
      </c>
      <c r="F2977" s="144" t="inlineStr">
        <is>
          <t>DAU7540 GA</t>
        </is>
      </c>
      <c r="G2977" s="144" t="inlineStr">
        <is>
          <t>WHITE FORD</t>
        </is>
      </c>
      <c r="H2977" s="144" t="n">
        <v>2200</v>
      </c>
      <c r="I2977" s="144" t="inlineStr">
        <is>
          <t>CONTRACTOR</t>
        </is>
      </c>
    </row>
    <row r="2978" ht="18" customHeight="1" s="7">
      <c r="A2978" s="144" t="inlineStr">
        <is>
          <t>BO CLARK</t>
        </is>
      </c>
      <c r="B2978" s="144" t="inlineStr">
        <is>
          <t>059065688 GA</t>
        </is>
      </c>
      <c r="C2978" s="144" t="inlineStr">
        <is>
          <t>INDUSTRIAL MANUFACTURING</t>
        </is>
      </c>
      <c r="D2978" s="144" t="inlineStr">
        <is>
          <t>229 8883992</t>
        </is>
      </c>
      <c r="E2978" s="144" t="inlineStr">
        <is>
          <t>PU</t>
        </is>
      </c>
      <c r="F2978" s="144" t="inlineStr">
        <is>
          <t>YHE532 GA</t>
        </is>
      </c>
      <c r="G2978" s="144" t="inlineStr">
        <is>
          <t>GRAY FORD</t>
        </is>
      </c>
      <c r="H2978" s="144" t="n">
        <v>2608</v>
      </c>
      <c r="I2978" s="144" t="inlineStr">
        <is>
          <t>CONTRACTOR</t>
        </is>
      </c>
    </row>
    <row r="2979" ht="18" customHeight="1" s="7">
      <c r="A2979" s="144" t="inlineStr">
        <is>
          <t>ANTWUAN CHEEKS</t>
        </is>
      </c>
      <c r="B2979" s="144" t="inlineStr">
        <is>
          <t>053033561 GA</t>
        </is>
      </c>
      <c r="C2979" s="144" t="inlineStr">
        <is>
          <t>CITY OF ALBANY</t>
        </is>
      </c>
      <c r="D2979" s="144" t="n">
        <v>2298698851</v>
      </c>
      <c r="E2979" s="144" t="inlineStr">
        <is>
          <t>PU</t>
        </is>
      </c>
      <c r="F2979" s="144" t="inlineStr">
        <is>
          <t>GV0186M GA</t>
        </is>
      </c>
      <c r="G2979" s="144" t="inlineStr">
        <is>
          <t>WHITE FORD</t>
        </is>
      </c>
      <c r="H2979" s="144" t="inlineStr">
        <is>
          <t>HOUSING</t>
        </is>
      </c>
      <c r="I2979" s="144" t="inlineStr">
        <is>
          <t>CONTRACTOR</t>
        </is>
      </c>
    </row>
    <row r="2980" ht="18" customHeight="1" s="7">
      <c r="A2980" s="144" t="inlineStr">
        <is>
          <t>OTIS LAVANT</t>
        </is>
      </c>
      <c r="B2980" s="144" t="inlineStr">
        <is>
          <t>054936747 GA</t>
        </is>
      </c>
      <c r="C2980" s="144" t="inlineStr">
        <is>
          <t>SCM</t>
        </is>
      </c>
      <c r="D2980" s="144" t="n">
        <v>2294340511</v>
      </c>
      <c r="E2980" s="144" t="inlineStr">
        <is>
          <t>FLAT</t>
        </is>
      </c>
      <c r="F2980" s="144" t="inlineStr">
        <is>
          <t>XVC281 GA</t>
        </is>
      </c>
      <c r="G2980" s="144" t="inlineStr">
        <is>
          <t>WHITE FORD</t>
        </is>
      </c>
      <c r="H2980" s="144" t="n">
        <v>5300</v>
      </c>
      <c r="I2980" s="144" t="inlineStr">
        <is>
          <t>CONTRACTOR</t>
        </is>
      </c>
    </row>
    <row r="2981" ht="18" customHeight="1" s="7">
      <c r="A2981" s="144" t="inlineStr">
        <is>
          <t>IVICA STANKOVIC</t>
        </is>
      </c>
      <c r="B2981" s="144" t="inlineStr">
        <is>
          <t>E051246 OR</t>
        </is>
      </c>
      <c r="C2981" s="144" t="inlineStr">
        <is>
          <t>YUGOS</t>
        </is>
      </c>
      <c r="D2981" s="144" t="n">
        <v>7082191463</v>
      </c>
      <c r="E2981" s="144" t="inlineStr">
        <is>
          <t>BOX</t>
        </is>
      </c>
      <c r="F2981" s="144" t="inlineStr">
        <is>
          <t>P126850 IL</t>
        </is>
      </c>
      <c r="G2981" s="144" t="inlineStr">
        <is>
          <t>WHITE FREIGHTLINER</t>
        </is>
      </c>
      <c r="H2981" s="144" t="n">
        <v>1221</v>
      </c>
      <c r="I2981" s="144" t="inlineStr">
        <is>
          <t>CONTRACTOR</t>
        </is>
      </c>
    </row>
    <row r="2982" ht="18" customHeight="1" s="7">
      <c r="A2982" s="144" t="inlineStr">
        <is>
          <t>BRANDON MCRAE</t>
        </is>
      </c>
      <c r="B2982" s="144" t="inlineStr">
        <is>
          <t>070929066 GA</t>
        </is>
      </c>
      <c r="C2982" s="144" t="inlineStr">
        <is>
          <t>XPO</t>
        </is>
      </c>
      <c r="D2982" s="144" t="n">
        <v>9044514738</v>
      </c>
      <c r="E2982" s="144" t="inlineStr">
        <is>
          <t>BOX</t>
        </is>
      </c>
      <c r="F2982" s="144" t="inlineStr">
        <is>
          <t>37122001 IN</t>
        </is>
      </c>
      <c r="G2982" s="144" t="inlineStr">
        <is>
          <t>WHITE FREIGHTLINER</t>
        </is>
      </c>
      <c r="H2982" s="144" t="n">
        <v>1221</v>
      </c>
      <c r="I2982" s="144" t="inlineStr">
        <is>
          <t>COMMERICAL</t>
        </is>
      </c>
    </row>
    <row r="2983" ht="18" customHeight="1" s="7">
      <c r="A2983" s="144" t="inlineStr">
        <is>
          <t>DANNY PAUL</t>
        </is>
      </c>
      <c r="B2983" s="144" t="inlineStr">
        <is>
          <t>038233691 GA</t>
        </is>
      </c>
      <c r="C2983" s="144" t="inlineStr">
        <is>
          <t>SERVPRO</t>
        </is>
      </c>
      <c r="D2983" s="144" t="n">
        <v>2294392048</v>
      </c>
      <c r="E2983" s="144" t="inlineStr">
        <is>
          <t>PU</t>
        </is>
      </c>
      <c r="F2983" s="144" t="inlineStr">
        <is>
          <t>TEB0583 GA</t>
        </is>
      </c>
      <c r="G2983" s="144" t="inlineStr">
        <is>
          <t>GREEN DODGE</t>
        </is>
      </c>
      <c r="H2983" s="144" t="inlineStr">
        <is>
          <t>TOWN COUNRTY</t>
        </is>
      </c>
      <c r="I2983" s="144" t="inlineStr">
        <is>
          <t>CONTRACTOR</t>
        </is>
      </c>
    </row>
    <row r="2984" ht="18" customHeight="1" s="7">
      <c r="A2984" s="144" t="inlineStr">
        <is>
          <t>BARRY DIAMOND</t>
        </is>
      </c>
      <c r="B2984" s="144" t="inlineStr">
        <is>
          <t>055712333 GA</t>
        </is>
      </c>
      <c r="C2984" s="144" t="inlineStr">
        <is>
          <t>SERVPRO</t>
        </is>
      </c>
      <c r="D2984" s="144" t="n">
        <v>2294392048</v>
      </c>
      <c r="E2984" s="144" t="inlineStr">
        <is>
          <t>VAN</t>
        </is>
      </c>
      <c r="F2984" s="144" t="inlineStr">
        <is>
          <t>RPN3149 GA</t>
        </is>
      </c>
      <c r="G2984" s="144" t="inlineStr">
        <is>
          <t>GREEN FORD</t>
        </is>
      </c>
      <c r="H2984" s="144" t="inlineStr">
        <is>
          <t>TOWN COUNRTY</t>
        </is>
      </c>
      <c r="I2984" s="144" t="inlineStr">
        <is>
          <t>CONTRACTOR</t>
        </is>
      </c>
    </row>
    <row r="2985" ht="18" customHeight="1" s="7">
      <c r="A2985" s="144" t="inlineStr">
        <is>
          <t>WILLIAM JENKINS</t>
        </is>
      </c>
      <c r="B2985" s="144" t="inlineStr">
        <is>
          <t>T62943830 VA</t>
        </is>
      </c>
      <c r="C2985" s="144" t="inlineStr">
        <is>
          <t>SPTRANS</t>
        </is>
      </c>
      <c r="D2985" s="144" t="n">
        <v>8046619950</v>
      </c>
      <c r="E2985" s="144" t="inlineStr">
        <is>
          <t>BOX</t>
        </is>
      </c>
      <c r="F2985" s="144" t="inlineStr">
        <is>
          <t>54754 VA</t>
        </is>
      </c>
      <c r="G2985" s="144" t="inlineStr">
        <is>
          <t>WHITE FREIGHTLINER</t>
        </is>
      </c>
      <c r="H2985" s="144" t="n">
        <v>1221</v>
      </c>
      <c r="I2985" s="144" t="inlineStr">
        <is>
          <t>COMMERICAL</t>
        </is>
      </c>
    </row>
    <row r="2986" ht="18" customHeight="1" s="7">
      <c r="A2986" s="144" t="inlineStr">
        <is>
          <t>LUCUMI NELSON</t>
        </is>
      </c>
      <c r="B2986" s="144" t="inlineStr">
        <is>
          <t>L252625750060 FL</t>
        </is>
      </c>
      <c r="C2986" s="144" t="inlineStr">
        <is>
          <t>CCI</t>
        </is>
      </c>
      <c r="D2986" s="144" t="n">
        <v>9088038832</v>
      </c>
      <c r="E2986" s="144" t="inlineStr">
        <is>
          <t>BOX</t>
        </is>
      </c>
      <c r="F2986" s="144" t="inlineStr">
        <is>
          <t>VW5388 NC</t>
        </is>
      </c>
      <c r="G2986" s="144" t="inlineStr">
        <is>
          <t>WHITE FREIGHTLINER</t>
        </is>
      </c>
      <c r="H2986" s="144" t="n">
        <v>1221</v>
      </c>
      <c r="I2986" s="144" t="inlineStr">
        <is>
          <t>COMMERICAL</t>
        </is>
      </c>
    </row>
    <row r="2987" ht="18" customHeight="1" s="7">
      <c r="A2987" s="144" t="inlineStr">
        <is>
          <t>FICK DAVID</t>
        </is>
      </c>
      <c r="B2987" s="144" t="inlineStr">
        <is>
          <t>24994802 PA</t>
        </is>
      </c>
      <c r="C2987" s="144" t="inlineStr">
        <is>
          <t>WRIGHT EXPRESS</t>
        </is>
      </c>
      <c r="D2987" s="144" t="n">
        <v>7178914646</v>
      </c>
      <c r="E2987" s="144" t="inlineStr">
        <is>
          <t>BOX</t>
        </is>
      </c>
      <c r="F2987" s="144" t="inlineStr">
        <is>
          <t>AH52257 PA</t>
        </is>
      </c>
      <c r="G2987" s="144" t="inlineStr">
        <is>
          <t>PURPLE KENWORTH</t>
        </is>
      </c>
      <c r="H2987" s="144" t="n">
        <v>1221</v>
      </c>
      <c r="I2987" s="144" t="inlineStr">
        <is>
          <t>COMMERCIAL</t>
        </is>
      </c>
    </row>
    <row r="2988" ht="18" customHeight="1" s="7">
      <c r="A2988" s="144" t="inlineStr">
        <is>
          <t>KOTLAJIC GILMORY</t>
        </is>
      </c>
      <c r="B2988" s="144" t="inlineStr">
        <is>
          <t>248381178 CT</t>
        </is>
      </c>
      <c r="C2988" s="144" t="inlineStr">
        <is>
          <t>AUTO PRO TRUCKING</t>
        </is>
      </c>
      <c r="D2988" s="144" t="n">
        <v>2034494124</v>
      </c>
      <c r="E2988" s="144" t="inlineStr">
        <is>
          <t>FLAT</t>
        </is>
      </c>
      <c r="F2988" s="144" t="inlineStr">
        <is>
          <t>73120 A CT</t>
        </is>
      </c>
      <c r="G2988" s="144" t="inlineStr">
        <is>
          <t>BLUE KENWORTH</t>
        </is>
      </c>
      <c r="H2988" s="144" t="n">
        <v>1221</v>
      </c>
      <c r="I2988" s="144" t="inlineStr">
        <is>
          <t>COMMERICAL</t>
        </is>
      </c>
    </row>
    <row r="2989" ht="18" customHeight="1" s="7">
      <c r="A2989" s="144" t="inlineStr">
        <is>
          <t>MAIKER JONES</t>
        </is>
      </c>
      <c r="B2989" s="144" t="inlineStr">
        <is>
          <t>J520554843610 FL</t>
        </is>
      </c>
      <c r="C2989" s="144" t="inlineStr">
        <is>
          <t>BELROAD</t>
        </is>
      </c>
      <c r="D2989" s="144" t="n">
        <v>5619470761</v>
      </c>
      <c r="E2989" s="144" t="inlineStr">
        <is>
          <t>FLAT</t>
        </is>
      </c>
      <c r="F2989" s="144" t="inlineStr">
        <is>
          <t>PXD4501 OH</t>
        </is>
      </c>
      <c r="G2989" s="144" t="inlineStr">
        <is>
          <t>WHITE VOLVO</t>
        </is>
      </c>
      <c r="H2989" s="144" t="n">
        <v>1221</v>
      </c>
      <c r="I2989" s="144" t="inlineStr">
        <is>
          <t>COMMERICAL</t>
        </is>
      </c>
    </row>
    <row r="2990" ht="18" customHeight="1" s="7">
      <c r="A2990" s="144" t="inlineStr">
        <is>
          <t>JOHN JEAN</t>
        </is>
      </c>
      <c r="B2990" s="144" t="inlineStr">
        <is>
          <t>*059058332 GA</t>
        </is>
      </c>
      <c r="C2990" s="144" t="inlineStr">
        <is>
          <t>APPLE MOVING</t>
        </is>
      </c>
      <c r="D2990" s="144" t="n">
        <v>9549141462</v>
      </c>
      <c r="E2990" s="144" t="inlineStr">
        <is>
          <t>BOX</t>
        </is>
      </c>
      <c r="F2990" s="144" t="inlineStr">
        <is>
          <t>ZIL578 GA</t>
        </is>
      </c>
      <c r="G2990" s="144" t="inlineStr">
        <is>
          <t>WHITE FREIGHTLINER</t>
        </is>
      </c>
      <c r="H2990" s="144" t="inlineStr">
        <is>
          <t>HOUSING</t>
        </is>
      </c>
      <c r="I2990" s="144" t="inlineStr">
        <is>
          <t>COMMERCIAL</t>
        </is>
      </c>
    </row>
    <row r="2991" ht="18" customHeight="1" s="7">
      <c r="A2991" s="144" t="inlineStr">
        <is>
          <t>CHRISTOPHER SPINKS</t>
        </is>
      </c>
      <c r="B2991" s="144" t="inlineStr">
        <is>
          <t>*051299058 GA</t>
        </is>
      </c>
      <c r="C2991" s="144" t="inlineStr">
        <is>
          <t>APPLE MOVING</t>
        </is>
      </c>
      <c r="D2991" s="144" t="n">
        <v>8035294969</v>
      </c>
      <c r="E2991" s="144" t="inlineStr">
        <is>
          <t>BOX</t>
        </is>
      </c>
      <c r="F2991" s="144" t="inlineStr">
        <is>
          <t>75370P VA</t>
        </is>
      </c>
      <c r="G2991" s="144" t="inlineStr">
        <is>
          <t>WHITE FREIGHTLINER</t>
        </is>
      </c>
      <c r="H2991" s="144" t="inlineStr">
        <is>
          <t>HOUSING</t>
        </is>
      </c>
      <c r="I2991" s="144" t="inlineStr">
        <is>
          <t>COMMERCIAL</t>
        </is>
      </c>
    </row>
    <row r="2992" ht="18" customHeight="1" s="7">
      <c r="A2992" s="144" t="inlineStr">
        <is>
          <t>RIDVANOV TEYFUK</t>
        </is>
      </c>
      <c r="B2992" s="144" t="inlineStr">
        <is>
          <t>VG781886 OH</t>
        </is>
      </c>
      <c r="C2992" s="144" t="inlineStr">
        <is>
          <t>NATO TRUCKING</t>
        </is>
      </c>
      <c r="D2992" s="144" t="n">
        <v>9372724477</v>
      </c>
      <c r="E2992" s="144" t="inlineStr">
        <is>
          <t>BOX</t>
        </is>
      </c>
      <c r="F2992" s="144" t="inlineStr">
        <is>
          <t>PXD3863 OH</t>
        </is>
      </c>
      <c r="G2992" s="144" t="inlineStr">
        <is>
          <t>WHITE VOLVO</t>
        </is>
      </c>
      <c r="H2992" s="144" t="n">
        <v>1351</v>
      </c>
      <c r="I2992" s="144" t="inlineStr">
        <is>
          <t>COMMERCIAL</t>
        </is>
      </c>
    </row>
    <row r="2993" ht="18" customHeight="1" s="7">
      <c r="A2993" s="144" t="inlineStr">
        <is>
          <t>BURGOS LUIS JR</t>
        </is>
      </c>
      <c r="B2993" s="144" t="inlineStr">
        <is>
          <t>B315822270000 FL</t>
        </is>
      </c>
      <c r="C2993" s="144" t="inlineStr">
        <is>
          <t>SHERIDAN LOGISTICS</t>
        </is>
      </c>
      <c r="D2993" s="144" t="n">
        <v>9417267826</v>
      </c>
      <c r="E2993" s="144" t="inlineStr">
        <is>
          <t>FLAT</t>
        </is>
      </c>
      <c r="F2993" s="144" t="inlineStr">
        <is>
          <t>3LU110 OK</t>
        </is>
      </c>
      <c r="G2993" s="144" t="inlineStr">
        <is>
          <t>GRAY PETERBILT</t>
        </is>
      </c>
      <c r="H2993" s="144" t="n">
        <v>1221</v>
      </c>
      <c r="I2993" s="144" t="inlineStr">
        <is>
          <t>COMMERCIAL</t>
        </is>
      </c>
    </row>
    <row r="2994" ht="18" customHeight="1" s="7">
      <c r="A2994" s="144" t="inlineStr">
        <is>
          <t>STEVEN CARTWRIGHT</t>
        </is>
      </c>
      <c r="B2994" s="144" t="inlineStr">
        <is>
          <t>9635913 AL</t>
        </is>
      </c>
      <c r="C2994" s="144" t="inlineStr">
        <is>
          <t>KY EXPRESS</t>
        </is>
      </c>
      <c r="D2994" s="144" t="n">
        <v>2563289574</v>
      </c>
      <c r="E2994" s="144" t="inlineStr">
        <is>
          <t>FLAT</t>
        </is>
      </c>
      <c r="F2994" s="144" t="inlineStr">
        <is>
          <t>XE809S FL</t>
        </is>
      </c>
      <c r="G2994" s="144" t="inlineStr">
        <is>
          <t>WHITE FREIGHTLINER</t>
        </is>
      </c>
      <c r="H2994" s="144" t="n">
        <v>1221</v>
      </c>
      <c r="I2994" s="144" t="inlineStr">
        <is>
          <t>COMMERCIAL</t>
        </is>
      </c>
    </row>
    <row r="2995" ht="18" customHeight="1" s="7">
      <c r="A2995" s="144" t="inlineStr">
        <is>
          <t>TIMOTHY WALKER</t>
        </is>
      </c>
      <c r="B2995" s="144" t="inlineStr">
        <is>
          <t>*058791327 GA</t>
        </is>
      </c>
      <c r="C2995" s="144" t="inlineStr">
        <is>
          <t>EXPRESS DISPOSAL</t>
        </is>
      </c>
      <c r="D2995" s="144" t="n">
        <v>2293524300</v>
      </c>
      <c r="E2995" s="144" t="inlineStr">
        <is>
          <t>TANK</t>
        </is>
      </c>
      <c r="F2995" s="144" t="inlineStr">
        <is>
          <t xml:space="preserve">YHE502 GA </t>
        </is>
      </c>
      <c r="G2995" s="144" t="inlineStr">
        <is>
          <t>WHITE INTER</t>
        </is>
      </c>
      <c r="H2995" s="144" t="inlineStr">
        <is>
          <t>BASEWIDE</t>
        </is>
      </c>
      <c r="I2995" s="144" t="inlineStr">
        <is>
          <t>CONTRACTOR</t>
        </is>
      </c>
    </row>
    <row r="2996" ht="18" customHeight="1" s="7">
      <c r="A2996" s="144" t="inlineStr">
        <is>
          <t>RODNEY LOWE</t>
        </is>
      </c>
      <c r="B2996" s="144" t="inlineStr">
        <is>
          <t>801760809 MI</t>
        </is>
      </c>
      <c r="C2996" s="144" t="inlineStr">
        <is>
          <t>ATLANTIC FRIEGHT</t>
        </is>
      </c>
      <c r="D2996" s="144" t="n">
        <v>6622423458</v>
      </c>
      <c r="E2996" s="144" t="inlineStr">
        <is>
          <t>FLAT</t>
        </is>
      </c>
      <c r="F2996" s="144" t="inlineStr">
        <is>
          <t>XEO05Y FL</t>
        </is>
      </c>
      <c r="G2996" s="144" t="inlineStr">
        <is>
          <t>WHITE INTERNATIONAL</t>
        </is>
      </c>
      <c r="H2996" s="144" t="n">
        <v>1221</v>
      </c>
      <c r="I2996" s="144" t="inlineStr">
        <is>
          <t>COMMERCIAL</t>
        </is>
      </c>
    </row>
    <row r="2997" ht="18" customHeight="1" s="7">
      <c r="A2997" s="144" t="inlineStr">
        <is>
          <t>MICHAEL ZUKOWSKI</t>
        </is>
      </c>
      <c r="B2997" s="144" t="inlineStr">
        <is>
          <t>Z02729148 KY</t>
        </is>
      </c>
      <c r="C2997" s="144" t="inlineStr">
        <is>
          <t>LEGENDS</t>
        </is>
      </c>
      <c r="D2997" s="144" t="n">
        <v>6065151945</v>
      </c>
      <c r="E2997" s="144" t="inlineStr">
        <is>
          <t>BOX</t>
        </is>
      </c>
      <c r="F2997" s="144" t="inlineStr">
        <is>
          <t>P1198950 IL</t>
        </is>
      </c>
      <c r="G2997" s="144" t="inlineStr">
        <is>
          <t>BLUE KENWORTH</t>
        </is>
      </c>
      <c r="H2997" s="144" t="n">
        <v>1221</v>
      </c>
      <c r="I2997" s="144" t="inlineStr">
        <is>
          <t>COMMERCIAL</t>
        </is>
      </c>
    </row>
    <row r="2998" ht="18" customHeight="1" s="7">
      <c r="A2998" s="144" t="inlineStr">
        <is>
          <t>ANTONIO D GIBSON</t>
        </is>
      </c>
      <c r="B2998" s="144" t="inlineStr">
        <is>
          <t>G125004823780 FL</t>
        </is>
      </c>
      <c r="C2998" s="144" t="inlineStr">
        <is>
          <t>KLB SOUTH</t>
        </is>
      </c>
      <c r="D2998" s="144" t="n">
        <v>8507565505</v>
      </c>
      <c r="E2998" s="144" t="inlineStr">
        <is>
          <t>BOX</t>
        </is>
      </c>
      <c r="F2998" s="144" t="inlineStr">
        <is>
          <t>R778134 TX</t>
        </is>
      </c>
      <c r="G2998" s="144" t="inlineStr">
        <is>
          <t>WHITE FRIEGHTLINER</t>
        </is>
      </c>
      <c r="H2998" s="144" t="n">
        <v>7501</v>
      </c>
      <c r="I2998" s="144" t="inlineStr">
        <is>
          <t>COMMERCIAL</t>
        </is>
      </c>
    </row>
    <row r="2999" ht="18" customHeight="1" s="7">
      <c r="A2999" s="144" t="inlineStr">
        <is>
          <t>BENJAMIN ADDISON</t>
        </is>
      </c>
      <c r="B2999" s="144" t="inlineStr">
        <is>
          <t>A301676450000 FL</t>
        </is>
      </c>
      <c r="C2999" s="144" t="inlineStr">
        <is>
          <t>1ST COAST</t>
        </is>
      </c>
      <c r="D2999" s="144" t="n">
        <v>8447312137</v>
      </c>
      <c r="E2999" s="144" t="inlineStr">
        <is>
          <t>BOX</t>
        </is>
      </c>
      <c r="F2999" s="144" t="inlineStr">
        <is>
          <t>3171554 IN</t>
        </is>
      </c>
      <c r="G2999" s="144" t="inlineStr">
        <is>
          <t>WHITE INTERNATIONAL</t>
        </is>
      </c>
      <c r="H2999" s="144" t="n">
        <v>1221</v>
      </c>
      <c r="I2999" s="144" t="inlineStr">
        <is>
          <t>COMMERCIAL</t>
        </is>
      </c>
    </row>
    <row r="3000" ht="18" customHeight="1" s="7">
      <c r="A3000" s="144" t="inlineStr">
        <is>
          <t>BEANNA WARD</t>
        </is>
      </c>
      <c r="B3000" s="144" t="inlineStr">
        <is>
          <t>050470646 GA</t>
        </is>
      </c>
      <c r="C3000" s="144" t="inlineStr">
        <is>
          <t>SOUTHWEST</t>
        </is>
      </c>
      <c r="D3000" s="144" t="n">
        <v>2297335335</v>
      </c>
      <c r="E3000" s="144" t="inlineStr">
        <is>
          <t>VAN</t>
        </is>
      </c>
      <c r="F3000" s="144" t="inlineStr">
        <is>
          <t>GV0534T GA</t>
        </is>
      </c>
      <c r="G3000" s="144" t="inlineStr">
        <is>
          <t>WHITE TRANSIT</t>
        </is>
      </c>
      <c r="H3000" s="144" t="inlineStr">
        <is>
          <t>BASEWIDE</t>
        </is>
      </c>
      <c r="I3000" s="144" t="inlineStr">
        <is>
          <t>COMMERCIAL</t>
        </is>
      </c>
    </row>
    <row r="3001" ht="18" customHeight="1" s="7">
      <c r="A3001" s="144" t="inlineStr">
        <is>
          <t>MICHAEL A WILEY</t>
        </is>
      </c>
      <c r="B3001" s="144" t="inlineStr">
        <is>
          <t>09840817 TX</t>
        </is>
      </c>
      <c r="C3001" s="144" t="inlineStr">
        <is>
          <t>JF PETROLEUM</t>
        </is>
      </c>
      <c r="D3001" s="144" t="n">
        <v>2148654010</v>
      </c>
      <c r="E3001" s="144" t="inlineStr">
        <is>
          <t>PU</t>
        </is>
      </c>
      <c r="F3001" s="144" t="inlineStr">
        <is>
          <t>VZJ7824 TX</t>
        </is>
      </c>
      <c r="G3001" s="144" t="inlineStr">
        <is>
          <t>WHITE CHEVY</t>
        </is>
      </c>
      <c r="H3001" s="144" t="n">
        <v>7500</v>
      </c>
      <c r="I3001" s="144" t="inlineStr">
        <is>
          <t>CONTRACTOR</t>
        </is>
      </c>
    </row>
    <row r="3002" ht="18" customHeight="1" s="7">
      <c r="A3002" s="144" t="inlineStr">
        <is>
          <t>CAMERON ASHTON</t>
        </is>
      </c>
      <c r="B3002" s="144" t="inlineStr">
        <is>
          <t>061926404 GA</t>
        </is>
      </c>
      <c r="C3002" s="144" t="inlineStr">
        <is>
          <t>APPLE MOVING</t>
        </is>
      </c>
      <c r="D3002" s="144" t="n">
        <v>8035294969</v>
      </c>
      <c r="E3002" s="144" t="inlineStr">
        <is>
          <t>BOX</t>
        </is>
      </c>
      <c r="F3002" s="144" t="inlineStr">
        <is>
          <t>ZIL578 GA</t>
        </is>
      </c>
      <c r="G3002" s="144" t="inlineStr">
        <is>
          <t>WHITE INTERNATIONAL</t>
        </is>
      </c>
      <c r="H3002" s="144" t="inlineStr">
        <is>
          <t>HOUSING</t>
        </is>
      </c>
      <c r="I3002" s="144" t="inlineStr">
        <is>
          <t>COMMERCIAL</t>
        </is>
      </c>
    </row>
    <row r="3003" ht="18" customHeight="1" s="7">
      <c r="A3003" s="144" t="inlineStr">
        <is>
          <t>MICHAEL BARLEY</t>
        </is>
      </c>
      <c r="B3003" s="144" t="inlineStr">
        <is>
          <t>036626467 GA</t>
        </is>
      </c>
      <c r="C3003" s="144" t="inlineStr">
        <is>
          <t xml:space="preserve">LINDER </t>
        </is>
      </c>
      <c r="D3003" s="144" t="n">
        <v>2293642627</v>
      </c>
      <c r="E3003" s="144" t="inlineStr">
        <is>
          <t>PU</t>
        </is>
      </c>
      <c r="F3003" s="144" t="inlineStr">
        <is>
          <t>YVF635 GA</t>
        </is>
      </c>
      <c r="G3003" s="144" t="inlineStr">
        <is>
          <t>WHITE RAM</t>
        </is>
      </c>
      <c r="H3003" s="144" t="inlineStr">
        <is>
          <t>POWERWORKS</t>
        </is>
      </c>
      <c r="I3003" s="144" t="inlineStr">
        <is>
          <t>CONTRACTOR</t>
        </is>
      </c>
    </row>
    <row r="3004" ht="18" customHeight="1" s="7">
      <c r="A3004" s="144" t="inlineStr">
        <is>
          <t>HUMBERTO PEREZ</t>
        </is>
      </c>
      <c r="B3004" s="144" t="inlineStr">
        <is>
          <t>P215138673000 FL</t>
        </is>
      </c>
      <c r="C3004" s="144" t="inlineStr">
        <is>
          <t>HUSKY TRUCKING</t>
        </is>
      </c>
      <c r="D3004" s="144" t="n">
        <v>7864098789</v>
      </c>
      <c r="E3004" s="144" t="inlineStr">
        <is>
          <t>FLAT</t>
        </is>
      </c>
      <c r="F3004" s="144" t="inlineStr">
        <is>
          <t>XD9O2W FL</t>
        </is>
      </c>
      <c r="G3004" s="144" t="inlineStr">
        <is>
          <t>WHITE/RED PETER</t>
        </is>
      </c>
      <c r="H3004" s="144" t="n">
        <v>1221</v>
      </c>
      <c r="I3004" s="144" t="inlineStr">
        <is>
          <t>COMMERCIAL</t>
        </is>
      </c>
    </row>
    <row r="3005" ht="18" customHeight="1" s="7">
      <c r="A3005" s="144" t="inlineStr">
        <is>
          <t>STEVEN KASZA</t>
        </is>
      </c>
      <c r="B3005" s="144" t="inlineStr">
        <is>
          <t>*000001102007 NC</t>
        </is>
      </c>
      <c r="C3005" s="144" t="inlineStr">
        <is>
          <t>MAYFLOWER</t>
        </is>
      </c>
      <c r="D3005" s="144" t="n">
        <v>2522418677</v>
      </c>
      <c r="E3005" s="144" t="inlineStr">
        <is>
          <t>BOX</t>
        </is>
      </c>
      <c r="F3005" s="144" t="inlineStr">
        <is>
          <t>3451687 IN</t>
        </is>
      </c>
      <c r="G3005" s="144" t="inlineStr">
        <is>
          <t>WHITE INTERNATIONAL</t>
        </is>
      </c>
      <c r="H3005" s="144" t="n">
        <v>1221</v>
      </c>
      <c r="I3005" s="144" t="inlineStr">
        <is>
          <t>COMMERCIAL</t>
        </is>
      </c>
    </row>
    <row r="3006" ht="18" customHeight="1" s="7">
      <c r="A3006" s="144" t="inlineStr">
        <is>
          <t>HAROLD COLLIER</t>
        </is>
      </c>
      <c r="B3006" s="144" t="inlineStr">
        <is>
          <t>*053760250 GA</t>
        </is>
      </c>
      <c r="C3006" s="144" t="inlineStr">
        <is>
          <t xml:space="preserve">CNA </t>
        </is>
      </c>
      <c r="D3006" s="144" t="n">
        <v>4789728517</v>
      </c>
      <c r="E3006" s="144" t="inlineStr">
        <is>
          <t>TOW</t>
        </is>
      </c>
      <c r="F3006" s="144" t="inlineStr">
        <is>
          <t>EZK157 GA</t>
        </is>
      </c>
      <c r="G3006" s="144" t="inlineStr">
        <is>
          <t>BLACK KW</t>
        </is>
      </c>
      <c r="H3006" s="144" t="n">
        <v>3500</v>
      </c>
      <c r="I3006" s="144" t="inlineStr">
        <is>
          <t>COMMERCIAL</t>
        </is>
      </c>
    </row>
    <row r="3007" ht="18" customHeight="1" s="7">
      <c r="A3007" s="144" t="inlineStr">
        <is>
          <t>TONJA LAWLER-REICKS</t>
        </is>
      </c>
      <c r="B3007" s="144" t="inlineStr">
        <is>
          <t>M943110299516 MN</t>
        </is>
      </c>
      <c r="C3007" s="144" t="inlineStr">
        <is>
          <t>LANDSTAR</t>
        </is>
      </c>
      <c r="D3007" s="144" t="n">
        <v>5072737937</v>
      </c>
      <c r="E3007" s="144" t="inlineStr">
        <is>
          <t>BOX</t>
        </is>
      </c>
      <c r="F3007" s="144" t="inlineStr">
        <is>
          <t>3236383 IN</t>
        </is>
      </c>
      <c r="G3007" s="144" t="inlineStr">
        <is>
          <t>WHITE FREIGHTLINER</t>
        </is>
      </c>
      <c r="H3007" s="144" t="n">
        <v>1221</v>
      </c>
      <c r="I3007" s="144" t="inlineStr">
        <is>
          <t>COMMERCIAL</t>
        </is>
      </c>
    </row>
    <row r="3008" ht="18" customHeight="1" s="7">
      <c r="A3008" s="144" t="inlineStr">
        <is>
          <t>CHRISTOPHER HALE</t>
        </is>
      </c>
      <c r="B3008" s="144" t="inlineStr">
        <is>
          <t>*052309447 GA</t>
        </is>
      </c>
      <c r="C3008" s="144" t="inlineStr">
        <is>
          <t>INDUSTRIAL MANUFACTURING</t>
        </is>
      </c>
      <c r="D3008" s="144" t="n">
        <v>2292761869</v>
      </c>
      <c r="E3008" s="144" t="inlineStr">
        <is>
          <t>PU</t>
        </is>
      </c>
      <c r="F3008" s="144" t="inlineStr">
        <is>
          <t>SGF1611 GA</t>
        </is>
      </c>
      <c r="G3008" s="144" t="inlineStr">
        <is>
          <t>GRAY FORD</t>
        </is>
      </c>
      <c r="H3008" s="144" t="n">
        <v>2610</v>
      </c>
      <c r="I3008" s="144" t="inlineStr">
        <is>
          <t>CONTRACTOR</t>
        </is>
      </c>
    </row>
    <row r="3009" ht="18" customHeight="1" s="7">
      <c r="A3009" s="144" t="inlineStr">
        <is>
          <t>REGINALD GRIER</t>
        </is>
      </c>
      <c r="B3009" s="144" t="inlineStr">
        <is>
          <t>*030492760 GA</t>
        </is>
      </c>
      <c r="C3009" s="144" t="inlineStr">
        <is>
          <t>AMBER EXPRESS</t>
        </is>
      </c>
      <c r="D3009" s="144" t="n">
        <v>7705723632</v>
      </c>
      <c r="E3009" s="144" t="inlineStr">
        <is>
          <t>BOX</t>
        </is>
      </c>
      <c r="F3009" s="144" t="inlineStr">
        <is>
          <t>P1007144 IL</t>
        </is>
      </c>
      <c r="G3009" s="144" t="inlineStr">
        <is>
          <t>ORANGE FREIGHTLINER</t>
        </is>
      </c>
      <c r="H3009" s="144" t="n">
        <v>1221</v>
      </c>
      <c r="I3009" s="144" t="inlineStr">
        <is>
          <t>COMMERCIAL</t>
        </is>
      </c>
    </row>
    <row r="3010" ht="18" customHeight="1" s="7">
      <c r="A3010" s="144" t="inlineStr">
        <is>
          <t>KYRIE PORTER</t>
        </is>
      </c>
      <c r="B3010" s="144" t="inlineStr">
        <is>
          <t>*058574395 GA</t>
        </is>
      </c>
      <c r="C3010" s="144" t="inlineStr">
        <is>
          <t>ARVI TRANSPORT</t>
        </is>
      </c>
      <c r="D3010" s="144" t="n">
        <v>3346141569</v>
      </c>
      <c r="E3010" s="144" t="inlineStr">
        <is>
          <t>BOX</t>
        </is>
      </c>
      <c r="F3010" s="144" t="inlineStr">
        <is>
          <t>AH68618 PA</t>
        </is>
      </c>
      <c r="G3010" s="144" t="inlineStr">
        <is>
          <t>WHITE FREIGHTLINER</t>
        </is>
      </c>
      <c r="H3010" s="144" t="n">
        <v>1221</v>
      </c>
      <c r="I3010" s="144" t="inlineStr">
        <is>
          <t>COMMERCIAL</t>
        </is>
      </c>
    </row>
    <row r="3011" ht="18" customHeight="1" s="7">
      <c r="A3011" s="144" t="inlineStr">
        <is>
          <t>LENNIE WARNOCK</t>
        </is>
      </c>
      <c r="B3011" s="144" t="inlineStr">
        <is>
          <t>*052608507 GA</t>
        </is>
      </c>
      <c r="C3011" s="144" t="inlineStr">
        <is>
          <t>GA POWER</t>
        </is>
      </c>
      <c r="D3011" s="144" t="n">
        <v>4045207365</v>
      </c>
      <c r="E3011" s="144" t="inlineStr">
        <is>
          <t>PU</t>
        </is>
      </c>
      <c r="F3011" s="144" t="inlineStr">
        <is>
          <t>CSC7467 GA</t>
        </is>
      </c>
      <c r="G3011" s="144" t="inlineStr">
        <is>
          <t>WHITE FORD</t>
        </is>
      </c>
      <c r="H3011" s="144" t="inlineStr">
        <is>
          <t>SOLAR PANEL</t>
        </is>
      </c>
      <c r="I3011" s="144" t="inlineStr">
        <is>
          <t>CONTRACTOR</t>
        </is>
      </c>
    </row>
    <row r="3012" ht="18" customHeight="1" s="7">
      <c r="A3012" s="144" t="inlineStr">
        <is>
          <t>HARRY ADAMS JR</t>
        </is>
      </c>
      <c r="B3012" s="144" t="inlineStr">
        <is>
          <t>*054935210 GA</t>
        </is>
      </c>
      <c r="C3012" s="144" t="inlineStr">
        <is>
          <t>SAFE AIRE</t>
        </is>
      </c>
      <c r="D3012" s="144" t="n">
        <v>2298835100</v>
      </c>
      <c r="E3012" s="144" t="inlineStr">
        <is>
          <t>PU</t>
        </is>
      </c>
      <c r="F3012" s="144" t="inlineStr">
        <is>
          <t>CKJ1680 GA</t>
        </is>
      </c>
      <c r="G3012" s="144" t="inlineStr">
        <is>
          <t>WHITE FORD</t>
        </is>
      </c>
      <c r="H3012" s="144" t="n">
        <v>2200</v>
      </c>
      <c r="I3012" s="144" t="inlineStr">
        <is>
          <t>CONTRACTOR</t>
        </is>
      </c>
    </row>
    <row r="3013" ht="18" customHeight="1" s="7">
      <c r="A3013" s="144" t="inlineStr">
        <is>
          <t>TYRONE NUNNELLY</t>
        </is>
      </c>
      <c r="B3013" s="144" t="inlineStr">
        <is>
          <t>N540809018052 MI</t>
        </is>
      </c>
      <c r="C3013" s="144" t="inlineStr">
        <is>
          <t>INTERLAND</t>
        </is>
      </c>
      <c r="D3013" s="144" t="n">
        <v>3137785135</v>
      </c>
      <c r="E3013" s="144" t="inlineStr">
        <is>
          <t>BOX</t>
        </is>
      </c>
      <c r="F3013" s="144" t="inlineStr">
        <is>
          <t>P1091103 IL</t>
        </is>
      </c>
      <c r="G3013" s="144" t="inlineStr">
        <is>
          <t>WHITE FREIGHTLINER</t>
        </is>
      </c>
      <c r="H3013" s="144" t="n">
        <v>1221</v>
      </c>
      <c r="I3013" s="144" t="inlineStr">
        <is>
          <t>COMMERCIAL</t>
        </is>
      </c>
    </row>
    <row r="3014" ht="18" customHeight="1" s="7">
      <c r="A3014" s="144" t="inlineStr">
        <is>
          <t>CHRISTOPHER FRANCIS</t>
        </is>
      </c>
      <c r="B3014" s="144" t="inlineStr">
        <is>
          <t>*059803683 GA</t>
        </is>
      </c>
      <c r="C3014" s="144" t="inlineStr">
        <is>
          <t>YK EXPRESS</t>
        </is>
      </c>
      <c r="D3014" s="144" t="n">
        <v>4048899645</v>
      </c>
      <c r="E3014" s="144" t="inlineStr">
        <is>
          <t>FLAT</t>
        </is>
      </c>
      <c r="F3014" s="144" t="inlineStr">
        <is>
          <t>XE815S FL</t>
        </is>
      </c>
      <c r="G3014" s="144" t="inlineStr">
        <is>
          <t>WHITE FREIGHTLINER</t>
        </is>
      </c>
      <c r="H3014" s="144" t="n">
        <v>1221</v>
      </c>
      <c r="I3014" s="144" t="inlineStr">
        <is>
          <t>COMMERCIAL</t>
        </is>
      </c>
    </row>
    <row r="3015" ht="18" customHeight="1" s="7">
      <c r="A3015" s="144" t="inlineStr">
        <is>
          <t>JESSE JEFFERSON</t>
        </is>
      </c>
      <c r="B3015" s="144" t="inlineStr">
        <is>
          <t>*051399761 GA</t>
        </is>
      </c>
      <c r="C3015" s="144" t="inlineStr">
        <is>
          <t>T FORCE</t>
        </is>
      </c>
      <c r="D3015" s="144" t="n">
        <v>2293760796</v>
      </c>
      <c r="E3015" s="144" t="inlineStr">
        <is>
          <t>BOX</t>
        </is>
      </c>
      <c r="F3015" s="144" t="inlineStr">
        <is>
          <t>3418192 IN</t>
        </is>
      </c>
      <c r="G3015" s="144" t="inlineStr">
        <is>
          <t>WHITE INTERNATIONAL</t>
        </is>
      </c>
      <c r="H3015" s="144" t="inlineStr">
        <is>
          <t>BASEWIDE</t>
        </is>
      </c>
      <c r="I3015" s="144" t="inlineStr">
        <is>
          <t>COMMERCIAL</t>
        </is>
      </c>
    </row>
    <row r="3016" ht="18" customHeight="1" s="7">
      <c r="A3016" s="144" t="inlineStr">
        <is>
          <t>RICKY BIGELOW</t>
        </is>
      </c>
      <c r="B3016" s="144" t="inlineStr">
        <is>
          <t>000000447898 NC</t>
        </is>
      </c>
      <c r="C3016" s="144" t="inlineStr">
        <is>
          <t>FEDEX</t>
        </is>
      </c>
      <c r="D3016" s="144" t="n">
        <v>3369320562</v>
      </c>
      <c r="E3016" s="144" t="inlineStr">
        <is>
          <t>BOX</t>
        </is>
      </c>
      <c r="F3016" s="144" t="inlineStr">
        <is>
          <t>PWC2372 OH</t>
        </is>
      </c>
      <c r="G3016" s="144" t="inlineStr">
        <is>
          <t>GREEN VOLVO</t>
        </is>
      </c>
      <c r="H3016" s="144" t="n">
        <v>1221</v>
      </c>
      <c r="I3016" s="144" t="inlineStr">
        <is>
          <t>COMMERCIAL</t>
        </is>
      </c>
    </row>
    <row r="3017" ht="18" customHeight="1" s="7">
      <c r="A3017" s="144" t="inlineStr">
        <is>
          <t>ARAM MOHAMMED</t>
        </is>
      </c>
      <c r="B3017" s="144" t="inlineStr">
        <is>
          <t>M238798986000 FL</t>
        </is>
      </c>
      <c r="C3017" s="144" t="inlineStr">
        <is>
          <t>AM CARGO</t>
        </is>
      </c>
      <c r="D3017" s="144" t="n">
        <v>4077057471</v>
      </c>
      <c r="E3017" s="144" t="inlineStr">
        <is>
          <t>BOX</t>
        </is>
      </c>
      <c r="F3017" s="144" t="inlineStr">
        <is>
          <t>40071P VA</t>
        </is>
      </c>
      <c r="G3017" s="144" t="inlineStr">
        <is>
          <t>WHITE FREIGHTLINER</t>
        </is>
      </c>
      <c r="H3017" s="144" t="n">
        <v>1221</v>
      </c>
      <c r="I3017" s="144" t="inlineStr">
        <is>
          <t>COMMERCIAL</t>
        </is>
      </c>
    </row>
    <row r="3018" ht="18" customHeight="1" s="7">
      <c r="A3018" s="144" t="inlineStr">
        <is>
          <t>BRIAN WEST</t>
        </is>
      </c>
      <c r="B3018" s="144" t="inlineStr">
        <is>
          <t>*050946811 GA</t>
        </is>
      </c>
      <c r="C3018" s="144" t="inlineStr">
        <is>
          <t>DOBBS</t>
        </is>
      </c>
      <c r="D3018" s="144" t="n">
        <v>2298941210</v>
      </c>
      <c r="E3018" s="144" t="inlineStr">
        <is>
          <t>SERVICE</t>
        </is>
      </c>
      <c r="F3018" s="144" t="inlineStr">
        <is>
          <t>P804CM GA</t>
        </is>
      </c>
      <c r="G3018" s="144" t="inlineStr">
        <is>
          <t>WHITE KW</t>
        </is>
      </c>
      <c r="H3018" s="144" t="n">
        <v>2320</v>
      </c>
      <c r="I3018" s="144" t="inlineStr">
        <is>
          <t>CONTRACTOR</t>
        </is>
      </c>
    </row>
    <row r="3019" ht="18" customHeight="1" s="7">
      <c r="A3019" s="144" t="inlineStr">
        <is>
          <t>ROBERT BROWN</t>
        </is>
      </c>
      <c r="B3019" s="144" t="inlineStr">
        <is>
          <t>053677867 GA</t>
        </is>
      </c>
      <c r="C3019" s="144" t="inlineStr">
        <is>
          <t>AMERG</t>
        </is>
      </c>
      <c r="D3019" s="144" t="n">
        <v>6788993828</v>
      </c>
      <c r="E3019" s="144" t="inlineStr">
        <is>
          <t>BOX</t>
        </is>
      </c>
      <c r="F3019" s="144" t="inlineStr">
        <is>
          <t>P1134938 IL</t>
        </is>
      </c>
      <c r="G3019" s="144" t="inlineStr">
        <is>
          <t>WHITE FRIEGHTLINER</t>
        </is>
      </c>
      <c r="H3019" s="144" t="n">
        <v>1221</v>
      </c>
      <c r="I3019" s="144" t="inlineStr">
        <is>
          <t>COMMERCIAL</t>
        </is>
      </c>
    </row>
    <row r="3020" ht="18" customHeight="1" s="7">
      <c r="A3020" s="144" t="inlineStr">
        <is>
          <t>LEQUADRIC KING</t>
        </is>
      </c>
      <c r="B3020" s="144" t="inlineStr">
        <is>
          <t>9387222 AL</t>
        </is>
      </c>
      <c r="C3020" s="144" t="inlineStr">
        <is>
          <t>ICROM</t>
        </is>
      </c>
      <c r="D3020" s="144" t="n">
        <v>6626942622</v>
      </c>
      <c r="E3020" s="144" t="inlineStr">
        <is>
          <t>BOX</t>
        </is>
      </c>
      <c r="F3020" s="144" t="inlineStr">
        <is>
          <t>P1246261 IL</t>
        </is>
      </c>
      <c r="G3020" s="144" t="inlineStr">
        <is>
          <t>RED FREIGHTLINER</t>
        </is>
      </c>
      <c r="H3020" s="144" t="n">
        <v>1221</v>
      </c>
      <c r="I3020" s="144" t="inlineStr">
        <is>
          <t>COMMERCIAL</t>
        </is>
      </c>
    </row>
    <row r="3021" ht="18" customHeight="1" s="7">
      <c r="A3021" s="144" t="inlineStr">
        <is>
          <t>VIRGIL CLINTON</t>
        </is>
      </c>
      <c r="B3021" s="144" t="inlineStr">
        <is>
          <t>054036339 GA</t>
        </is>
      </c>
      <c r="C3021" s="144" t="inlineStr">
        <is>
          <t>POTTY MAN</t>
        </is>
      </c>
      <c r="D3021" s="144" t="n">
        <v>2292240404</v>
      </c>
      <c r="E3021" s="144" t="inlineStr">
        <is>
          <t>TANK</t>
        </is>
      </c>
      <c r="F3021" s="144" t="inlineStr">
        <is>
          <t>GHN127 GA</t>
        </is>
      </c>
      <c r="G3021" s="144" t="inlineStr">
        <is>
          <t>WHITE RAM</t>
        </is>
      </c>
      <c r="H3021" s="144" t="inlineStr">
        <is>
          <t>BASEWIDE</t>
        </is>
      </c>
      <c r="I3021" s="144" t="inlineStr">
        <is>
          <t>CONTRACTOR</t>
        </is>
      </c>
    </row>
    <row r="3022" ht="18" customHeight="1" s="7">
      <c r="A3022" s="144" t="inlineStr">
        <is>
          <t xml:space="preserve">EDGAR DANIELS </t>
        </is>
      </c>
      <c r="B3022" s="144" t="inlineStr">
        <is>
          <t>10335950 TX</t>
        </is>
      </c>
      <c r="C3022" s="144" t="inlineStr">
        <is>
          <t>JUS NEET TRANS</t>
        </is>
      </c>
      <c r="D3022" s="144" t="n">
        <v>8176291389</v>
      </c>
      <c r="E3022" s="144" t="inlineStr">
        <is>
          <t>PU</t>
        </is>
      </c>
      <c r="F3022" s="144" t="inlineStr">
        <is>
          <t>K207942 TX</t>
        </is>
      </c>
      <c r="G3022" s="144" t="inlineStr">
        <is>
          <t>BLACK FORD</t>
        </is>
      </c>
      <c r="H3022" s="144" t="n">
        <v>1221</v>
      </c>
      <c r="I3022" s="144" t="inlineStr">
        <is>
          <t>CONTRACTOR</t>
        </is>
      </c>
    </row>
    <row r="3023" ht="18" customHeight="1" s="7">
      <c r="A3023" s="144" t="inlineStr">
        <is>
          <t>RADY PREVAL</t>
        </is>
      </c>
      <c r="B3023" s="144" t="inlineStr">
        <is>
          <t>P614720742880 FL</t>
        </is>
      </c>
      <c r="C3023" s="144" t="inlineStr">
        <is>
          <t xml:space="preserve">GREEN TREE </t>
        </is>
      </c>
      <c r="D3023" s="144" t="n">
        <v>7863811807</v>
      </c>
      <c r="E3023" s="144" t="inlineStr">
        <is>
          <t>FLAT</t>
        </is>
      </c>
      <c r="F3023" s="144" t="inlineStr">
        <is>
          <t>P1185808 IL</t>
        </is>
      </c>
      <c r="G3023" s="144" t="inlineStr">
        <is>
          <t>RED PETERBILT</t>
        </is>
      </c>
      <c r="H3023" s="144" t="n">
        <v>1221</v>
      </c>
      <c r="I3023" s="144" t="inlineStr">
        <is>
          <t>COMMERCIAL</t>
        </is>
      </c>
    </row>
    <row r="3024" ht="18" customHeight="1" s="7">
      <c r="A3024" s="144" t="inlineStr">
        <is>
          <t>JERAMY FROST</t>
        </is>
      </c>
      <c r="B3024" s="144" t="inlineStr">
        <is>
          <t>051838327 GA</t>
        </is>
      </c>
      <c r="C3024" s="144" t="inlineStr">
        <is>
          <t>ALBANY AIR</t>
        </is>
      </c>
      <c r="D3024" s="144" t="n">
        <v>2294360341</v>
      </c>
      <c r="E3024" s="144" t="inlineStr">
        <is>
          <t>PU</t>
        </is>
      </c>
      <c r="F3024" s="144" t="inlineStr">
        <is>
          <t xml:space="preserve">RGQ1649 GA </t>
        </is>
      </c>
      <c r="G3024" s="144" t="inlineStr">
        <is>
          <t>WHITE FORD</t>
        </is>
      </c>
      <c r="H3024" s="144" t="n">
        <v>7450</v>
      </c>
      <c r="I3024" s="144" t="inlineStr">
        <is>
          <t>CONTRACTOR</t>
        </is>
      </c>
    </row>
    <row r="3025" ht="18" customHeight="1" s="7">
      <c r="A3025" s="144" t="inlineStr">
        <is>
          <t xml:space="preserve">ADEN ABDILLE </t>
        </is>
      </c>
      <c r="B3025" s="144" t="inlineStr">
        <is>
          <t>A16879103 KY</t>
        </is>
      </c>
      <c r="C3025" s="144" t="inlineStr">
        <is>
          <t>MUADHMOMO TRANS</t>
        </is>
      </c>
      <c r="D3025" s="144" t="n">
        <v>2072455605</v>
      </c>
      <c r="E3025" s="144" t="inlineStr">
        <is>
          <t>BOX</t>
        </is>
      </c>
      <c r="F3025" s="144" t="inlineStr">
        <is>
          <t>A94474 KY</t>
        </is>
      </c>
      <c r="G3025" s="144" t="inlineStr">
        <is>
          <t>WHITE FREIGHTLINER</t>
        </is>
      </c>
      <c r="H3025" s="144" t="n">
        <v>1221</v>
      </c>
      <c r="I3025" s="144" t="inlineStr">
        <is>
          <t>COMMERCIAL</t>
        </is>
      </c>
    </row>
    <row r="3026" ht="18" customHeight="1" s="7">
      <c r="A3026" s="144" t="inlineStr">
        <is>
          <t>DRAGAN STANISIC</t>
        </is>
      </c>
      <c r="B3026" s="144" t="inlineStr">
        <is>
          <t>S352160640440 MA</t>
        </is>
      </c>
      <c r="C3026" s="144" t="inlineStr">
        <is>
          <t xml:space="preserve">MERCURY </t>
        </is>
      </c>
      <c r="D3026" s="144" t="n">
        <v>7279026155</v>
      </c>
      <c r="E3026" s="144" t="inlineStr">
        <is>
          <t>FLAT</t>
        </is>
      </c>
      <c r="F3026" s="144" t="inlineStr">
        <is>
          <t>3750478 IN</t>
        </is>
      </c>
      <c r="G3026" s="144" t="inlineStr">
        <is>
          <t>BLUE FREIGHTLINER</t>
        </is>
      </c>
      <c r="H3026" s="144" t="inlineStr">
        <is>
          <t>2500 BROOM</t>
        </is>
      </c>
      <c r="I3026" s="144" t="inlineStr">
        <is>
          <t>COMMERCIAL</t>
        </is>
      </c>
    </row>
    <row r="3027" ht="18" customHeight="1" s="7">
      <c r="A3027" s="144" t="inlineStr">
        <is>
          <t>MARASLI FURKAN</t>
        </is>
      </c>
      <c r="B3027" s="144" t="inlineStr">
        <is>
          <t>053784552 GA</t>
        </is>
      </c>
      <c r="C3027" s="144" t="inlineStr">
        <is>
          <t>FB EXPRESS</t>
        </is>
      </c>
      <c r="D3027" s="144" t="n">
        <v>6788626019</v>
      </c>
      <c r="E3027" s="144" t="inlineStr">
        <is>
          <t>FLAT</t>
        </is>
      </c>
      <c r="F3027" s="144" t="inlineStr">
        <is>
          <t>C101FD GA</t>
        </is>
      </c>
      <c r="G3027" s="144" t="inlineStr">
        <is>
          <t>BLUE VOLVO</t>
        </is>
      </c>
      <c r="H3027" s="144" t="n">
        <v>1221</v>
      </c>
      <c r="I3027" s="144" t="inlineStr">
        <is>
          <t>COMMERCIAL</t>
        </is>
      </c>
    </row>
    <row r="3028" ht="18" customHeight="1" s="7">
      <c r="A3028" s="144" t="inlineStr">
        <is>
          <t>JONATHAN ICARD</t>
        </is>
      </c>
      <c r="B3028" s="144" t="inlineStr">
        <is>
          <t>*058393315 GA</t>
        </is>
      </c>
      <c r="C3028" s="144" t="inlineStr">
        <is>
          <t>KINETIC</t>
        </is>
      </c>
      <c r="D3028" s="144" t="n">
        <v>4789515062</v>
      </c>
      <c r="E3028" s="144" t="inlineStr">
        <is>
          <t>PU</t>
        </is>
      </c>
      <c r="F3028" s="144" t="inlineStr">
        <is>
          <t>RYX1015 GA</t>
        </is>
      </c>
      <c r="G3028" s="144" t="inlineStr">
        <is>
          <t>WHITE CHEVY</t>
        </is>
      </c>
      <c r="H3028" s="144" t="inlineStr">
        <is>
          <t>GATE 1/5</t>
        </is>
      </c>
      <c r="I3028" s="144" t="inlineStr">
        <is>
          <t>CONTRACTOR</t>
        </is>
      </c>
    </row>
    <row r="3029" ht="18" customHeight="1" s="7">
      <c r="A3029" s="144" t="inlineStr">
        <is>
          <t>GIA NATE</t>
        </is>
      </c>
      <c r="B3029" s="144" t="inlineStr">
        <is>
          <t>*000034359762 NC</t>
        </is>
      </c>
      <c r="C3029" s="144" t="inlineStr">
        <is>
          <t>TESLA</t>
        </is>
      </c>
      <c r="D3029" s="144" t="n">
        <v>3365498395</v>
      </c>
      <c r="E3029" s="144" t="inlineStr">
        <is>
          <t>FLAT</t>
        </is>
      </c>
      <c r="F3029" s="144" t="inlineStr">
        <is>
          <t>P1130588 IL</t>
        </is>
      </c>
      <c r="G3029" s="144" t="inlineStr">
        <is>
          <t>WHITE FREIGHTLINER</t>
        </is>
      </c>
      <c r="H3029" s="144" t="n">
        <v>1221</v>
      </c>
      <c r="I3029" s="144" t="inlineStr">
        <is>
          <t>COMMERCIAL</t>
        </is>
      </c>
    </row>
    <row r="3030" ht="18" customHeight="1" s="7">
      <c r="A3030" s="144" t="inlineStr">
        <is>
          <t>NARAIN SIMRANJIT</t>
        </is>
      </c>
      <c r="B3030" s="144" t="inlineStr">
        <is>
          <t>9371390395 IN</t>
        </is>
      </c>
      <c r="C3030" s="144" t="inlineStr">
        <is>
          <t>SAADHU</t>
        </is>
      </c>
      <c r="D3030" s="144" t="n">
        <v>6092876778</v>
      </c>
      <c r="E3030" s="144" t="inlineStr">
        <is>
          <t>BOX</t>
        </is>
      </c>
      <c r="F3030" s="144" t="inlineStr">
        <is>
          <t>3814247 IN</t>
        </is>
      </c>
      <c r="G3030" s="144" t="inlineStr">
        <is>
          <t>BLUE FREIGHTLINER</t>
        </is>
      </c>
      <c r="H3030" s="144" t="n">
        <v>1221</v>
      </c>
      <c r="I3030" s="144" t="inlineStr">
        <is>
          <t>COMMERCIAL</t>
        </is>
      </c>
    </row>
    <row r="3031" ht="18" customHeight="1" s="7">
      <c r="A3031" s="144" t="inlineStr">
        <is>
          <t>REYNOLDS DANIEL JR</t>
        </is>
      </c>
      <c r="B3031" s="144" t="inlineStr">
        <is>
          <t>*007390897 SC</t>
        </is>
      </c>
      <c r="C3031" s="144" t="inlineStr">
        <is>
          <t>BRABUS</t>
        </is>
      </c>
      <c r="D3031" s="144" t="n">
        <v>8036264367</v>
      </c>
      <c r="E3031" s="144" t="inlineStr">
        <is>
          <t>BOX</t>
        </is>
      </c>
      <c r="F3031" s="144" t="inlineStr">
        <is>
          <t>P1283219 IL</t>
        </is>
      </c>
      <c r="G3031" s="144" t="inlineStr">
        <is>
          <t>GRAY KENWORTH</t>
        </is>
      </c>
      <c r="H3031" s="144" t="n">
        <v>1221</v>
      </c>
      <c r="I3031" s="144" t="inlineStr">
        <is>
          <t>COMMERCIAL</t>
        </is>
      </c>
    </row>
    <row r="3032" ht="18" customHeight="1" s="7">
      <c r="A3032" s="144" t="inlineStr">
        <is>
          <t>ADRAIN SPANN</t>
        </is>
      </c>
      <c r="B3032" s="144" t="inlineStr">
        <is>
          <t>101881500 SC</t>
        </is>
      </c>
      <c r="C3032" s="144" t="inlineStr">
        <is>
          <t>MOMENTUM TRUCKING</t>
        </is>
      </c>
      <c r="D3032" s="144" t="n">
        <v>8033613675</v>
      </c>
      <c r="E3032" s="144" t="inlineStr">
        <is>
          <t>BOX</t>
        </is>
      </c>
      <c r="F3032" s="144" t="inlineStr">
        <is>
          <t>P773295 SC</t>
        </is>
      </c>
      <c r="G3032" s="144" t="inlineStr">
        <is>
          <t>GRAY FREIGHTLINER</t>
        </is>
      </c>
      <c r="H3032" s="144" t="n">
        <v>1221</v>
      </c>
      <c r="I3032" s="144" t="inlineStr">
        <is>
          <t>COMMERCIAL</t>
        </is>
      </c>
    </row>
    <row r="3033" ht="18" customHeight="1" s="7">
      <c r="A3033" s="144" t="inlineStr">
        <is>
          <t>RUSSELL ARNOLD</t>
        </is>
      </c>
      <c r="B3033" s="144" t="inlineStr">
        <is>
          <t>*054313246 GA</t>
        </is>
      </c>
      <c r="C3033" s="144" t="inlineStr">
        <is>
          <t>GEA</t>
        </is>
      </c>
      <c r="D3033" s="144" t="n">
        <v>2294058781</v>
      </c>
      <c r="E3033" s="144" t="inlineStr">
        <is>
          <t>PU</t>
        </is>
      </c>
      <c r="F3033" s="144" t="inlineStr">
        <is>
          <t>SBU8011 GA</t>
        </is>
      </c>
      <c r="G3033" s="144" t="inlineStr">
        <is>
          <t>WHITE CHEVY</t>
        </is>
      </c>
      <c r="H3033" s="144" t="n">
        <v>7250</v>
      </c>
      <c r="I3033" s="144" t="inlineStr">
        <is>
          <t>CONTRACTOR</t>
        </is>
      </c>
    </row>
    <row r="3034" ht="18" customHeight="1" s="7">
      <c r="A3034" s="144" t="inlineStr">
        <is>
          <t>CARLEE ALLEN</t>
        </is>
      </c>
      <c r="B3034" s="144" t="inlineStr">
        <is>
          <t>*054392968 GA</t>
        </is>
      </c>
      <c r="C3034" s="144" t="inlineStr">
        <is>
          <t>ATS</t>
        </is>
      </c>
      <c r="D3034" s="144" t="n">
        <v>7706162868</v>
      </c>
      <c r="E3034" s="144" t="inlineStr">
        <is>
          <t>BOX</t>
        </is>
      </c>
      <c r="F3034" s="144" t="inlineStr">
        <is>
          <t>3608164 IN</t>
        </is>
      </c>
      <c r="G3034" s="144" t="inlineStr">
        <is>
          <t>RED FREIGHTLINER</t>
        </is>
      </c>
      <c r="H3034" s="144" t="n">
        <v>1221</v>
      </c>
      <c r="I3034" s="144" t="inlineStr">
        <is>
          <t>COMMERCIAL</t>
        </is>
      </c>
    </row>
    <row r="3035" ht="18" customHeight="1" s="7">
      <c r="A3035" s="144" t="inlineStr">
        <is>
          <t>HERRIN STUART</t>
        </is>
      </c>
      <c r="B3035" s="144" t="inlineStr">
        <is>
          <t>10332732 TX</t>
        </is>
      </c>
      <c r="C3035" s="144" t="inlineStr">
        <is>
          <t>H&amp;H HOTSHOT</t>
        </is>
      </c>
      <c r="D3035" s="144" t="n">
        <v>9032404239</v>
      </c>
      <c r="E3035" s="144" t="inlineStr">
        <is>
          <t>PU</t>
        </is>
      </c>
      <c r="F3035" s="144" t="inlineStr">
        <is>
          <t>8201500 TX</t>
        </is>
      </c>
      <c r="G3035" s="144" t="inlineStr">
        <is>
          <t>WHITE FORD</t>
        </is>
      </c>
      <c r="H3035" s="144" t="n">
        <v>1221</v>
      </c>
      <c r="I3035" s="144" t="inlineStr">
        <is>
          <t>CONTRACTOR</t>
        </is>
      </c>
    </row>
    <row r="3036" ht="18" customHeight="1" s="7">
      <c r="A3036" s="144" t="inlineStr">
        <is>
          <t>FRANK EGEDE</t>
        </is>
      </c>
      <c r="B3036" s="144" t="inlineStr">
        <is>
          <t>*059902847 GA</t>
        </is>
      </c>
      <c r="C3036" s="144" t="inlineStr">
        <is>
          <t>GOLDEN TOUCH</t>
        </is>
      </c>
      <c r="D3036" s="144" t="n">
        <v>6783258814</v>
      </c>
      <c r="E3036" s="144" t="inlineStr">
        <is>
          <t>BOX</t>
        </is>
      </c>
      <c r="F3036" s="144" t="inlineStr">
        <is>
          <t>C622EW GA</t>
        </is>
      </c>
      <c r="G3036" s="144" t="inlineStr">
        <is>
          <t>WHITE VOLVO</t>
        </is>
      </c>
      <c r="H3036" s="144" t="n">
        <v>1221</v>
      </c>
      <c r="I3036" s="144" t="inlineStr">
        <is>
          <t>COMMERCIAL</t>
        </is>
      </c>
    </row>
    <row r="3037" ht="18" customHeight="1" s="7">
      <c r="A3037" s="144" t="inlineStr">
        <is>
          <t>JOHNSON TONY</t>
        </is>
      </c>
      <c r="B3037" s="144" t="inlineStr">
        <is>
          <t>G99311022 KY</t>
        </is>
      </c>
      <c r="C3037" s="144" t="inlineStr">
        <is>
          <t>HIGH BOOST</t>
        </is>
      </c>
      <c r="D3037" s="144" t="n">
        <v>8594753336</v>
      </c>
      <c r="E3037" s="144" t="inlineStr">
        <is>
          <t>BOX</t>
        </is>
      </c>
      <c r="F3037" s="144" t="inlineStr">
        <is>
          <t>P1265028 IL</t>
        </is>
      </c>
      <c r="G3037" s="144" t="inlineStr">
        <is>
          <t>WHITE FREIGHTLINER</t>
        </is>
      </c>
      <c r="H3037" s="144" t="n">
        <v>1221</v>
      </c>
      <c r="I3037" s="144" t="inlineStr">
        <is>
          <t>COMMERCIAL</t>
        </is>
      </c>
    </row>
    <row r="3038" ht="18" customHeight="1" s="7">
      <c r="A3038" s="144" t="inlineStr">
        <is>
          <t>SUAREZ MEDINA</t>
        </is>
      </c>
      <c r="B3038" s="144" t="inlineStr">
        <is>
          <t>S625526832950 FL</t>
        </is>
      </c>
      <c r="C3038" s="144" t="inlineStr">
        <is>
          <t>HENRIQUEZ TRUCKING</t>
        </is>
      </c>
      <c r="D3038" s="144" t="n">
        <v>7863894693</v>
      </c>
      <c r="E3038" s="144" t="inlineStr">
        <is>
          <t>BOX</t>
        </is>
      </c>
      <c r="F3038" s="144" t="inlineStr">
        <is>
          <t>XE64G FL</t>
        </is>
      </c>
      <c r="G3038" s="144" t="inlineStr">
        <is>
          <t>BLUE VOLVO</t>
        </is>
      </c>
      <c r="H3038" s="144" t="n">
        <v>1221</v>
      </c>
      <c r="I3038" s="144" t="inlineStr">
        <is>
          <t>COMMERCIAL</t>
        </is>
      </c>
    </row>
    <row r="3039" ht="18" customHeight="1" s="7">
      <c r="A3039" s="144" t="inlineStr">
        <is>
          <t>DIAZ YUDIER</t>
        </is>
      </c>
      <c r="B3039" s="144" t="inlineStr">
        <is>
          <t>D239201454000 FL</t>
        </is>
      </c>
      <c r="C3039" s="144" t="inlineStr">
        <is>
          <t>RELOAD TRANS</t>
        </is>
      </c>
      <c r="D3039" s="144" t="n">
        <v>7866028602</v>
      </c>
      <c r="E3039" s="144" t="inlineStr">
        <is>
          <t>BOX</t>
        </is>
      </c>
      <c r="F3039" s="144" t="inlineStr">
        <is>
          <t>P1251359 IL</t>
        </is>
      </c>
      <c r="G3039" s="144" t="inlineStr">
        <is>
          <t>WHITE FREIGHTLINER</t>
        </is>
      </c>
      <c r="H3039" s="144" t="n">
        <v>1221</v>
      </c>
      <c r="I3039" s="144" t="inlineStr">
        <is>
          <t>COMMERCIAL</t>
        </is>
      </c>
    </row>
    <row r="3040" ht="18" customHeight="1" s="7">
      <c r="A3040" s="144" t="inlineStr">
        <is>
          <t>GOOSEY ROGER</t>
        </is>
      </c>
      <c r="B3040" s="144" t="inlineStr">
        <is>
          <t>V036072003 MO</t>
        </is>
      </c>
      <c r="C3040" s="144" t="inlineStr">
        <is>
          <t xml:space="preserve">MAYBACH </t>
        </is>
      </c>
      <c r="D3040" s="144" t="n">
        <v>5732531993</v>
      </c>
      <c r="E3040" s="144" t="inlineStr">
        <is>
          <t>BOX</t>
        </is>
      </c>
      <c r="F3040" s="144" t="inlineStr">
        <is>
          <t>P1125116 IL</t>
        </is>
      </c>
      <c r="G3040" s="144" t="inlineStr">
        <is>
          <t>WHITE MACK</t>
        </is>
      </c>
      <c r="H3040" s="144" t="n">
        <v>1221</v>
      </c>
      <c r="I3040" s="144" t="inlineStr">
        <is>
          <t>COMMERCIAL</t>
        </is>
      </c>
    </row>
    <row r="3041" ht="18" customHeight="1" s="7">
      <c r="A3041" s="144" t="inlineStr">
        <is>
          <t>MYKHAYLO GAMZA</t>
        </is>
      </c>
      <c r="B3041" s="144" t="inlineStr">
        <is>
          <t>G19260899 KY</t>
        </is>
      </c>
      <c r="C3041" s="144" t="inlineStr">
        <is>
          <t>JATO LOGISTIC</t>
        </is>
      </c>
      <c r="D3041" s="144" t="n">
        <v>4253504953</v>
      </c>
      <c r="E3041" s="144" t="inlineStr">
        <is>
          <t>FLAT</t>
        </is>
      </c>
      <c r="F3041" s="144" t="inlineStr">
        <is>
          <t>RP17069 WA</t>
        </is>
      </c>
      <c r="G3041" s="144" t="inlineStr">
        <is>
          <t>RED FREIGHTLINER</t>
        </is>
      </c>
      <c r="H3041" s="144" t="n">
        <v>1221</v>
      </c>
      <c r="I3041" s="144" t="inlineStr">
        <is>
          <t>COMMERCIAL</t>
        </is>
      </c>
    </row>
    <row r="3042" ht="18" customHeight="1" s="7">
      <c r="A3042" s="144" t="inlineStr">
        <is>
          <t>DERRICK CODY</t>
        </is>
      </c>
      <c r="B3042" s="144" t="inlineStr">
        <is>
          <t>051197007 GA</t>
        </is>
      </c>
      <c r="C3042" s="144" t="inlineStr">
        <is>
          <t>E-3 TRANS</t>
        </is>
      </c>
      <c r="D3042" s="144" t="n">
        <v>4043388102</v>
      </c>
      <c r="E3042" s="144" t="inlineStr">
        <is>
          <t>BOX</t>
        </is>
      </c>
      <c r="F3042" s="144" t="inlineStr">
        <is>
          <t>C538FA GA</t>
        </is>
      </c>
      <c r="G3042" s="144" t="inlineStr">
        <is>
          <t>BLACK VOLVO</t>
        </is>
      </c>
      <c r="H3042" s="144" t="n">
        <v>1221</v>
      </c>
      <c r="I3042" s="144" t="inlineStr">
        <is>
          <t>COMMERCIAL</t>
        </is>
      </c>
    </row>
    <row r="3043" ht="18" customHeight="1" s="7">
      <c r="A3043" s="144" t="inlineStr">
        <is>
          <t>DAMIEN JIMENEZ</t>
        </is>
      </c>
      <c r="B3043" s="144" t="inlineStr">
        <is>
          <t>17593648 TX</t>
        </is>
      </c>
      <c r="C3043" s="144" t="inlineStr">
        <is>
          <t>TEXAS CERTIFIED</t>
        </is>
      </c>
      <c r="D3043" s="144" t="n">
        <v>3612321323</v>
      </c>
      <c r="E3043" s="144" t="inlineStr">
        <is>
          <t>PU</t>
        </is>
      </c>
      <c r="F3043" s="144" t="inlineStr">
        <is>
          <t>K192979 TX</t>
        </is>
      </c>
      <c r="G3043" s="144" t="inlineStr">
        <is>
          <t>GREY FORD</t>
        </is>
      </c>
      <c r="H3043" s="144" t="n">
        <v>1221</v>
      </c>
      <c r="I3043" s="144" t="inlineStr">
        <is>
          <t>CONTRACTOR</t>
        </is>
      </c>
    </row>
    <row r="3044" ht="18" customHeight="1" s="7">
      <c r="A3044" s="144" t="inlineStr">
        <is>
          <t>ERNEST DORSEY JR</t>
        </is>
      </c>
      <c r="B3044" s="144" t="inlineStr">
        <is>
          <t>024272613 GA</t>
        </is>
      </c>
      <c r="C3044" s="144" t="inlineStr">
        <is>
          <t>MILL HOUSE</t>
        </is>
      </c>
      <c r="D3044" s="144" t="n">
        <v>4788414191</v>
      </c>
      <c r="E3044" s="144" t="inlineStr">
        <is>
          <t>VAN</t>
        </is>
      </c>
      <c r="F3044" s="144" t="inlineStr">
        <is>
          <t>GAX658 GA</t>
        </is>
      </c>
      <c r="G3044" s="144" t="inlineStr">
        <is>
          <t>WHITE FORD</t>
        </is>
      </c>
      <c r="H3044" s="144" t="n">
        <v>1221</v>
      </c>
      <c r="I3044" s="144" t="inlineStr">
        <is>
          <t>CONTRACTOR</t>
        </is>
      </c>
    </row>
    <row r="3045" ht="18" customHeight="1" s="7">
      <c r="A3045" s="144" t="inlineStr">
        <is>
          <t>JIMENEZ JOSE</t>
        </is>
      </c>
      <c r="B3045" s="144" t="inlineStr">
        <is>
          <t>16193612 TX</t>
        </is>
      </c>
      <c r="C3045" s="144" t="inlineStr">
        <is>
          <t>UNITED VAN LINES</t>
        </is>
      </c>
      <c r="D3045" s="144" t="n">
        <v>2819240947</v>
      </c>
      <c r="E3045" s="144" t="inlineStr">
        <is>
          <t>BOX</t>
        </is>
      </c>
      <c r="F3045" s="144" t="inlineStr">
        <is>
          <t>42AS3L MO</t>
        </is>
      </c>
      <c r="G3045" s="144" t="inlineStr">
        <is>
          <t>WHITE VOLVO</t>
        </is>
      </c>
      <c r="H3045" s="144" t="inlineStr">
        <is>
          <t>HOUSING</t>
        </is>
      </c>
      <c r="I3045" s="144" t="inlineStr">
        <is>
          <t>COMMERCIAL</t>
        </is>
      </c>
    </row>
    <row r="3046" ht="18" customHeight="1" s="7">
      <c r="A3046" s="144" t="inlineStr">
        <is>
          <t>FRANCOIS EVANS</t>
        </is>
      </c>
      <c r="B3046" s="144" t="inlineStr">
        <is>
          <t>5400428125 IN</t>
        </is>
      </c>
      <c r="C3046" s="144" t="inlineStr">
        <is>
          <t>MAXIM EXP</t>
        </is>
      </c>
      <c r="D3046" s="144" t="n">
        <v>3213017624</v>
      </c>
      <c r="E3046" s="144" t="inlineStr">
        <is>
          <t>BOX</t>
        </is>
      </c>
      <c r="F3046" s="144" t="inlineStr">
        <is>
          <t>P1260575 IL</t>
        </is>
      </c>
      <c r="G3046" s="144" t="inlineStr">
        <is>
          <t>GREEN FREIGHTLINER</t>
        </is>
      </c>
      <c r="H3046" s="144" t="n">
        <v>1221</v>
      </c>
      <c r="I3046" s="144" t="inlineStr">
        <is>
          <t>COMMERCIAL</t>
        </is>
      </c>
    </row>
    <row r="3047" ht="18" customHeight="1" s="7">
      <c r="A3047" s="144" t="inlineStr">
        <is>
          <t>FISHER DEBORAH</t>
        </is>
      </c>
      <c r="B3047" s="144" t="inlineStr">
        <is>
          <t>13364100 TX</t>
        </is>
      </c>
      <c r="C3047" s="144" t="inlineStr">
        <is>
          <t>GREEN VALLEY TRAN</t>
        </is>
      </c>
      <c r="D3047" s="144" t="n">
        <v>2147070533</v>
      </c>
      <c r="E3047" s="144" t="inlineStr">
        <is>
          <t>BOX</t>
        </is>
      </c>
      <c r="F3047" s="144" t="inlineStr">
        <is>
          <t>V2380HY TN</t>
        </is>
      </c>
      <c r="G3047" s="144" t="inlineStr">
        <is>
          <t>BLUE FREIGHTLINER</t>
        </is>
      </c>
      <c r="H3047" s="144" t="n">
        <v>1221</v>
      </c>
      <c r="I3047" s="144" t="inlineStr">
        <is>
          <t>COMMERCIAL</t>
        </is>
      </c>
    </row>
    <row r="3048" ht="18" customHeight="1" s="7">
      <c r="A3048" s="144" t="inlineStr">
        <is>
          <t>ZACHARY BARKER</t>
        </is>
      </c>
      <c r="B3048" s="144" t="inlineStr">
        <is>
          <t>*058198987 GA</t>
        </is>
      </c>
      <c r="C3048" s="144" t="inlineStr">
        <is>
          <t>MARVEL EXPRESS</t>
        </is>
      </c>
      <c r="D3048" s="144" t="n">
        <v>4049806436</v>
      </c>
      <c r="E3048" s="144" t="inlineStr">
        <is>
          <t>BOX</t>
        </is>
      </c>
      <c r="F3048" s="144" t="inlineStr">
        <is>
          <t>C284ES GA</t>
        </is>
      </c>
      <c r="G3048" s="144" t="inlineStr">
        <is>
          <t>WHITE INTER</t>
        </is>
      </c>
      <c r="H3048" s="144" t="n">
        <v>1221</v>
      </c>
      <c r="I3048" s="144" t="inlineStr">
        <is>
          <t>COMMERCIAL</t>
        </is>
      </c>
    </row>
    <row r="3049" ht="18" customHeight="1" s="7">
      <c r="A3049" s="144" t="inlineStr">
        <is>
          <t>SAMSONOV ANDREY</t>
        </is>
      </c>
      <c r="B3049" s="144" t="inlineStr">
        <is>
          <t>S238980416000 FL</t>
        </is>
      </c>
      <c r="C3049" s="144" t="inlineStr">
        <is>
          <t>CLICK EXPRESS</t>
        </is>
      </c>
      <c r="D3049" s="144" t="n">
        <v>3216098735</v>
      </c>
      <c r="E3049" s="144" t="inlineStr">
        <is>
          <t>BOX</t>
        </is>
      </c>
      <c r="F3049" s="144" t="inlineStr">
        <is>
          <t>P1245297 IL</t>
        </is>
      </c>
      <c r="G3049" s="144" t="inlineStr">
        <is>
          <t>WHITE INTERNATIONAL</t>
        </is>
      </c>
      <c r="H3049" s="144" t="n">
        <v>1221</v>
      </c>
      <c r="I3049" s="144" t="inlineStr">
        <is>
          <t>COMMERICAL</t>
        </is>
      </c>
    </row>
    <row r="3050" ht="18" customHeight="1" s="7">
      <c r="A3050" s="144" t="inlineStr">
        <is>
          <t>BERNARD WILLIS</t>
        </is>
      </c>
      <c r="B3050" s="144" t="inlineStr">
        <is>
          <t>054363675 GA</t>
        </is>
      </c>
      <c r="C3050" s="144" t="inlineStr">
        <is>
          <t>KIDD ASSOCIATE</t>
        </is>
      </c>
      <c r="D3050" s="144" t="n">
        <v>6784000810</v>
      </c>
      <c r="E3050" s="144" t="inlineStr">
        <is>
          <t>VAN</t>
        </is>
      </c>
      <c r="F3050" s="144" t="inlineStr">
        <is>
          <t>CFD1219 GA</t>
        </is>
      </c>
      <c r="G3050" s="144" t="inlineStr">
        <is>
          <t>WHITE DODGE</t>
        </is>
      </c>
      <c r="H3050" s="144" t="n">
        <v>2320</v>
      </c>
      <c r="I3050" s="144" t="inlineStr">
        <is>
          <t>CONTRACTOR</t>
        </is>
      </c>
    </row>
    <row r="3051" ht="18" customHeight="1" s="7">
      <c r="A3051" s="144" t="inlineStr">
        <is>
          <t>MAHDI LIBAN</t>
        </is>
      </c>
      <c r="B3051" s="144" t="inlineStr">
        <is>
          <t>VK027000 OH</t>
        </is>
      </c>
      <c r="C3051" s="144" t="inlineStr">
        <is>
          <t>SOS FREIGHT</t>
        </is>
      </c>
      <c r="D3051" s="144" t="n">
        <v>6147363033</v>
      </c>
      <c r="E3051" s="144" t="inlineStr">
        <is>
          <t>BOX</t>
        </is>
      </c>
      <c r="F3051" s="144" t="inlineStr">
        <is>
          <t>PWU8632 OH</t>
        </is>
      </c>
      <c r="G3051" s="144" t="inlineStr">
        <is>
          <t>WHITE FREIGHTLINER</t>
        </is>
      </c>
      <c r="H3051" s="144" t="n">
        <v>1221</v>
      </c>
      <c r="I3051" s="144" t="inlineStr">
        <is>
          <t>COMMERICAL</t>
        </is>
      </c>
    </row>
    <row r="3052" ht="18" customHeight="1" s="7">
      <c r="A3052" s="144" t="inlineStr">
        <is>
          <t>FRED MCDOWELL</t>
        </is>
      </c>
      <c r="B3052" s="144" t="inlineStr">
        <is>
          <t>S98164653 KY</t>
        </is>
      </c>
      <c r="C3052" s="144" t="inlineStr">
        <is>
          <t>NITRO</t>
        </is>
      </c>
      <c r="D3052" s="144" t="n">
        <v>5028769129</v>
      </c>
      <c r="E3052" s="144" t="inlineStr">
        <is>
          <t>BOX</t>
        </is>
      </c>
      <c r="F3052" s="144" t="inlineStr">
        <is>
          <t>3672163 IN</t>
        </is>
      </c>
      <c r="G3052" s="144" t="inlineStr">
        <is>
          <t>GRAY VOLVO</t>
        </is>
      </c>
      <c r="H3052" s="144" t="n">
        <v>1221</v>
      </c>
      <c r="I3052" s="144" t="inlineStr">
        <is>
          <t>COMMERICAL</t>
        </is>
      </c>
    </row>
    <row r="3053" ht="18" customHeight="1" s="7">
      <c r="A3053" s="144" t="inlineStr">
        <is>
          <t>JASON DIDDLE</t>
        </is>
      </c>
      <c r="B3053" s="144" t="inlineStr">
        <is>
          <t>071483781 GA</t>
        </is>
      </c>
      <c r="C3053" s="144" t="inlineStr">
        <is>
          <t>ALBANY AC</t>
        </is>
      </c>
      <c r="D3053" s="144" t="n">
        <v>2294360341</v>
      </c>
      <c r="E3053" s="144" t="inlineStr">
        <is>
          <t>VAN</t>
        </is>
      </c>
      <c r="F3053" s="144" t="inlineStr">
        <is>
          <t>CXM6640 GA</t>
        </is>
      </c>
      <c r="G3053" s="144" t="inlineStr">
        <is>
          <t>WHITE FORD</t>
        </is>
      </c>
      <c r="H3053" s="144" t="n">
        <v>7960</v>
      </c>
      <c r="I3053" s="144" t="inlineStr">
        <is>
          <t>CONTRACTOR</t>
        </is>
      </c>
    </row>
    <row r="3054" ht="18" customHeight="1" s="7">
      <c r="A3054" s="144" t="inlineStr">
        <is>
          <t>BRANDON WASHINGTON</t>
        </is>
      </c>
      <c r="B3054" s="144" t="inlineStr">
        <is>
          <t>W252073864600 FL</t>
        </is>
      </c>
      <c r="C3054" s="144" t="inlineStr">
        <is>
          <t>WILLSCOTT</t>
        </is>
      </c>
      <c r="D3054" s="144" t="n">
        <v>8506661940</v>
      </c>
      <c r="E3054" s="144" t="inlineStr">
        <is>
          <t>VAN</t>
        </is>
      </c>
      <c r="F3054" s="144" t="inlineStr">
        <is>
          <t>3511818 IN</t>
        </is>
      </c>
      <c r="G3054" s="144" t="inlineStr">
        <is>
          <t>WHITE FORD</t>
        </is>
      </c>
      <c r="H3054" s="144" t="inlineStr">
        <is>
          <t>GATE 15</t>
        </is>
      </c>
      <c r="I3054" s="144" t="inlineStr">
        <is>
          <t>CONTRACTOR</t>
        </is>
      </c>
    </row>
    <row r="3055" ht="18" customHeight="1" s="7">
      <c r="A3055" s="144" t="inlineStr">
        <is>
          <t>LEWIS LABRAXTON</t>
        </is>
      </c>
      <c r="B3055" s="144" t="inlineStr">
        <is>
          <t>058051388 GA</t>
        </is>
      </c>
      <c r="C3055" s="144" t="inlineStr">
        <is>
          <t>LADE</t>
        </is>
      </c>
      <c r="D3055" s="144" t="n">
        <v>2297859550</v>
      </c>
      <c r="E3055" s="144" t="inlineStr">
        <is>
          <t>VAN</t>
        </is>
      </c>
      <c r="F3055" s="144" t="inlineStr">
        <is>
          <t>SHX9161 GA</t>
        </is>
      </c>
      <c r="G3055" s="144" t="inlineStr">
        <is>
          <t>WHITE FORD</t>
        </is>
      </c>
      <c r="H3055" s="144" t="inlineStr">
        <is>
          <t>BASEWIDE</t>
        </is>
      </c>
      <c r="I3055" s="144" t="inlineStr">
        <is>
          <t>CONTRACTOR</t>
        </is>
      </c>
    </row>
    <row r="3056" ht="18" customHeight="1" s="7">
      <c r="A3056" s="144" t="inlineStr">
        <is>
          <t>RODRIGUEZ ARLEN</t>
        </is>
      </c>
      <c r="B3056" s="144" t="inlineStr">
        <is>
          <t>D11082591 AZ</t>
        </is>
      </c>
      <c r="C3056" s="144" t="inlineStr">
        <is>
          <t>2 HEARTS</t>
        </is>
      </c>
      <c r="D3056" s="144" t="n">
        <v>6232970386</v>
      </c>
      <c r="E3056" s="144" t="inlineStr">
        <is>
          <t>FLAT</t>
        </is>
      </c>
      <c r="F3056" s="144" t="inlineStr">
        <is>
          <t>AM57605 AZ</t>
        </is>
      </c>
      <c r="G3056" s="144" t="inlineStr">
        <is>
          <t>BLUE VOLVO</t>
        </is>
      </c>
      <c r="H3056" s="144" t="n">
        <v>1221</v>
      </c>
      <c r="I3056" s="144" t="inlineStr">
        <is>
          <t>COMMERICAL</t>
        </is>
      </c>
    </row>
    <row r="3057" ht="18" customHeight="1" s="7">
      <c r="A3057" s="144" t="inlineStr">
        <is>
          <t>ERIC FOREHAND</t>
        </is>
      </c>
      <c r="B3057" s="144" t="inlineStr">
        <is>
          <t>F14577696 KY</t>
        </is>
      </c>
      <c r="C3057" s="144" t="inlineStr">
        <is>
          <t>VTI TRANS</t>
        </is>
      </c>
      <c r="D3057" s="144" t="n">
        <v>5025504278</v>
      </c>
      <c r="E3057" s="144" t="inlineStr">
        <is>
          <t>BOX</t>
        </is>
      </c>
      <c r="F3057" s="144" t="inlineStr">
        <is>
          <t>3884538 IN</t>
        </is>
      </c>
      <c r="G3057" s="144" t="inlineStr">
        <is>
          <t>WHITE FREIGHTLINER</t>
        </is>
      </c>
      <c r="H3057" s="144" t="n">
        <v>1221</v>
      </c>
      <c r="I3057" s="144" t="inlineStr">
        <is>
          <t>COMMERICAL</t>
        </is>
      </c>
    </row>
    <row r="3058" ht="18" customHeight="1" s="7">
      <c r="A3058" s="144" t="inlineStr">
        <is>
          <t>LANCE POWELL</t>
        </is>
      </c>
      <c r="B3058" s="144" t="inlineStr">
        <is>
          <t>049627516 GA</t>
        </is>
      </c>
      <c r="C3058" s="144" t="inlineStr">
        <is>
          <t>A WEST</t>
        </is>
      </c>
      <c r="D3058" s="144" t="n">
        <v>2292054003</v>
      </c>
      <c r="E3058" s="144" t="inlineStr">
        <is>
          <t>PU</t>
        </is>
      </c>
      <c r="F3058" s="144" t="inlineStr">
        <is>
          <t>CLX4860 GA</t>
        </is>
      </c>
      <c r="G3058" s="144" t="inlineStr">
        <is>
          <t>WHITE CHEV</t>
        </is>
      </c>
      <c r="H3058" s="144" t="n">
        <v>1121</v>
      </c>
      <c r="I3058" s="144" t="inlineStr">
        <is>
          <t>CONTRACTOR</t>
        </is>
      </c>
    </row>
    <row r="3059" ht="18" customHeight="1" s="7">
      <c r="A3059" s="144" t="inlineStr">
        <is>
          <t>TURSUNOV OLIM</t>
        </is>
      </c>
      <c r="B3059" s="144" t="inlineStr">
        <is>
          <t>VD668143 OH</t>
        </is>
      </c>
      <c r="C3059" s="144" t="inlineStr">
        <is>
          <t>BOGG EXPRESS</t>
        </is>
      </c>
      <c r="D3059" s="144" t="n">
        <v>9297771999</v>
      </c>
      <c r="E3059" s="144" t="inlineStr">
        <is>
          <t>BOX</t>
        </is>
      </c>
      <c r="F3059" s="144" t="inlineStr">
        <is>
          <t>PWN6213 OH</t>
        </is>
      </c>
      <c r="G3059" s="144" t="inlineStr">
        <is>
          <t>MAROON FREIGHTLINER</t>
        </is>
      </c>
      <c r="H3059" s="144" t="n">
        <v>1221</v>
      </c>
      <c r="I3059" s="144" t="inlineStr">
        <is>
          <t>COMMERICAL</t>
        </is>
      </c>
    </row>
    <row r="3060" ht="18" customHeight="1" s="7">
      <c r="A3060" s="144" t="inlineStr">
        <is>
          <t>NELSON TOMBE</t>
        </is>
      </c>
      <c r="B3060" s="144" t="inlineStr">
        <is>
          <t>27655543 PA</t>
        </is>
      </c>
      <c r="C3060" s="144" t="inlineStr">
        <is>
          <t>FRONTLINER INC</t>
        </is>
      </c>
      <c r="D3060" s="144" t="n">
        <v>8047098696</v>
      </c>
      <c r="E3060" s="144" t="inlineStr">
        <is>
          <t>BOX</t>
        </is>
      </c>
      <c r="F3060" s="144" t="inlineStr">
        <is>
          <t>PWZ9116 OH</t>
        </is>
      </c>
      <c r="G3060" s="144" t="inlineStr">
        <is>
          <t>WHITE FREIGHTLINER</t>
        </is>
      </c>
      <c r="H3060" s="144" t="n">
        <v>1221</v>
      </c>
      <c r="I3060" s="144" t="inlineStr">
        <is>
          <t>COMMERICAL</t>
        </is>
      </c>
    </row>
    <row r="3061" ht="18" customHeight="1" s="7">
      <c r="A3061" s="144" t="inlineStr">
        <is>
          <t>BOSHKHUJA SHARIF</t>
        </is>
      </c>
      <c r="B3061" s="144" t="inlineStr">
        <is>
          <t>C66062354 VA</t>
        </is>
      </c>
      <c r="C3061" s="144" t="inlineStr">
        <is>
          <t>BY LOGISTICS</t>
        </is>
      </c>
      <c r="D3061" s="144" t="n">
        <v>2027668247</v>
      </c>
      <c r="E3061" s="144" t="inlineStr">
        <is>
          <t>BOX</t>
        </is>
      </c>
      <c r="F3061" s="144" t="inlineStr">
        <is>
          <t>P1154212 IL</t>
        </is>
      </c>
      <c r="G3061" s="144" t="inlineStr">
        <is>
          <t>WHITE KENWORTH</t>
        </is>
      </c>
      <c r="H3061" s="144" t="n">
        <v>1221</v>
      </c>
      <c r="I3061" s="144" t="inlineStr">
        <is>
          <t>COMMERICAL</t>
        </is>
      </c>
    </row>
    <row r="3062" ht="18" customHeight="1" s="7">
      <c r="A3062" s="144" t="inlineStr">
        <is>
          <t>SAMANTHA CEASER</t>
        </is>
      </c>
      <c r="B3062" s="144" t="inlineStr">
        <is>
          <t>006238995 LA</t>
        </is>
      </c>
      <c r="C3062" s="144" t="inlineStr">
        <is>
          <t>LANDSTAR</t>
        </is>
      </c>
      <c r="D3062" s="144" t="n">
        <v>5043196736</v>
      </c>
      <c r="E3062" s="144" t="inlineStr">
        <is>
          <t>BOX</t>
        </is>
      </c>
      <c r="F3062" s="144" t="inlineStr">
        <is>
          <t>3062078 IN</t>
        </is>
      </c>
      <c r="G3062" s="144" t="inlineStr">
        <is>
          <t>WHITE WESTERN STAR</t>
        </is>
      </c>
      <c r="H3062" s="144" t="n">
        <v>1221</v>
      </c>
      <c r="I3062" s="144" t="inlineStr">
        <is>
          <t>COMMERICAL</t>
        </is>
      </c>
    </row>
    <row r="3063" ht="18" customHeight="1" s="7">
      <c r="A3063" s="144" t="inlineStr">
        <is>
          <t>ABDISALAM AHMED</t>
        </is>
      </c>
      <c r="B3063" s="144" t="n">
        <v>36954646</v>
      </c>
      <c r="C3063" s="144" t="inlineStr">
        <is>
          <t>LANDER LOGISTIC</t>
        </is>
      </c>
      <c r="D3063" s="144" t="n">
        <v>2105008173</v>
      </c>
      <c r="E3063" s="144" t="inlineStr">
        <is>
          <t>BOX</t>
        </is>
      </c>
      <c r="F3063" s="144" t="inlineStr">
        <is>
          <t>PXC6993 OH</t>
        </is>
      </c>
      <c r="G3063" s="144" t="inlineStr">
        <is>
          <t>WHITE FREIGHTLINER</t>
        </is>
      </c>
      <c r="H3063" s="144" t="n">
        <v>1351</v>
      </c>
      <c r="I3063" s="144" t="inlineStr">
        <is>
          <t>COMMERICAL</t>
        </is>
      </c>
    </row>
    <row r="3064" ht="18" customHeight="1" s="7">
      <c r="A3064" s="144" t="inlineStr">
        <is>
          <t>MONICA BURKE</t>
        </is>
      </c>
      <c r="B3064" s="144" t="inlineStr">
        <is>
          <t>B245128424000 FL</t>
        </is>
      </c>
      <c r="C3064" s="144" t="inlineStr">
        <is>
          <t>FEDEX</t>
        </is>
      </c>
      <c r="D3064" s="144" t="n">
        <v>7275800139</v>
      </c>
      <c r="E3064" s="144" t="inlineStr">
        <is>
          <t>BOX</t>
        </is>
      </c>
      <c r="F3064" s="144" t="inlineStr">
        <is>
          <t>PXA6364 OH</t>
        </is>
      </c>
      <c r="G3064" s="144" t="inlineStr">
        <is>
          <t>WHITE FREIGHTLINER</t>
        </is>
      </c>
      <c r="H3064" s="144" t="n">
        <v>1221</v>
      </c>
      <c r="I3064" s="144" t="inlineStr">
        <is>
          <t>COMMERICAL</t>
        </is>
      </c>
    </row>
    <row r="3065" ht="18" customHeight="1" s="7">
      <c r="A3065" s="144" t="inlineStr">
        <is>
          <t>MORGAN KNOTTS</t>
        </is>
      </c>
      <c r="B3065" s="144" t="inlineStr">
        <is>
          <t>105207816 SC</t>
        </is>
      </c>
      <c r="C3065" s="144" t="inlineStr">
        <is>
          <t>HOFFMAN</t>
        </is>
      </c>
      <c r="D3065" s="144" t="n">
        <v>8648845877</v>
      </c>
      <c r="E3065" s="144" t="inlineStr">
        <is>
          <t>PU</t>
        </is>
      </c>
      <c r="F3065" s="144" t="inlineStr">
        <is>
          <t>VC7243 NC</t>
        </is>
      </c>
      <c r="G3065" s="144" t="inlineStr">
        <is>
          <t>WHITE CHEC</t>
        </is>
      </c>
      <c r="H3065" s="144" t="n">
        <v>2010</v>
      </c>
      <c r="I3065" s="144" t="inlineStr">
        <is>
          <t>CONTRACTOR</t>
        </is>
      </c>
    </row>
    <row r="3066" ht="18" customHeight="1" s="7">
      <c r="A3066" s="144" t="inlineStr">
        <is>
          <t>CHRISTOPHER JOHNSON</t>
        </is>
      </c>
      <c r="B3066" s="144" t="inlineStr">
        <is>
          <t>37885705 TX</t>
        </is>
      </c>
      <c r="C3066" s="144" t="inlineStr">
        <is>
          <t xml:space="preserve">PLANET </t>
        </is>
      </c>
      <c r="D3066" s="144" t="n">
        <v>3467247825</v>
      </c>
      <c r="E3066" s="144" t="inlineStr">
        <is>
          <t>BOX</t>
        </is>
      </c>
      <c r="F3066" s="144" t="inlineStr">
        <is>
          <t>P1212493 IL</t>
        </is>
      </c>
      <c r="G3066" s="144" t="inlineStr">
        <is>
          <t>RED INTERNATIONAL</t>
        </is>
      </c>
      <c r="H3066" s="144" t="n">
        <v>1221</v>
      </c>
      <c r="I3066" s="144" t="inlineStr">
        <is>
          <t>COMMERICAL</t>
        </is>
      </c>
    </row>
    <row r="3067" ht="18" customHeight="1" s="7">
      <c r="A3067" s="144" t="inlineStr">
        <is>
          <t>STEFANIAI ROBERTO</t>
        </is>
      </c>
      <c r="B3067" s="144" t="inlineStr">
        <is>
          <t>21374509 TX</t>
        </is>
      </c>
      <c r="C3067" s="144" t="inlineStr">
        <is>
          <t>TWO BROTHERS</t>
        </is>
      </c>
      <c r="D3067" s="144" t="n">
        <v>2149008543</v>
      </c>
      <c r="E3067" s="144" t="inlineStr">
        <is>
          <t>BOX</t>
        </is>
      </c>
      <c r="F3067" s="144" t="inlineStr">
        <is>
          <t>P1239385 IL</t>
        </is>
      </c>
      <c r="G3067" s="144" t="inlineStr">
        <is>
          <t>WHITE VOLVO</t>
        </is>
      </c>
      <c r="H3067" s="144" t="n">
        <v>1221</v>
      </c>
      <c r="I3067" s="144" t="inlineStr">
        <is>
          <t>COMMERICAL</t>
        </is>
      </c>
    </row>
    <row r="3068" ht="18" customHeight="1" s="7">
      <c r="A3068" s="144" t="inlineStr">
        <is>
          <t>ZHANG FAN</t>
        </is>
      </c>
      <c r="B3068" s="144" t="inlineStr">
        <is>
          <t>49332498 TX</t>
        </is>
      </c>
      <c r="C3068" s="144" t="inlineStr">
        <is>
          <t>ACR</t>
        </is>
      </c>
      <c r="D3068" s="144" t="n">
        <v>8327781216</v>
      </c>
      <c r="E3068" s="144" t="inlineStr">
        <is>
          <t>BOX</t>
        </is>
      </c>
      <c r="F3068" s="144" t="inlineStr">
        <is>
          <t>P1227385 IL</t>
        </is>
      </c>
      <c r="G3068" s="144" t="inlineStr">
        <is>
          <t>WHITE FREIGHTLINER</t>
        </is>
      </c>
      <c r="H3068" s="144" t="n">
        <v>1221</v>
      </c>
      <c r="I3068" s="144" t="inlineStr">
        <is>
          <t>COMMERICAL</t>
        </is>
      </c>
    </row>
    <row r="3069" ht="18" customHeight="1" s="7">
      <c r="A3069" s="144" t="inlineStr">
        <is>
          <t>JEREMY MONTGOMERY</t>
        </is>
      </c>
      <c r="B3069" s="144" t="inlineStr">
        <is>
          <t>054658072 GA</t>
        </is>
      </c>
      <c r="C3069" s="144" t="inlineStr">
        <is>
          <t>WINDSTREAM</t>
        </is>
      </c>
      <c r="D3069" s="144" t="n">
        <v>2295160881</v>
      </c>
      <c r="E3069" s="144" t="inlineStr">
        <is>
          <t>PU</t>
        </is>
      </c>
      <c r="F3069" s="144" t="inlineStr">
        <is>
          <t>SKK0623 GA</t>
        </is>
      </c>
      <c r="G3069" s="144" t="inlineStr">
        <is>
          <t>WHITE DODGE</t>
        </is>
      </c>
      <c r="H3069" s="144" t="inlineStr">
        <is>
          <t>GATE 15</t>
        </is>
      </c>
      <c r="I3069" s="144" t="inlineStr">
        <is>
          <t>CONTRACTOR</t>
        </is>
      </c>
    </row>
    <row r="3070" ht="18" customHeight="1" s="7">
      <c r="A3070" s="144" t="inlineStr">
        <is>
          <t>LUCIAN ANDERSON</t>
        </is>
      </c>
      <c r="B3070" s="144" t="inlineStr">
        <is>
          <t>E182414 WV</t>
        </is>
      </c>
      <c r="C3070" s="144" t="inlineStr">
        <is>
          <t xml:space="preserve">BENNETT </t>
        </is>
      </c>
      <c r="D3070" s="144" t="n">
        <v>3045597218</v>
      </c>
      <c r="E3070" s="144" t="inlineStr">
        <is>
          <t>BOX</t>
        </is>
      </c>
      <c r="F3070" s="144" t="inlineStr">
        <is>
          <t>P11451443 IL</t>
        </is>
      </c>
      <c r="G3070" s="144" t="inlineStr">
        <is>
          <t>WHITE VOLVO</t>
        </is>
      </c>
      <c r="H3070" s="144" t="n">
        <v>1221</v>
      </c>
      <c r="I3070" s="144" t="inlineStr">
        <is>
          <t>COMMERCIAL</t>
        </is>
      </c>
    </row>
    <row r="3071" ht="18" customHeight="1" s="7">
      <c r="A3071" s="144" t="inlineStr">
        <is>
          <t>KEVIN LEE</t>
        </is>
      </c>
      <c r="B3071" s="144" t="inlineStr">
        <is>
          <t>049089955 GA</t>
        </is>
      </c>
      <c r="C3071" s="144" t="inlineStr">
        <is>
          <t>ALBANY ELEVATOR</t>
        </is>
      </c>
      <c r="D3071" s="144" t="n">
        <v>2298866364</v>
      </c>
      <c r="E3071" s="144" t="inlineStr">
        <is>
          <t>PU</t>
        </is>
      </c>
      <c r="F3071" s="144" t="inlineStr">
        <is>
          <t>SEN4988 GA</t>
        </is>
      </c>
      <c r="G3071" s="144" t="inlineStr">
        <is>
          <t>WHITE FORD</t>
        </is>
      </c>
      <c r="H3071" s="144" t="n">
        <v>3700</v>
      </c>
      <c r="I3071" s="144" t="inlineStr">
        <is>
          <t>CONTRACTOR</t>
        </is>
      </c>
    </row>
    <row r="3072" ht="18" customHeight="1" s="7">
      <c r="A3072" s="144" t="inlineStr">
        <is>
          <t>ABDI AHMED</t>
        </is>
      </c>
      <c r="B3072" s="144" t="inlineStr">
        <is>
          <t>*053929688 GA</t>
        </is>
      </c>
      <c r="C3072" s="144" t="inlineStr">
        <is>
          <t>JASB</t>
        </is>
      </c>
      <c r="D3072" s="144" t="n">
        <v>9139804633</v>
      </c>
      <c r="E3072" s="144" t="inlineStr">
        <is>
          <t>BOX</t>
        </is>
      </c>
      <c r="F3072" s="144" t="inlineStr">
        <is>
          <t>C382EH GA</t>
        </is>
      </c>
      <c r="G3072" s="144" t="inlineStr">
        <is>
          <t>RED FREIGHTLINER</t>
        </is>
      </c>
      <c r="H3072" s="144" t="n">
        <v>1221</v>
      </c>
      <c r="I3072" s="144" t="inlineStr">
        <is>
          <t>COMMERCIAL</t>
        </is>
      </c>
    </row>
    <row r="3073" ht="18" customHeight="1" s="7">
      <c r="A3073" s="144" t="inlineStr">
        <is>
          <t>AVDIC DZEVAD</t>
        </is>
      </c>
      <c r="B3073" s="144" t="inlineStr">
        <is>
          <t>A96823327 KY</t>
        </is>
      </c>
      <c r="C3073" s="144" t="inlineStr">
        <is>
          <t>TNT EXPRESS</t>
        </is>
      </c>
      <c r="D3073" s="144" t="n">
        <v>2703206902</v>
      </c>
      <c r="E3073" s="144" t="inlineStr">
        <is>
          <t>BOX</t>
        </is>
      </c>
      <c r="F3073" s="144" t="inlineStr">
        <is>
          <t>A64538 KY</t>
        </is>
      </c>
      <c r="G3073" s="144" t="inlineStr">
        <is>
          <t>RED VOLVO</t>
        </is>
      </c>
      <c r="H3073" s="144" t="n">
        <v>1221</v>
      </c>
      <c r="I3073" s="144" t="inlineStr">
        <is>
          <t>COMMERCIAL</t>
        </is>
      </c>
    </row>
    <row r="3074" ht="18" customHeight="1" s="7">
      <c r="A3074" s="144" t="inlineStr">
        <is>
          <t>NIJAZ BALTIC</t>
        </is>
      </c>
      <c r="B3074" s="144" t="inlineStr">
        <is>
          <t>161025676 NY</t>
        </is>
      </c>
      <c r="C3074" s="144" t="inlineStr">
        <is>
          <t>COMPASS FREIGHT</t>
        </is>
      </c>
      <c r="D3074" s="144" t="n">
        <v>3156012755</v>
      </c>
      <c r="E3074" s="144" t="inlineStr">
        <is>
          <t>BOX</t>
        </is>
      </c>
      <c r="F3074" s="144" t="inlineStr">
        <is>
          <t>000378A KY</t>
        </is>
      </c>
      <c r="G3074" s="144" t="inlineStr">
        <is>
          <t>RED FREIGHTLINER</t>
        </is>
      </c>
      <c r="H3074" s="144" t="n">
        <v>1221</v>
      </c>
      <c r="I3074" s="144" t="inlineStr">
        <is>
          <t>COMMERCIAL</t>
        </is>
      </c>
    </row>
    <row r="3075" ht="18" customHeight="1" s="7">
      <c r="A3075" s="144" t="inlineStr">
        <is>
          <t>JEFFERY HOWARD</t>
        </is>
      </c>
      <c r="B3075" s="144" t="inlineStr">
        <is>
          <t>*055617820 GA</t>
        </is>
      </c>
      <c r="C3075" s="144" t="inlineStr">
        <is>
          <t>AMERISOURCE</t>
        </is>
      </c>
      <c r="D3075" s="144" t="n">
        <v>2293926801</v>
      </c>
      <c r="E3075" s="144" t="inlineStr">
        <is>
          <t>VAN</t>
        </is>
      </c>
      <c r="F3075" s="144" t="inlineStr">
        <is>
          <t>ZHH299 GA</t>
        </is>
      </c>
      <c r="G3075" s="144" t="inlineStr">
        <is>
          <t>WHITE FORD</t>
        </is>
      </c>
      <c r="H3075" s="144" t="n">
        <v>7000</v>
      </c>
      <c r="I3075" s="144" t="inlineStr">
        <is>
          <t>CONTRACTOR</t>
        </is>
      </c>
    </row>
    <row r="3076" ht="18" customHeight="1" s="7">
      <c r="A3076" s="144" t="inlineStr">
        <is>
          <t>JOSEPH WILLIAMS</t>
        </is>
      </c>
      <c r="B3076" s="144" t="inlineStr">
        <is>
          <t>4474578 AL</t>
        </is>
      </c>
      <c r="C3076" s="144" t="inlineStr">
        <is>
          <t>TYLER LOGISTICS</t>
        </is>
      </c>
      <c r="D3076" s="144" t="n">
        <v>3342676007</v>
      </c>
      <c r="E3076" s="144" t="inlineStr">
        <is>
          <t>FLAT</t>
        </is>
      </c>
      <c r="F3076" s="144" t="inlineStr">
        <is>
          <t>1223239 AL</t>
        </is>
      </c>
      <c r="G3076" s="144" t="inlineStr">
        <is>
          <t>WHITE INTERNATIONAL</t>
        </is>
      </c>
      <c r="H3076" s="144" t="n">
        <v>1221</v>
      </c>
      <c r="I3076" s="144" t="inlineStr">
        <is>
          <t>COMMERCIAL</t>
        </is>
      </c>
    </row>
    <row r="3077" ht="18" customHeight="1" s="7">
      <c r="A3077" s="144" t="inlineStr">
        <is>
          <t>DWARKA JACKSON</t>
        </is>
      </c>
      <c r="B3077" s="144" t="inlineStr">
        <is>
          <t>*040330547 GA</t>
        </is>
      </c>
      <c r="C3077" s="144" t="inlineStr">
        <is>
          <t>RC LOGISTICS</t>
        </is>
      </c>
      <c r="D3077" s="144" t="n">
        <v>6789729341</v>
      </c>
      <c r="E3077" s="144" t="inlineStr">
        <is>
          <t>BOX</t>
        </is>
      </c>
      <c r="F3077" s="144" t="inlineStr">
        <is>
          <t>C369EX GA</t>
        </is>
      </c>
      <c r="G3077" s="144" t="inlineStr">
        <is>
          <t>BLACK KENWORTH</t>
        </is>
      </c>
      <c r="H3077" s="144" t="n">
        <v>1221</v>
      </c>
      <c r="I3077" s="144" t="inlineStr">
        <is>
          <t>COMMERCIAL</t>
        </is>
      </c>
    </row>
    <row r="3078" ht="18" customHeight="1" s="7">
      <c r="A3078" s="144" t="inlineStr">
        <is>
          <t>KRISTOPHER WALLACE</t>
        </is>
      </c>
      <c r="B3078" s="144" t="inlineStr">
        <is>
          <t>*054307918 GA</t>
        </is>
      </c>
      <c r="C3078" s="144" t="inlineStr">
        <is>
          <t>CONCRETE ENTERP</t>
        </is>
      </c>
      <c r="D3078" s="144" t="n">
        <v>2298881904</v>
      </c>
      <c r="E3078" s="144" t="inlineStr">
        <is>
          <t>MIXER</t>
        </is>
      </c>
      <c r="F3078" s="144" t="inlineStr">
        <is>
          <t>GA1104 GA</t>
        </is>
      </c>
      <c r="G3078" s="144" t="inlineStr">
        <is>
          <t>GREEN MACK</t>
        </is>
      </c>
      <c r="H3078" s="144" t="inlineStr">
        <is>
          <t>BASEWIDE</t>
        </is>
      </c>
      <c r="I3078" s="144" t="inlineStr">
        <is>
          <t>COMMERCIAL</t>
        </is>
      </c>
    </row>
    <row r="3079" ht="18" customHeight="1" s="7">
      <c r="A3079" s="144" t="inlineStr">
        <is>
          <t>MICHAEL GREENE</t>
        </is>
      </c>
      <c r="B3079" s="144" t="inlineStr">
        <is>
          <t>G650544823680 FL</t>
        </is>
      </c>
      <c r="C3079" s="144" t="inlineStr">
        <is>
          <t>PERIMETER SECURIT</t>
        </is>
      </c>
      <c r="D3079" s="144" t="n">
        <v>7163072744</v>
      </c>
      <c r="E3079" s="144" t="inlineStr">
        <is>
          <t>PU</t>
        </is>
      </c>
      <c r="F3079" s="144" t="inlineStr">
        <is>
          <t>97370 TN</t>
        </is>
      </c>
      <c r="G3079" s="144" t="inlineStr">
        <is>
          <t>WHITE FORD</t>
        </is>
      </c>
      <c r="H3079" s="144" t="inlineStr">
        <is>
          <t>GATE 15</t>
        </is>
      </c>
      <c r="I3079" s="144" t="inlineStr">
        <is>
          <t>CONTRACTOR</t>
        </is>
      </c>
    </row>
    <row r="3080" ht="18" customHeight="1" s="7">
      <c r="A3080" s="144" t="inlineStr">
        <is>
          <t>JOSE CANAVACIOLO</t>
        </is>
      </c>
      <c r="B3080" s="144" t="inlineStr">
        <is>
          <t>C327796510000 FL</t>
        </is>
      </c>
      <c r="C3080" s="144" t="inlineStr">
        <is>
          <t>MDX LINE</t>
        </is>
      </c>
      <c r="D3080" s="144" t="n">
        <v>6892035568</v>
      </c>
      <c r="E3080" s="144" t="inlineStr">
        <is>
          <t>FLAT</t>
        </is>
      </c>
      <c r="F3080" s="144" t="inlineStr">
        <is>
          <t>3819955 IN</t>
        </is>
      </c>
      <c r="G3080" s="144" t="inlineStr">
        <is>
          <t>RED VOLVO</t>
        </is>
      </c>
      <c r="H3080" s="144" t="inlineStr">
        <is>
          <t>GATE 15</t>
        </is>
      </c>
      <c r="I3080" s="144" t="inlineStr">
        <is>
          <t>COMMERCIAL</t>
        </is>
      </c>
    </row>
    <row r="3081" ht="18" customHeight="1" s="7">
      <c r="A3081" s="144" t="inlineStr">
        <is>
          <t>RICARDO LACEY</t>
        </is>
      </c>
      <c r="B3081" s="144" t="inlineStr">
        <is>
          <t>L200076641270 FL</t>
        </is>
      </c>
      <c r="C3081" s="144" t="inlineStr">
        <is>
          <t>MELTON TRUCKLINE</t>
        </is>
      </c>
      <c r="D3081" s="144" t="n">
        <v>7542147277</v>
      </c>
      <c r="E3081" s="144" t="inlineStr">
        <is>
          <t>FLAT</t>
        </is>
      </c>
      <c r="F3081" s="144" t="inlineStr">
        <is>
          <t>3JB364 OK</t>
        </is>
      </c>
      <c r="G3081" s="144" t="inlineStr">
        <is>
          <t>BLUE KENWORTH</t>
        </is>
      </c>
      <c r="H3081" s="144" t="n">
        <v>1221</v>
      </c>
      <c r="I3081" s="144" t="inlineStr">
        <is>
          <t>COMMERCIAL</t>
        </is>
      </c>
    </row>
    <row r="3082" ht="18" customHeight="1" s="7">
      <c r="A3082" s="144" t="inlineStr">
        <is>
          <t>ANDREW CRAVEY</t>
        </is>
      </c>
      <c r="B3082" s="144" t="inlineStr">
        <is>
          <t>*057067994 GA</t>
        </is>
      </c>
      <c r="C3082" s="144" t="inlineStr">
        <is>
          <t>BUCK RUN</t>
        </is>
      </c>
      <c r="D3082" s="144" t="n">
        <v>2298549522</v>
      </c>
      <c r="E3082" s="144" t="inlineStr">
        <is>
          <t>PU</t>
        </is>
      </c>
      <c r="F3082" s="144" t="inlineStr">
        <is>
          <t>TEMP</t>
        </is>
      </c>
      <c r="G3082" s="144" t="inlineStr">
        <is>
          <t>GRAY CHEVY</t>
        </is>
      </c>
      <c r="H3082" s="144" t="n">
        <v>2320</v>
      </c>
      <c r="I3082" s="144" t="inlineStr">
        <is>
          <t>CONTRACTOR</t>
        </is>
      </c>
    </row>
    <row r="3083" ht="18" customHeight="1" s="7">
      <c r="A3083" s="144" t="inlineStr">
        <is>
          <t>CORNELIUS THOMAS</t>
        </is>
      </c>
      <c r="B3083" s="144" t="inlineStr">
        <is>
          <t>*056724389 GA</t>
        </is>
      </c>
      <c r="C3083" s="144" t="inlineStr">
        <is>
          <t>AC&amp;DC</t>
        </is>
      </c>
      <c r="D3083" s="144" t="n">
        <v>4043613788</v>
      </c>
      <c r="E3083" s="144" t="inlineStr">
        <is>
          <t>SUV</t>
        </is>
      </c>
      <c r="F3083" s="144" t="inlineStr">
        <is>
          <t>CWP5516 GA</t>
        </is>
      </c>
      <c r="G3083" s="144" t="inlineStr">
        <is>
          <t>GRAY FORD</t>
        </is>
      </c>
      <c r="H3083" s="144" t="n">
        <v>5651</v>
      </c>
      <c r="I3083" s="144" t="inlineStr">
        <is>
          <t>CONTRACTOR</t>
        </is>
      </c>
    </row>
    <row r="3084" ht="18" customHeight="1" s="7">
      <c r="A3084" s="144" t="inlineStr">
        <is>
          <t>MICHAEL DEARY</t>
        </is>
      </c>
      <c r="B3084" s="144" t="inlineStr">
        <is>
          <t>34274213 TX</t>
        </is>
      </c>
      <c r="C3084" s="144" t="inlineStr">
        <is>
          <t>M&amp;K ENTERPRISE</t>
        </is>
      </c>
      <c r="D3084" s="144" t="n">
        <v>7372314083</v>
      </c>
      <c r="E3084" s="144" t="inlineStr">
        <is>
          <t>BOX</t>
        </is>
      </c>
      <c r="F3084" s="144" t="inlineStr">
        <is>
          <t>TTB7784 TX</t>
        </is>
      </c>
      <c r="G3084" s="144" t="inlineStr">
        <is>
          <t>WHITE FREIGHTLINER</t>
        </is>
      </c>
      <c r="H3084" s="144" t="n">
        <v>1221</v>
      </c>
      <c r="I3084" s="144" t="inlineStr">
        <is>
          <t>COMMERCIAL</t>
        </is>
      </c>
    </row>
    <row r="3085" ht="18" customHeight="1" s="7">
      <c r="A3085" s="144" t="inlineStr">
        <is>
          <t>JULIUS SLOAN</t>
        </is>
      </c>
      <c r="B3085" s="144" t="inlineStr">
        <is>
          <t>*054307155 GA</t>
        </is>
      </c>
      <c r="C3085" s="144" t="inlineStr">
        <is>
          <t>JOE HEAVY</t>
        </is>
      </c>
      <c r="D3085" s="144" t="n">
        <v>2298693533</v>
      </c>
      <c r="E3085" s="144" t="inlineStr">
        <is>
          <t>FLAT</t>
        </is>
      </c>
      <c r="F3085" s="144" t="inlineStr">
        <is>
          <t>C724DC GA</t>
        </is>
      </c>
      <c r="G3085" s="144" t="inlineStr">
        <is>
          <t>GREEN KENWORTH</t>
        </is>
      </c>
      <c r="H3085" s="144" t="n">
        <v>1221</v>
      </c>
      <c r="I3085" s="144" t="inlineStr">
        <is>
          <t>COMMERCIAL</t>
        </is>
      </c>
    </row>
    <row r="3086" ht="18" customHeight="1" s="7">
      <c r="A3086" s="144" t="inlineStr">
        <is>
          <t>JOSEPH HILL</t>
        </is>
      </c>
      <c r="B3086" s="144" t="inlineStr">
        <is>
          <t>*057709043 GA</t>
        </is>
      </c>
      <c r="C3086" s="144" t="inlineStr">
        <is>
          <t>JOE HEAVY</t>
        </is>
      </c>
      <c r="D3086" s="144" t="n">
        <v>2298693533</v>
      </c>
      <c r="E3086" s="144" t="inlineStr">
        <is>
          <t>FLAT</t>
        </is>
      </c>
      <c r="F3086" s="144" t="inlineStr">
        <is>
          <t>C0102C GA</t>
        </is>
      </c>
      <c r="G3086" s="144" t="inlineStr">
        <is>
          <t>BLACK KENWORTH</t>
        </is>
      </c>
      <c r="H3086" s="144" t="n">
        <v>1221</v>
      </c>
      <c r="I3086" s="144" t="inlineStr">
        <is>
          <t>COMMERCIAL</t>
        </is>
      </c>
    </row>
    <row r="3087" ht="18" customHeight="1" s="7">
      <c r="A3087" s="144" t="inlineStr">
        <is>
          <t>VISHAL KUMAR</t>
        </is>
      </c>
      <c r="B3087" s="144" t="inlineStr">
        <is>
          <t>Y3692779 CA</t>
        </is>
      </c>
      <c r="C3087" s="144" t="inlineStr">
        <is>
          <t>NEW KASHAV</t>
        </is>
      </c>
      <c r="D3087" s="144" t="n">
        <v>5592857003</v>
      </c>
      <c r="E3087" s="144" t="inlineStr">
        <is>
          <t>BOX</t>
        </is>
      </c>
      <c r="F3087" s="144" t="inlineStr">
        <is>
          <t>ZP64504 CA</t>
        </is>
      </c>
      <c r="G3087" s="144" t="inlineStr">
        <is>
          <t>WHITE KENWORTH</t>
        </is>
      </c>
      <c r="H3087" s="144" t="n">
        <v>1221</v>
      </c>
      <c r="I3087" s="144" t="inlineStr">
        <is>
          <t>COMMERCIAL</t>
        </is>
      </c>
    </row>
    <row r="3088" ht="18" customHeight="1" s="7">
      <c r="A3088" s="144" t="inlineStr">
        <is>
          <t>IRVING MENDIOLA</t>
        </is>
      </c>
      <c r="B3088" s="144" t="inlineStr">
        <is>
          <t>M534404914130 FL</t>
        </is>
      </c>
      <c r="C3088" s="144" t="inlineStr">
        <is>
          <t>MCLANE</t>
        </is>
      </c>
      <c r="D3088" s="144" t="n">
        <v>8632361493</v>
      </c>
      <c r="E3088" s="144" t="inlineStr">
        <is>
          <t>BOX</t>
        </is>
      </c>
      <c r="F3088" s="144" t="inlineStr">
        <is>
          <t>P966123 IL</t>
        </is>
      </c>
      <c r="G3088" s="144" t="inlineStr">
        <is>
          <t>WHITE FREIGHTLINER</t>
        </is>
      </c>
      <c r="H3088" s="144" t="n">
        <v>7500</v>
      </c>
      <c r="I3088" s="144" t="inlineStr">
        <is>
          <t>COMMERCIAL</t>
        </is>
      </c>
    </row>
    <row r="3089" ht="18" customHeight="1" s="7">
      <c r="A3089" s="144" t="inlineStr">
        <is>
          <t>CADEAU ABRAHAM</t>
        </is>
      </c>
      <c r="B3089" s="144" t="inlineStr">
        <is>
          <t>A241060248000 FL</t>
        </is>
      </c>
      <c r="C3089" s="144" t="inlineStr">
        <is>
          <t>2ND TRANSPORT</t>
        </is>
      </c>
      <c r="D3089" s="144" t="n">
        <v>6893038449</v>
      </c>
      <c r="E3089" s="144" t="inlineStr">
        <is>
          <t>BOX</t>
        </is>
      </c>
      <c r="F3089" s="144" t="inlineStr">
        <is>
          <t>XE879L FL</t>
        </is>
      </c>
      <c r="G3089" s="144" t="inlineStr">
        <is>
          <t>BLUE FREIGHTLINER</t>
        </is>
      </c>
      <c r="H3089" s="144" t="n">
        <v>1221</v>
      </c>
      <c r="I3089" s="144" t="inlineStr">
        <is>
          <t>COMMERCIAL</t>
        </is>
      </c>
    </row>
    <row r="3090" ht="18" customHeight="1" s="7">
      <c r="A3090" s="144" t="inlineStr">
        <is>
          <t>ARTURO CISNEROS</t>
        </is>
      </c>
      <c r="B3090" s="144" t="inlineStr">
        <is>
          <t>C616057821000 FL</t>
        </is>
      </c>
      <c r="C3090" s="144" t="inlineStr">
        <is>
          <t>GONZ CARRIERS</t>
        </is>
      </c>
      <c r="D3090" s="144" t="n">
        <v>7867718150</v>
      </c>
      <c r="E3090" s="144" t="inlineStr">
        <is>
          <t>PU</t>
        </is>
      </c>
      <c r="F3090" s="144" t="inlineStr">
        <is>
          <t>DM95JK FL</t>
        </is>
      </c>
      <c r="G3090" s="144" t="inlineStr">
        <is>
          <t>WHITE FORD</t>
        </is>
      </c>
      <c r="H3090" s="144" t="n">
        <v>1221</v>
      </c>
      <c r="I3090" s="144" t="inlineStr">
        <is>
          <t>CONTRACTOR</t>
        </is>
      </c>
    </row>
    <row r="3091" ht="18" customHeight="1" s="7">
      <c r="A3091" s="144" t="inlineStr">
        <is>
          <t>MASON STORMES</t>
        </is>
      </c>
      <c r="B3091" s="144" t="inlineStr">
        <is>
          <t>934497940 AK</t>
        </is>
      </c>
      <c r="C3091" s="144" t="inlineStr">
        <is>
          <t>BEARDED BROS</t>
        </is>
      </c>
      <c r="D3091" s="144" t="n">
        <v>8702531689</v>
      </c>
      <c r="E3091" s="144" t="inlineStr">
        <is>
          <t>PU</t>
        </is>
      </c>
      <c r="F3091" s="144" t="inlineStr">
        <is>
          <t>C118448 AK</t>
        </is>
      </c>
      <c r="G3091" s="144" t="inlineStr">
        <is>
          <t>GRAY CHEVY</t>
        </is>
      </c>
      <c r="H3091" s="144" t="n">
        <v>1221</v>
      </c>
      <c r="I3091" s="144" t="inlineStr">
        <is>
          <t>CONTRACTOR</t>
        </is>
      </c>
    </row>
    <row r="3092" ht="18" customHeight="1" s="7">
      <c r="A3092" s="144" t="inlineStr">
        <is>
          <t>TOM VO</t>
        </is>
      </c>
      <c r="B3092" s="144" t="inlineStr">
        <is>
          <t>V000800684670 FL</t>
        </is>
      </c>
      <c r="C3092" s="144" t="inlineStr">
        <is>
          <t>FED EX</t>
        </is>
      </c>
      <c r="D3092" s="144" t="n">
        <v>4076530938</v>
      </c>
      <c r="E3092" s="144" t="inlineStr">
        <is>
          <t>BOX</t>
        </is>
      </c>
      <c r="F3092" s="144" t="inlineStr">
        <is>
          <t>PWM4448 OH</t>
        </is>
      </c>
      <c r="G3092" s="144" t="inlineStr">
        <is>
          <t>WHITE KENWORTH</t>
        </is>
      </c>
      <c r="H3092" s="144" t="n">
        <v>1221</v>
      </c>
      <c r="I3092" s="144" t="inlineStr">
        <is>
          <t>COMMERCIAL</t>
        </is>
      </c>
    </row>
    <row r="3093" ht="18" customHeight="1" s="7">
      <c r="A3093" s="144" t="inlineStr">
        <is>
          <t>THOMAS DOCKERY</t>
        </is>
      </c>
      <c r="B3093" s="144" t="inlineStr">
        <is>
          <t>13351095 TX</t>
        </is>
      </c>
      <c r="C3093" s="144" t="inlineStr">
        <is>
          <t>AATCO</t>
        </is>
      </c>
      <c r="D3093" s="144" t="n">
        <v>9037462188</v>
      </c>
      <c r="E3093" s="144" t="inlineStr">
        <is>
          <t>VAN</t>
        </is>
      </c>
      <c r="F3093" s="144" t="inlineStr">
        <is>
          <t>SWP2740 TX</t>
        </is>
      </c>
      <c r="G3093" s="144" t="inlineStr">
        <is>
          <t>BLACK MERCEDES</t>
        </is>
      </c>
      <c r="H3093" s="144" t="n">
        <v>1221</v>
      </c>
      <c r="I3093" s="144" t="inlineStr">
        <is>
          <t>CONTRACTOR</t>
        </is>
      </c>
    </row>
    <row r="3094" ht="18" customHeight="1" s="7">
      <c r="A3094" s="144" t="inlineStr">
        <is>
          <t>NARIMAN MAMEDOV</t>
        </is>
      </c>
      <c r="B3094" s="144" t="inlineStr">
        <is>
          <t>1532264 OR</t>
        </is>
      </c>
      <c r="C3094" s="144" t="inlineStr">
        <is>
          <t>JAN TRUCKING</t>
        </is>
      </c>
      <c r="D3094" s="144" t="n">
        <v>5032676543</v>
      </c>
      <c r="E3094" s="144" t="inlineStr">
        <is>
          <t>BOX</t>
        </is>
      </c>
      <c r="F3094" s="144" t="inlineStr">
        <is>
          <t>YAIU125 OR</t>
        </is>
      </c>
      <c r="G3094" s="144" t="inlineStr">
        <is>
          <t>WHITE VOLVO</t>
        </is>
      </c>
      <c r="H3094" s="144" t="n">
        <v>1221</v>
      </c>
      <c r="I3094" s="144" t="inlineStr">
        <is>
          <t>COMMERCIAL</t>
        </is>
      </c>
    </row>
    <row r="3095" ht="18" customHeight="1" s="7">
      <c r="A3095" s="144" t="inlineStr">
        <is>
          <t>MILTON CROOKS</t>
        </is>
      </c>
      <c r="B3095" s="144" t="inlineStr">
        <is>
          <t>*02448588 TX</t>
        </is>
      </c>
      <c r="C3095" s="144" t="inlineStr">
        <is>
          <t>TRI STATE</t>
        </is>
      </c>
      <c r="D3095" s="144" t="n">
        <v>4098773335</v>
      </c>
      <c r="E3095" s="144" t="inlineStr">
        <is>
          <t>FLAT</t>
        </is>
      </c>
      <c r="F3095" s="144" t="inlineStr">
        <is>
          <t>AL23621 AR</t>
        </is>
      </c>
      <c r="G3095" s="144" t="inlineStr">
        <is>
          <t>GREY VOLVO</t>
        </is>
      </c>
      <c r="H3095" s="144" t="n">
        <v>1221</v>
      </c>
      <c r="I3095" s="144" t="inlineStr">
        <is>
          <t>COMMERCIAL</t>
        </is>
      </c>
    </row>
    <row r="3096" ht="18" customHeight="1" s="7">
      <c r="A3096" s="144" t="inlineStr">
        <is>
          <t>MURAD RADZHABOV</t>
        </is>
      </c>
      <c r="B3096" s="144" t="inlineStr">
        <is>
          <t>HC226104B ID</t>
        </is>
      </c>
      <c r="C3096" s="144" t="inlineStr">
        <is>
          <t>ELITE EXPRESS</t>
        </is>
      </c>
      <c r="D3096" s="144" t="n">
        <v>2083084410</v>
      </c>
      <c r="E3096" s="144" t="inlineStr">
        <is>
          <t>FLAT</t>
        </is>
      </c>
      <c r="F3096" s="144" t="inlineStr">
        <is>
          <t>AM8791 ID</t>
        </is>
      </c>
      <c r="G3096" s="144" t="inlineStr">
        <is>
          <t>WHITE FREIGHTLINER</t>
        </is>
      </c>
      <c r="H3096" s="144" t="n">
        <v>1221</v>
      </c>
      <c r="I3096" s="144" t="inlineStr">
        <is>
          <t>COMMERCIAL</t>
        </is>
      </c>
    </row>
    <row r="3097" ht="18" customHeight="1" s="7">
      <c r="A3097" s="144" t="inlineStr">
        <is>
          <t>KERRY KIMBERLING</t>
        </is>
      </c>
      <c r="B3097" s="144" t="inlineStr">
        <is>
          <t>M167259003 MI</t>
        </is>
      </c>
      <c r="C3097" s="144" t="inlineStr">
        <is>
          <t>LANDSTAR RANGER</t>
        </is>
      </c>
      <c r="D3097" s="144" t="n">
        <v>4173664148</v>
      </c>
      <c r="E3097" s="144" t="inlineStr">
        <is>
          <t>BOX</t>
        </is>
      </c>
      <c r="F3097" s="144" t="inlineStr">
        <is>
          <t>3400481 IN</t>
        </is>
      </c>
      <c r="G3097" s="144" t="inlineStr">
        <is>
          <t>GRAY PETERBILT</t>
        </is>
      </c>
      <c r="H3097" s="144" t="n">
        <v>1221</v>
      </c>
      <c r="I3097" s="144" t="inlineStr">
        <is>
          <t>COMMERCIAL</t>
        </is>
      </c>
    </row>
    <row r="3098" ht="18" customHeight="1" s="7">
      <c r="A3098" s="144" t="inlineStr">
        <is>
          <t>MICHEAL PAINTNER</t>
        </is>
      </c>
      <c r="B3098" s="144" t="inlineStr">
        <is>
          <t>P535556572910 FL</t>
        </is>
      </c>
      <c r="C3098" s="144" t="inlineStr">
        <is>
          <t>MID GROUP</t>
        </is>
      </c>
      <c r="D3098" s="144" t="n">
        <v>5039397930</v>
      </c>
      <c r="E3098" s="144" t="inlineStr">
        <is>
          <t>BOX</t>
        </is>
      </c>
      <c r="F3098" s="144" t="inlineStr">
        <is>
          <t>YAKM317 OR</t>
        </is>
      </c>
      <c r="G3098" s="144" t="inlineStr">
        <is>
          <t>RED FREIGHTLINER</t>
        </is>
      </c>
      <c r="H3098" s="144" t="n">
        <v>1221</v>
      </c>
      <c r="I3098" s="144" t="inlineStr">
        <is>
          <t>COMMERICAL</t>
        </is>
      </c>
    </row>
    <row r="3099" ht="18" customHeight="1" s="7">
      <c r="A3099" s="144" t="inlineStr">
        <is>
          <t>CHRISTOPHER TIMMINS</t>
        </is>
      </c>
      <c r="B3099" s="144" t="inlineStr">
        <is>
          <t>42658972 TX</t>
        </is>
      </c>
      <c r="C3099" s="144" t="inlineStr">
        <is>
          <t>FORSAGE</t>
        </is>
      </c>
      <c r="D3099" s="144" t="n">
        <v>8706652218</v>
      </c>
      <c r="E3099" s="144" t="inlineStr">
        <is>
          <t>BOX</t>
        </is>
      </c>
      <c r="F3099" s="144" t="inlineStr">
        <is>
          <t>P1213811 IL</t>
        </is>
      </c>
      <c r="G3099" s="144" t="inlineStr">
        <is>
          <t>RED FREIGHTLINER</t>
        </is>
      </c>
      <c r="H3099" s="144" t="n">
        <v>1221</v>
      </c>
      <c r="I3099" s="144" t="inlineStr">
        <is>
          <t>COMMERICAL</t>
        </is>
      </c>
    </row>
    <row r="3100" ht="18" customHeight="1" s="7">
      <c r="A3100" s="144" t="inlineStr">
        <is>
          <t>MARKO BICANIN</t>
        </is>
      </c>
      <c r="B3100" s="144" t="inlineStr">
        <is>
          <t>B25554096330 IL</t>
        </is>
      </c>
      <c r="C3100" s="144" t="inlineStr">
        <is>
          <t>VERUS LOGISTIC</t>
        </is>
      </c>
      <c r="D3100" s="144" t="n">
        <v>2242538540</v>
      </c>
      <c r="E3100" s="144" t="inlineStr">
        <is>
          <t>BOX</t>
        </is>
      </c>
      <c r="F3100" s="144" t="inlineStr">
        <is>
          <t>220370 TN</t>
        </is>
      </c>
      <c r="G3100" s="144" t="inlineStr">
        <is>
          <t>WHITE INTERNATIONAL</t>
        </is>
      </c>
      <c r="H3100" s="144" t="n">
        <v>1221</v>
      </c>
      <c r="I3100" s="144" t="inlineStr">
        <is>
          <t>COMMERICAL</t>
        </is>
      </c>
    </row>
    <row r="3101" ht="18" customHeight="1" s="7">
      <c r="A3101" s="144" t="inlineStr">
        <is>
          <t>DAVID BROWN</t>
        </is>
      </c>
      <c r="B3101" s="144" t="inlineStr">
        <is>
          <t>054291197 GA</t>
        </is>
      </c>
      <c r="C3101" s="144" t="inlineStr">
        <is>
          <t>SOUTHERN STATES</t>
        </is>
      </c>
      <c r="D3101" s="144" t="n">
        <v>6787363097</v>
      </c>
      <c r="E3101" s="144" t="inlineStr">
        <is>
          <t>VAN</t>
        </is>
      </c>
      <c r="F3101" s="144" t="inlineStr">
        <is>
          <t>94BTDS FL</t>
        </is>
      </c>
      <c r="G3101" s="144" t="inlineStr">
        <is>
          <t>WHITE MERCEDES</t>
        </is>
      </c>
      <c r="H3101" s="144" t="n">
        <v>1260</v>
      </c>
      <c r="I3101" s="144" t="inlineStr">
        <is>
          <t>CONTRACTOR</t>
        </is>
      </c>
    </row>
    <row r="3102" ht="18" customHeight="1" s="7">
      <c r="A3102" s="144" t="inlineStr">
        <is>
          <t>RODERICK WEST</t>
        </is>
      </c>
      <c r="B3102" s="144" t="inlineStr">
        <is>
          <t>14363151 TX</t>
        </is>
      </c>
      <c r="C3102" s="144" t="inlineStr">
        <is>
          <t xml:space="preserve"> ROAD EAGLE</t>
        </is>
      </c>
      <c r="D3102" s="144" t="n">
        <v>2819659044</v>
      </c>
      <c r="E3102" s="144" t="inlineStr">
        <is>
          <t>PU</t>
        </is>
      </c>
      <c r="F3102" s="144" t="inlineStr">
        <is>
          <t>VHJ0324 TX</t>
        </is>
      </c>
      <c r="G3102" s="144" t="inlineStr">
        <is>
          <t>BLUE FORD</t>
        </is>
      </c>
      <c r="H3102" s="144" t="n">
        <v>1221</v>
      </c>
      <c r="I3102" s="144" t="inlineStr">
        <is>
          <t>CONTRACTOR</t>
        </is>
      </c>
    </row>
    <row r="3103" ht="18" customHeight="1" s="7">
      <c r="A3103" s="144" t="inlineStr">
        <is>
          <t>BAYRAKDAR ABDULLA</t>
        </is>
      </c>
      <c r="B3103" s="144" t="inlineStr">
        <is>
          <t>B62300079146 IL</t>
        </is>
      </c>
      <c r="C3103" s="144" t="inlineStr">
        <is>
          <t>MNMK INC</t>
        </is>
      </c>
      <c r="D3103" s="144" t="n">
        <v>8155056897</v>
      </c>
      <c r="E3103" s="144" t="inlineStr">
        <is>
          <t>BOX</t>
        </is>
      </c>
      <c r="F3103" s="144" t="inlineStr">
        <is>
          <t>P1030802 IL</t>
        </is>
      </c>
      <c r="G3103" s="144" t="inlineStr">
        <is>
          <t>WHITE VOLVO</t>
        </is>
      </c>
      <c r="H3103" s="144" t="n">
        <v>1221</v>
      </c>
      <c r="I3103" s="144" t="inlineStr">
        <is>
          <t>COMMERICAL</t>
        </is>
      </c>
    </row>
    <row r="3104" ht="18" customHeight="1" s="7">
      <c r="A3104" s="144" t="inlineStr">
        <is>
          <t>LEROY BASHLEY</t>
        </is>
      </c>
      <c r="B3104" s="144" t="inlineStr">
        <is>
          <t>058968955 GA</t>
        </is>
      </c>
      <c r="C3104" s="144" t="inlineStr">
        <is>
          <t>VCG</t>
        </is>
      </c>
      <c r="D3104" s="144" t="n">
        <v>3173456122</v>
      </c>
      <c r="E3104" s="144" t="inlineStr">
        <is>
          <t>BOX</t>
        </is>
      </c>
      <c r="F3104" s="144" t="inlineStr">
        <is>
          <t>ZKW089 GA</t>
        </is>
      </c>
      <c r="G3104" s="144" t="inlineStr">
        <is>
          <t>WHITE KINO</t>
        </is>
      </c>
      <c r="H3104" s="144" t="n">
        <v>1221</v>
      </c>
      <c r="I3104" s="144" t="inlineStr">
        <is>
          <t>COMMERICAL</t>
        </is>
      </c>
    </row>
    <row r="3105" ht="18" customHeight="1" s="7">
      <c r="A3105" s="144" t="inlineStr">
        <is>
          <t>JACOREY FOWLER</t>
        </is>
      </c>
      <c r="B3105" s="144" t="inlineStr">
        <is>
          <t>*050952232 GA</t>
        </is>
      </c>
      <c r="C3105" s="144" t="inlineStr">
        <is>
          <t>ECOMM TRANS</t>
        </is>
      </c>
      <c r="D3105" s="144" t="n">
        <v>4787180124</v>
      </c>
      <c r="E3105" s="144" t="inlineStr">
        <is>
          <t>BOX</t>
        </is>
      </c>
      <c r="F3105" s="144" t="inlineStr">
        <is>
          <t>YCY706 GA</t>
        </is>
      </c>
      <c r="G3105" s="144" t="inlineStr">
        <is>
          <t>WHITE FREIGHTLINER</t>
        </is>
      </c>
      <c r="H3105" s="144" t="n">
        <v>1351</v>
      </c>
      <c r="I3105" s="144" t="inlineStr">
        <is>
          <t>COMMERCIAL</t>
        </is>
      </c>
    </row>
    <row r="3106" ht="18" customHeight="1" s="7">
      <c r="A3106" s="144" t="inlineStr">
        <is>
          <t>ALTVATER CARL</t>
        </is>
      </c>
      <c r="B3106" s="144" t="inlineStr">
        <is>
          <t>*010803755 LA</t>
        </is>
      </c>
      <c r="C3106" s="144" t="inlineStr">
        <is>
          <t>AVERITT EXPRESS</t>
        </is>
      </c>
      <c r="D3106" s="144" t="n">
        <v>2566947150</v>
      </c>
      <c r="E3106" s="144" t="inlineStr">
        <is>
          <t>BOX</t>
        </is>
      </c>
      <c r="F3106" s="144" t="inlineStr">
        <is>
          <t>S0933HY TN</t>
        </is>
      </c>
      <c r="G3106" s="144" t="inlineStr">
        <is>
          <t>RED FREIGHTLINER</t>
        </is>
      </c>
      <c r="H3106" s="144" t="n">
        <v>1221</v>
      </c>
      <c r="I3106" s="144" t="inlineStr">
        <is>
          <t>COMMERCIAL</t>
        </is>
      </c>
    </row>
    <row r="3107" ht="18" customHeight="1" s="7">
      <c r="A3107" s="144" t="inlineStr">
        <is>
          <t>WILLIAM MOREY</t>
        </is>
      </c>
      <c r="B3107" s="144" t="inlineStr">
        <is>
          <t>*055391496 GA</t>
        </is>
      </c>
      <c r="C3107" s="144" t="inlineStr">
        <is>
          <t>S&amp;S CONCRETE</t>
        </is>
      </c>
      <c r="D3107" s="144" t="n">
        <v>2298945316</v>
      </c>
      <c r="E3107" s="144" t="inlineStr">
        <is>
          <t>PU</t>
        </is>
      </c>
      <c r="F3107" s="144" t="inlineStr">
        <is>
          <t>SAE3819 GA</t>
        </is>
      </c>
      <c r="G3107" s="144" t="inlineStr">
        <is>
          <t>WHITE FORD</t>
        </is>
      </c>
      <c r="H3107" s="144" t="inlineStr">
        <is>
          <t>GYM</t>
        </is>
      </c>
      <c r="I3107" s="144" t="inlineStr">
        <is>
          <t>CONTRACTOR</t>
        </is>
      </c>
    </row>
    <row r="3108" ht="18" customHeight="1" s="7">
      <c r="A3108" s="144" t="inlineStr">
        <is>
          <t>GARNICA RODRIGUEZ</t>
        </is>
      </c>
      <c r="B3108" s="144" t="inlineStr">
        <is>
          <t>G14588580 KY</t>
        </is>
      </c>
      <c r="C3108" s="144" t="inlineStr">
        <is>
          <t>PALMICHE TRANS</t>
        </is>
      </c>
      <c r="D3108" s="144" t="n">
        <v>5028229376</v>
      </c>
      <c r="E3108" s="144" t="inlineStr">
        <is>
          <t>BOX</t>
        </is>
      </c>
      <c r="F3108" s="144" t="inlineStr">
        <is>
          <t>A86800 KY</t>
        </is>
      </c>
      <c r="G3108" s="144" t="inlineStr">
        <is>
          <t>BLUE PETERBILT</t>
        </is>
      </c>
      <c r="H3108" s="144" t="n">
        <v>1221</v>
      </c>
      <c r="I3108" s="144" t="inlineStr">
        <is>
          <t>COMMERCIAL</t>
        </is>
      </c>
    </row>
    <row r="3109" ht="18" customHeight="1" s="7">
      <c r="A3109" s="144" t="inlineStr">
        <is>
          <t>OMAR SANDERS</t>
        </is>
      </c>
      <c r="B3109" s="144" t="inlineStr">
        <is>
          <t>*061156880 GA</t>
        </is>
      </c>
      <c r="C3109" s="144" t="inlineStr">
        <is>
          <t>WINFRIST</t>
        </is>
      </c>
      <c r="D3109" s="144" t="n">
        <v>9173042542</v>
      </c>
      <c r="E3109" s="144" t="inlineStr">
        <is>
          <t>PU</t>
        </is>
      </c>
      <c r="F3109" s="144" t="inlineStr">
        <is>
          <t>GGT757 GA</t>
        </is>
      </c>
      <c r="G3109" s="144" t="inlineStr">
        <is>
          <t>WHITE RAM</t>
        </is>
      </c>
      <c r="H3109" s="144" t="n">
        <v>1221</v>
      </c>
      <c r="I3109" s="144" t="inlineStr">
        <is>
          <t>CONTRACTOR</t>
        </is>
      </c>
    </row>
    <row r="3110" ht="18" customHeight="1" s="7">
      <c r="A3110" s="144" t="inlineStr">
        <is>
          <t>BARO GUERRA</t>
        </is>
      </c>
      <c r="B3110" s="144" t="inlineStr">
        <is>
          <t>B626720913750 FL</t>
        </is>
      </c>
      <c r="C3110" s="144" t="inlineStr">
        <is>
          <t>CLICK EXPRESS</t>
        </is>
      </c>
      <c r="D3110" s="144" t="inlineStr">
        <is>
          <t>7862222108 FL</t>
        </is>
      </c>
      <c r="E3110" s="144" t="inlineStr">
        <is>
          <t>BOX</t>
        </is>
      </c>
      <c r="F3110" s="144" t="inlineStr">
        <is>
          <t>DG99AB FL</t>
        </is>
      </c>
      <c r="G3110" s="144" t="inlineStr">
        <is>
          <t>WHITE INTERNATIONAL</t>
        </is>
      </c>
      <c r="H3110" s="144" t="n">
        <v>1221</v>
      </c>
      <c r="I3110" s="144" t="inlineStr">
        <is>
          <t>COMMERCIAL</t>
        </is>
      </c>
    </row>
    <row r="3111" ht="18" customHeight="1" s="7">
      <c r="A3111" s="144" t="inlineStr">
        <is>
          <t>SWANK EUGENE</t>
        </is>
      </c>
      <c r="B3111" s="144" t="inlineStr">
        <is>
          <t>149445226 TN</t>
        </is>
      </c>
      <c r="C3111" s="144" t="inlineStr">
        <is>
          <t>LANDSTAR</t>
        </is>
      </c>
      <c r="D3111" s="144" t="n">
        <v>8033700685</v>
      </c>
      <c r="E3111" s="144" t="inlineStr">
        <is>
          <t>FLAT</t>
        </is>
      </c>
      <c r="F3111" s="144" t="inlineStr">
        <is>
          <t>2509201 IN</t>
        </is>
      </c>
      <c r="G3111" s="144" t="inlineStr">
        <is>
          <t>BLACK VOLVO</t>
        </is>
      </c>
      <c r="H3111" s="144" t="n">
        <v>1221</v>
      </c>
      <c r="I3111" s="144" t="inlineStr">
        <is>
          <t>COMMERCIAL</t>
        </is>
      </c>
    </row>
    <row r="3112" ht="18" customHeight="1" s="7">
      <c r="A3112" s="144" t="inlineStr">
        <is>
          <t xml:space="preserve">PARKS GREGORY </t>
        </is>
      </c>
      <c r="B3112" s="144" t="inlineStr">
        <is>
          <t>P260298831040</t>
        </is>
      </c>
      <c r="C3112" s="144" t="inlineStr">
        <is>
          <t>GTP TRANS</t>
        </is>
      </c>
      <c r="D3112" s="144" t="n">
        <v>9548505347</v>
      </c>
      <c r="E3112" s="144" t="inlineStr">
        <is>
          <t>PU</t>
        </is>
      </c>
      <c r="F3112" s="144" t="inlineStr">
        <is>
          <t>P1223I FL</t>
        </is>
      </c>
      <c r="G3112" s="144" t="inlineStr">
        <is>
          <t>BLACK RAM</t>
        </is>
      </c>
      <c r="H3112" s="144" t="n">
        <v>1221</v>
      </c>
      <c r="I3112" s="144" t="inlineStr">
        <is>
          <t>CONTRACTOR</t>
        </is>
      </c>
    </row>
    <row r="3113" ht="18" customHeight="1" s="7">
      <c r="A3113" s="144" t="inlineStr">
        <is>
          <t>NOEL DOUGLAS</t>
        </is>
      </c>
      <c r="B3113" s="144" t="inlineStr">
        <is>
          <t>*055192675 GA</t>
        </is>
      </c>
      <c r="C3113" s="144" t="inlineStr">
        <is>
          <t>HOME DEPOT</t>
        </is>
      </c>
      <c r="D3113" s="144" t="n">
        <v>4045033064</v>
      </c>
      <c r="E3113" s="144" t="inlineStr">
        <is>
          <t>BOX</t>
        </is>
      </c>
      <c r="F3113" s="144" t="inlineStr">
        <is>
          <t>YUH444 GA</t>
        </is>
      </c>
      <c r="G3113" s="144" t="inlineStr">
        <is>
          <t>WHITE HINU</t>
        </is>
      </c>
      <c r="H3113" s="144" t="inlineStr">
        <is>
          <t>HOUSING</t>
        </is>
      </c>
      <c r="I3113" s="144" t="inlineStr">
        <is>
          <t>COMMERCIAL</t>
        </is>
      </c>
    </row>
    <row r="3114" ht="18" customHeight="1" s="7">
      <c r="A3114" s="144" t="inlineStr">
        <is>
          <t>ANTOINE BENNETT</t>
        </is>
      </c>
      <c r="B3114" s="144" t="inlineStr">
        <is>
          <t>B530016864020 FL</t>
        </is>
      </c>
      <c r="C3114" s="144" t="inlineStr">
        <is>
          <t>ELITE MOVERS</t>
        </is>
      </c>
      <c r="D3114" s="144" t="n">
        <v>8504086224</v>
      </c>
      <c r="E3114" s="144" t="inlineStr">
        <is>
          <t>BOX</t>
        </is>
      </c>
      <c r="F3114" s="144" t="inlineStr">
        <is>
          <t>3298284 IN</t>
        </is>
      </c>
      <c r="G3114" s="144" t="inlineStr">
        <is>
          <t>WHITE INTERNATIONAL</t>
        </is>
      </c>
      <c r="H3114" s="144" t="inlineStr">
        <is>
          <t>HOUSING</t>
        </is>
      </c>
      <c r="I3114" s="144" t="inlineStr">
        <is>
          <t>COMMERCIAL</t>
        </is>
      </c>
    </row>
    <row r="3115" ht="18" customHeight="1" s="7">
      <c r="A3115" s="144" t="inlineStr">
        <is>
          <t>RAUL CARMONA</t>
        </is>
      </c>
      <c r="B3115" s="144" t="inlineStr">
        <is>
          <t>C615654827000 FL</t>
        </is>
      </c>
      <c r="C3115" s="144" t="inlineStr">
        <is>
          <t>RC EXPRESS</t>
        </is>
      </c>
      <c r="D3115" s="144" t="n">
        <v>7028051733</v>
      </c>
      <c r="E3115" s="144" t="inlineStr">
        <is>
          <t>FLAT</t>
        </is>
      </c>
      <c r="F3115" s="144" t="inlineStr">
        <is>
          <t>75155A NV</t>
        </is>
      </c>
      <c r="G3115" s="144" t="inlineStr">
        <is>
          <t>ORANGE KENWORTH</t>
        </is>
      </c>
      <c r="H3115" s="144" t="n">
        <v>1221</v>
      </c>
      <c r="I3115" s="144" t="inlineStr">
        <is>
          <t>COMMERCIAL</t>
        </is>
      </c>
    </row>
    <row r="3116" ht="18" customHeight="1" s="7">
      <c r="A3116" s="144" t="inlineStr">
        <is>
          <t>MAMPH BOYD</t>
        </is>
      </c>
      <c r="B3116" s="144" t="inlineStr">
        <is>
          <t>M510095799678 MI</t>
        </is>
      </c>
      <c r="C3116" s="144" t="inlineStr">
        <is>
          <t>XLG TRANS</t>
        </is>
      </c>
      <c r="D3116" s="144" t="n">
        <v>9062910442</v>
      </c>
      <c r="E3116" s="144" t="inlineStr">
        <is>
          <t>FLAT</t>
        </is>
      </c>
      <c r="F3116" s="144" t="inlineStr">
        <is>
          <t>3473381 IN</t>
        </is>
      </c>
      <c r="G3116" s="144" t="inlineStr">
        <is>
          <t>YELLOW KENWORTH</t>
        </is>
      </c>
      <c r="H3116" s="144" t="n">
        <v>1221</v>
      </c>
      <c r="I3116" s="144" t="inlineStr">
        <is>
          <t>COMMERCIAL</t>
        </is>
      </c>
    </row>
    <row r="3117" ht="18" customHeight="1" s="7">
      <c r="A3117" s="144" t="inlineStr">
        <is>
          <t>RONALD COUSIN</t>
        </is>
      </c>
      <c r="B3117" s="144" t="inlineStr">
        <is>
          <t>000002051482 NC</t>
        </is>
      </c>
      <c r="C3117" s="144" t="inlineStr">
        <is>
          <t>COUSIN CHASING</t>
        </is>
      </c>
      <c r="D3117" s="144" t="n">
        <v>9845148797</v>
      </c>
      <c r="E3117" s="144" t="inlineStr">
        <is>
          <t>BOX</t>
        </is>
      </c>
      <c r="F3117" s="144" t="inlineStr">
        <is>
          <t>ZT6509 NC</t>
        </is>
      </c>
      <c r="G3117" s="144" t="inlineStr">
        <is>
          <t>WHITE INTERNATIONAL</t>
        </is>
      </c>
      <c r="H3117" s="144" t="n">
        <v>1221</v>
      </c>
      <c r="I3117" s="144" t="inlineStr">
        <is>
          <t>COMMERICAL</t>
        </is>
      </c>
    </row>
    <row r="3118" ht="18" customHeight="1" s="7">
      <c r="A3118" s="144" t="inlineStr">
        <is>
          <t>ARTHUR BRADY</t>
        </is>
      </c>
      <c r="B3118" s="144" t="inlineStr">
        <is>
          <t>051744230 GA</t>
        </is>
      </c>
      <c r="C3118" s="144" t="inlineStr">
        <is>
          <t>SRM</t>
        </is>
      </c>
      <c r="D3118" s="144" t="n">
        <v>229246345</v>
      </c>
      <c r="E3118" s="144" t="inlineStr">
        <is>
          <t>CRANE</t>
        </is>
      </c>
      <c r="F3118" s="144" t="inlineStr">
        <is>
          <t>T7861H TN</t>
        </is>
      </c>
      <c r="G3118" s="144" t="inlineStr">
        <is>
          <t>WHITE KENWORTH</t>
        </is>
      </c>
      <c r="H3118" s="144" t="inlineStr">
        <is>
          <t>GATE 15</t>
        </is>
      </c>
      <c r="I3118" s="144" t="inlineStr">
        <is>
          <t>COMMERICAL</t>
        </is>
      </c>
    </row>
    <row r="3119" ht="18" customHeight="1" s="7">
      <c r="A3119" s="144" t="inlineStr">
        <is>
          <t>KIDIK ABDULKADIR</t>
        </is>
      </c>
      <c r="B3119" s="144" t="inlineStr">
        <is>
          <t>K17889186 KY</t>
        </is>
      </c>
      <c r="C3119" s="144" t="inlineStr">
        <is>
          <t>VLR LOGTICIS</t>
        </is>
      </c>
      <c r="D3119" s="144" t="n">
        <v>2705994770</v>
      </c>
      <c r="E3119" s="144" t="inlineStr">
        <is>
          <t>OX</t>
        </is>
      </c>
      <c r="F3119" s="144" t="inlineStr">
        <is>
          <t>005733A KY</t>
        </is>
      </c>
      <c r="G3119" s="144" t="inlineStr">
        <is>
          <t>WHITE VOLVO</t>
        </is>
      </c>
      <c r="H3119" s="144" t="n">
        <v>1221</v>
      </c>
      <c r="I3119" s="144" t="inlineStr">
        <is>
          <t>COMMERICAL</t>
        </is>
      </c>
    </row>
    <row r="3120" ht="18" customHeight="1" s="7">
      <c r="A3120" s="144" t="inlineStr">
        <is>
          <t>DEION MATTHIAS</t>
        </is>
      </c>
      <c r="B3120" s="144" t="inlineStr">
        <is>
          <t>012764065 LA</t>
        </is>
      </c>
      <c r="C3120" s="144" t="inlineStr">
        <is>
          <t>M&amp;W ENTERPRISE</t>
        </is>
      </c>
      <c r="D3120" s="144" t="n">
        <v>4787772306</v>
      </c>
      <c r="E3120" s="144" t="inlineStr">
        <is>
          <t>FLAT</t>
        </is>
      </c>
      <c r="F3120" s="144" t="inlineStr">
        <is>
          <t>C427DP GA</t>
        </is>
      </c>
      <c r="G3120" s="144" t="inlineStr">
        <is>
          <t>BLUE FREIGHTLINER</t>
        </is>
      </c>
      <c r="H3120" s="144" t="n">
        <v>1221</v>
      </c>
      <c r="I3120" s="144" t="inlineStr">
        <is>
          <t>COMMERICAL</t>
        </is>
      </c>
    </row>
    <row r="3121" ht="18" customHeight="1" s="7">
      <c r="A3121" s="144" t="inlineStr">
        <is>
          <t>CAMERO ROGELIO</t>
        </is>
      </c>
      <c r="B3121" s="144" t="inlineStr">
        <is>
          <t>34105010 TX</t>
        </is>
      </c>
      <c r="C3121" s="144" t="inlineStr">
        <is>
          <t>GARZEN TRANS</t>
        </is>
      </c>
      <c r="D3121" s="144" t="n">
        <v>9564552652</v>
      </c>
      <c r="E3121" s="144" t="inlineStr">
        <is>
          <t>BOX</t>
        </is>
      </c>
      <c r="F3121" s="144" t="inlineStr">
        <is>
          <t xml:space="preserve"> R569411 TX</t>
        </is>
      </c>
      <c r="G3121" s="144" t="inlineStr">
        <is>
          <t>RED FREIGHTLINER</t>
        </is>
      </c>
      <c r="H3121" s="144" t="n">
        <v>1221</v>
      </c>
      <c r="I3121" s="144" t="inlineStr">
        <is>
          <t>COMMERICAL</t>
        </is>
      </c>
    </row>
    <row r="3122" ht="18" customHeight="1" s="7">
      <c r="A3122" s="144" t="inlineStr">
        <is>
          <t>CARLOS PRADO</t>
        </is>
      </c>
      <c r="B3122" s="144" t="inlineStr">
        <is>
          <t>26961607 TX</t>
        </is>
      </c>
      <c r="C3122" s="144" t="inlineStr">
        <is>
          <t>GARZEN TRANS</t>
        </is>
      </c>
      <c r="D3122" s="144" t="n">
        <v>9568369122</v>
      </c>
      <c r="E3122" s="144" t="inlineStr">
        <is>
          <t>BOX</t>
        </is>
      </c>
      <c r="F3122" s="144" t="inlineStr">
        <is>
          <t>R671945 TX</t>
        </is>
      </c>
      <c r="G3122" s="144" t="inlineStr">
        <is>
          <t>ORANGE FREIGHTLINER</t>
        </is>
      </c>
      <c r="H3122" s="144" t="n">
        <v>1221</v>
      </c>
      <c r="I3122" s="144" t="inlineStr">
        <is>
          <t>COMMERICAL</t>
        </is>
      </c>
    </row>
    <row r="3123" ht="18" customHeight="1" s="7">
      <c r="A3123" s="144" t="inlineStr">
        <is>
          <t>GERALD SMITH</t>
        </is>
      </c>
      <c r="B3123" s="144" t="inlineStr">
        <is>
          <t>S530292972850 FL</t>
        </is>
      </c>
      <c r="C3123" s="144" t="inlineStr">
        <is>
          <t>PREISION TRUCKING</t>
        </is>
      </c>
      <c r="D3123" s="144" t="n">
        <v>3863444198</v>
      </c>
      <c r="E3123" s="144" t="inlineStr">
        <is>
          <t>PU</t>
        </is>
      </c>
      <c r="F3123" s="144" t="inlineStr">
        <is>
          <t>FLFQ65 FL</t>
        </is>
      </c>
      <c r="G3123" s="144" t="inlineStr">
        <is>
          <t>GRAY DODGE</t>
        </is>
      </c>
      <c r="H3123" s="144" t="n">
        <v>1221</v>
      </c>
      <c r="I3123" s="144" t="inlineStr">
        <is>
          <t>CONTRACTOR</t>
        </is>
      </c>
    </row>
    <row r="3124" ht="18" customHeight="1" s="7">
      <c r="A3124" s="144" t="inlineStr">
        <is>
          <t>ISSE MOHAMED</t>
        </is>
      </c>
      <c r="B3124" s="144" t="inlineStr">
        <is>
          <t>VR326660 OH</t>
        </is>
      </c>
      <c r="C3124" s="144" t="inlineStr">
        <is>
          <t>DRAMATIC</t>
        </is>
      </c>
      <c r="D3124" s="144" t="n">
        <v>6143322556</v>
      </c>
      <c r="E3124" s="144" t="inlineStr">
        <is>
          <t>BOX</t>
        </is>
      </c>
      <c r="F3124" s="144" t="inlineStr">
        <is>
          <t>RP07408 WA</t>
        </is>
      </c>
      <c r="G3124" s="144" t="inlineStr">
        <is>
          <t>WHITE FREIGHTLINER</t>
        </is>
      </c>
      <c r="H3124" s="144" t="n">
        <v>1221</v>
      </c>
      <c r="I3124" s="144" t="inlineStr">
        <is>
          <t>COMMERICAL</t>
        </is>
      </c>
    </row>
    <row r="3125" ht="18" customHeight="1" s="7">
      <c r="A3125" s="144" t="inlineStr">
        <is>
          <t>SERGEY ZAGUMENNIKH</t>
        </is>
      </c>
      <c r="B3125" s="144" t="inlineStr">
        <is>
          <t>Z255780690220 FL</t>
        </is>
      </c>
      <c r="C3125" s="144" t="inlineStr">
        <is>
          <t>DELTA</t>
        </is>
      </c>
      <c r="D3125" s="144" t="n">
        <v>7187572221</v>
      </c>
      <c r="E3125" s="144" t="inlineStr">
        <is>
          <t>FLAT</t>
        </is>
      </c>
      <c r="F3125" s="144" t="inlineStr">
        <is>
          <t>XE142Y FL</t>
        </is>
      </c>
      <c r="G3125" s="144" t="inlineStr">
        <is>
          <t>WHITE FREIGHTLINER</t>
        </is>
      </c>
      <c r="H3125" s="144" t="n">
        <v>1221</v>
      </c>
      <c r="I3125" s="144" t="inlineStr">
        <is>
          <t>COMMERICAL</t>
        </is>
      </c>
    </row>
    <row r="3126" ht="18" customHeight="1" s="7">
      <c r="A3126" s="144" t="inlineStr">
        <is>
          <t>TROY BLOOMFIELD</t>
        </is>
      </c>
      <c r="B3126" s="144" t="inlineStr">
        <is>
          <t>B451802135724</t>
        </is>
      </c>
      <c r="C3126" s="144" t="inlineStr">
        <is>
          <t>GINGRICH TRANS</t>
        </is>
      </c>
      <c r="D3126" s="144" t="n">
        <v>9899751974</v>
      </c>
      <c r="E3126" s="144" t="inlineStr">
        <is>
          <t>BOX</t>
        </is>
      </c>
      <c r="F3126" s="144" t="inlineStr">
        <is>
          <t>RB80248 MI</t>
        </is>
      </c>
      <c r="G3126" s="144" t="inlineStr">
        <is>
          <t>WHITE INTERNATIONAL</t>
        </is>
      </c>
      <c r="H3126" s="144" t="n">
        <v>1221</v>
      </c>
      <c r="I3126" s="144" t="inlineStr">
        <is>
          <t>COMMERICAL</t>
        </is>
      </c>
    </row>
    <row r="3127" ht="18" customHeight="1" s="7">
      <c r="A3127" s="144" t="inlineStr">
        <is>
          <t>EMIRASANOV SERVEROVICH</t>
        </is>
      </c>
      <c r="B3127" s="144" t="inlineStr">
        <is>
          <t>107387091 SC</t>
        </is>
      </c>
      <c r="C3127" s="144" t="inlineStr">
        <is>
          <t>AMERI PRO EXP</t>
        </is>
      </c>
      <c r="D3127" s="144" t="n">
        <v>5034323878</v>
      </c>
      <c r="E3127" s="144" t="inlineStr">
        <is>
          <t>BOX</t>
        </is>
      </c>
      <c r="F3127" s="144" t="inlineStr">
        <is>
          <t>RP24400 WA</t>
        </is>
      </c>
      <c r="G3127" s="144" t="inlineStr">
        <is>
          <t>WHITE VOLVO</t>
        </is>
      </c>
      <c r="H3127" s="144" t="n">
        <v>1221</v>
      </c>
      <c r="I3127" s="144" t="inlineStr">
        <is>
          <t>COMMERICAL</t>
        </is>
      </c>
    </row>
    <row r="3128" ht="18" customHeight="1" s="7">
      <c r="A3128" s="144" t="inlineStr">
        <is>
          <t>ADRAIN BARNES</t>
        </is>
      </c>
      <c r="B3128" s="144" t="inlineStr">
        <is>
          <t>007942244 LA</t>
        </is>
      </c>
      <c r="C3128" s="144" t="inlineStr">
        <is>
          <t>T&amp;A FAMILY</t>
        </is>
      </c>
      <c r="D3128" s="144" t="n">
        <v>3186699954</v>
      </c>
      <c r="E3128" s="144" t="inlineStr">
        <is>
          <t>PU</t>
        </is>
      </c>
      <c r="F3128" s="144" t="inlineStr">
        <is>
          <t>P282850 LA</t>
        </is>
      </c>
      <c r="G3128" s="144" t="inlineStr">
        <is>
          <t>WHITE FORD</t>
        </is>
      </c>
      <c r="H3128" s="144" t="n">
        <v>1221</v>
      </c>
      <c r="I3128" s="144" t="inlineStr">
        <is>
          <t>CONTRACTOR</t>
        </is>
      </c>
    </row>
    <row r="3129" ht="18" customHeight="1" s="7">
      <c r="A3129" s="144" t="inlineStr">
        <is>
          <t>ARRON HARDY</t>
        </is>
      </c>
      <c r="B3129" s="144" t="inlineStr">
        <is>
          <t>*058646701 GA</t>
        </is>
      </c>
      <c r="C3129" s="144" t="inlineStr">
        <is>
          <t>HOME MOVING</t>
        </is>
      </c>
      <c r="D3129" s="144" t="n">
        <v>2293470746</v>
      </c>
      <c r="E3129" s="144" t="inlineStr">
        <is>
          <t>BOX</t>
        </is>
      </c>
      <c r="F3129" s="144" t="inlineStr">
        <is>
          <t>XJY901 GA</t>
        </is>
      </c>
      <c r="G3129" s="144" t="inlineStr">
        <is>
          <t>WHITE CHEVY</t>
        </is>
      </c>
      <c r="H3129" s="144" t="inlineStr">
        <is>
          <t>HOUSING</t>
        </is>
      </c>
      <c r="I3129" s="144" t="inlineStr">
        <is>
          <t>COMMERCIAL</t>
        </is>
      </c>
    </row>
    <row r="3130" ht="18" customHeight="1" s="7">
      <c r="A3130" s="144" t="inlineStr">
        <is>
          <t>BRANDON BEERY</t>
        </is>
      </c>
      <c r="B3130" s="144" t="inlineStr">
        <is>
          <t>*059744935 GA</t>
        </is>
      </c>
      <c r="C3130" s="144" t="inlineStr">
        <is>
          <t>ACRE MAKER</t>
        </is>
      </c>
      <c r="D3130" s="144" t="n">
        <v>2295268975</v>
      </c>
      <c r="E3130" s="144" t="inlineStr">
        <is>
          <t>PU</t>
        </is>
      </c>
      <c r="F3130" s="144" t="inlineStr">
        <is>
          <t>EYT640 GA</t>
        </is>
      </c>
      <c r="G3130" s="144" t="inlineStr">
        <is>
          <t>GRAY DODGE</t>
        </is>
      </c>
      <c r="H3130" s="144" t="inlineStr">
        <is>
          <t>HOUSING</t>
        </is>
      </c>
      <c r="I3130" s="144" t="inlineStr">
        <is>
          <t>CONTRACTOR</t>
        </is>
      </c>
    </row>
    <row r="3131" ht="18" customHeight="1" s="7">
      <c r="A3131" s="144" t="inlineStr">
        <is>
          <t>TERRY WILLS</t>
        </is>
      </c>
      <c r="B3131" s="144" t="inlineStr">
        <is>
          <t>*058167978 GA</t>
        </is>
      </c>
      <c r="C3131" s="144" t="inlineStr">
        <is>
          <t>SOUTHERN TIRE</t>
        </is>
      </c>
      <c r="D3131" s="144" t="n">
        <v>2298692037</v>
      </c>
      <c r="E3131" s="144" t="inlineStr">
        <is>
          <t>FLAT</t>
        </is>
      </c>
      <c r="F3131" s="144" t="inlineStr">
        <is>
          <t>FL36322 MS</t>
        </is>
      </c>
      <c r="G3131" s="144" t="inlineStr">
        <is>
          <t>BLACK FREIGHTLINER</t>
        </is>
      </c>
      <c r="H3131" s="144" t="n">
        <v>1221</v>
      </c>
      <c r="I3131" s="144" t="inlineStr">
        <is>
          <t>COMMERCIAL</t>
        </is>
      </c>
    </row>
    <row r="3132" ht="18" customHeight="1" s="7">
      <c r="A3132" s="144" t="inlineStr">
        <is>
          <t>AHMED FADHIL</t>
        </is>
      </c>
      <c r="B3132" s="144" t="inlineStr">
        <is>
          <t>9467442 AL</t>
        </is>
      </c>
      <c r="C3132" s="144" t="inlineStr">
        <is>
          <t>BAGHDAD TRUCKING</t>
        </is>
      </c>
      <c r="D3132" s="144" t="n">
        <v>2517768448</v>
      </c>
      <c r="E3132" s="144" t="inlineStr">
        <is>
          <t>FLAT</t>
        </is>
      </c>
      <c r="F3132" s="144" t="inlineStr">
        <is>
          <t>1214847 AL</t>
        </is>
      </c>
      <c r="G3132" s="144" t="inlineStr">
        <is>
          <t>WHITE VOLVO</t>
        </is>
      </c>
      <c r="H3132" s="144" t="n">
        <v>1221</v>
      </c>
      <c r="I3132" s="144" t="inlineStr">
        <is>
          <t>COMMERCIAL</t>
        </is>
      </c>
    </row>
    <row r="3133" ht="18" customHeight="1" s="7">
      <c r="A3133" s="144" t="inlineStr">
        <is>
          <t>NORALS SHON</t>
        </is>
      </c>
      <c r="B3133" s="144" t="inlineStr">
        <is>
          <t>802168387 MS</t>
        </is>
      </c>
      <c r="C3133" s="144" t="inlineStr">
        <is>
          <t>NORALS</t>
        </is>
      </c>
      <c r="D3133" s="144" t="n">
        <v>6016687717</v>
      </c>
      <c r="E3133" s="144" t="inlineStr">
        <is>
          <t>BOX</t>
        </is>
      </c>
      <c r="F3133" s="144" t="inlineStr">
        <is>
          <t>P295408 LA</t>
        </is>
      </c>
      <c r="G3133" s="144" t="inlineStr">
        <is>
          <t>WHITE INTER</t>
        </is>
      </c>
      <c r="H3133" s="144" t="n">
        <v>1221</v>
      </c>
      <c r="I3133" s="144" t="inlineStr">
        <is>
          <t>COMMERCIAL</t>
        </is>
      </c>
    </row>
    <row r="3134" ht="18" customHeight="1" s="7">
      <c r="A3134" s="144" t="inlineStr">
        <is>
          <t>TYREE WHITE</t>
        </is>
      </c>
      <c r="B3134" s="144" t="inlineStr">
        <is>
          <t>*059606236 GA</t>
        </is>
      </c>
      <c r="C3134" s="144" t="inlineStr">
        <is>
          <t>AMERICAN PIPING</t>
        </is>
      </c>
      <c r="D3134" s="144" t="n">
        <v>4783190708</v>
      </c>
      <c r="E3134" s="144" t="inlineStr">
        <is>
          <t>PU</t>
        </is>
      </c>
      <c r="F3134" s="144" t="inlineStr">
        <is>
          <t>CST8389 GA</t>
        </is>
      </c>
      <c r="G3134" s="144" t="inlineStr">
        <is>
          <t>GRAY FORD</t>
        </is>
      </c>
      <c r="H3134" s="144" t="n">
        <v>1331</v>
      </c>
      <c r="I3134" s="144" t="inlineStr">
        <is>
          <t>CONTRACTOR</t>
        </is>
      </c>
    </row>
    <row r="3135" ht="18" customHeight="1" s="7">
      <c r="A3135" s="144" t="inlineStr">
        <is>
          <t>HUGHENS JACKI</t>
        </is>
      </c>
      <c r="B3135" s="144" t="inlineStr">
        <is>
          <t>H362952320000 FL</t>
        </is>
      </c>
      <c r="C3135" s="144" t="inlineStr">
        <is>
          <t xml:space="preserve">BENNETT </t>
        </is>
      </c>
      <c r="D3135" s="144" t="n">
        <v>8502914205</v>
      </c>
      <c r="E3135" s="144" t="inlineStr">
        <is>
          <t>BOX</t>
        </is>
      </c>
      <c r="F3135" s="144" t="inlineStr">
        <is>
          <t>P1165926 IL</t>
        </is>
      </c>
      <c r="G3135" s="144" t="inlineStr">
        <is>
          <t>BLUE VOLVO</t>
        </is>
      </c>
      <c r="H3135" s="144" t="n">
        <v>1221</v>
      </c>
      <c r="I3135" s="144" t="inlineStr">
        <is>
          <t>COMMERCIAL</t>
        </is>
      </c>
    </row>
    <row r="3136" ht="18" customHeight="1" s="7">
      <c r="A3136" s="144" t="inlineStr">
        <is>
          <t>GARY PYLE</t>
        </is>
      </c>
      <c r="B3136" s="144" t="inlineStr">
        <is>
          <t>*062154166 GA</t>
        </is>
      </c>
      <c r="C3136" s="144" t="inlineStr">
        <is>
          <t>TAGGEE LLC</t>
        </is>
      </c>
      <c r="D3136" s="144" t="n">
        <v>7172222735</v>
      </c>
      <c r="E3136" s="144" t="inlineStr">
        <is>
          <t>BOX</t>
        </is>
      </c>
      <c r="F3136" s="144" t="inlineStr">
        <is>
          <t>DF79GU fl</t>
        </is>
      </c>
      <c r="G3136" s="144" t="inlineStr">
        <is>
          <t>BLK VOLVO</t>
        </is>
      </c>
      <c r="H3136" s="144" t="n">
        <v>1221</v>
      </c>
      <c r="I3136" s="144" t="inlineStr">
        <is>
          <t>COMMERCIAL</t>
        </is>
      </c>
    </row>
    <row r="3137" ht="18" customHeight="1" s="7">
      <c r="A3137" s="144" t="inlineStr">
        <is>
          <t>WHEELER HALEY</t>
        </is>
      </c>
      <c r="B3137" s="144" t="inlineStr">
        <is>
          <t>41623345 TX</t>
        </is>
      </c>
      <c r="C3137" s="144" t="inlineStr">
        <is>
          <t>HTC</t>
        </is>
      </c>
      <c r="D3137" s="144" t="n">
        <v>6095947483</v>
      </c>
      <c r="E3137" s="144" t="inlineStr">
        <is>
          <t>PU</t>
        </is>
      </c>
      <c r="F3137" s="144" t="inlineStr">
        <is>
          <t>WNG1002 TX</t>
        </is>
      </c>
      <c r="G3137" s="144" t="inlineStr">
        <is>
          <t>WHITE DODGE</t>
        </is>
      </c>
      <c r="H3137" s="144" t="n">
        <v>1351</v>
      </c>
      <c r="I3137" s="144" t="inlineStr">
        <is>
          <t>CONTRACTOR</t>
        </is>
      </c>
    </row>
    <row r="3138" ht="18" customHeight="1" s="7">
      <c r="A3138" s="144" t="inlineStr">
        <is>
          <t>GARBACEA IULIAN</t>
        </is>
      </c>
      <c r="B3138" s="144" t="inlineStr">
        <is>
          <t>G612400783770 FL</t>
        </is>
      </c>
      <c r="C3138" s="144" t="inlineStr">
        <is>
          <t>IDC TRANS</t>
        </is>
      </c>
      <c r="D3138" s="144" t="n">
        <v>5616575824</v>
      </c>
      <c r="E3138" s="144" t="inlineStr">
        <is>
          <t>BOX</t>
        </is>
      </c>
      <c r="F3138" s="144" t="inlineStr">
        <is>
          <t>P1084765 IL</t>
        </is>
      </c>
      <c r="G3138" s="144" t="inlineStr">
        <is>
          <t>BLUE FREIGHTLINER</t>
        </is>
      </c>
      <c r="H3138" s="144" t="n">
        <v>1221</v>
      </c>
      <c r="I3138" s="144" t="inlineStr">
        <is>
          <t>COMMERCIAL</t>
        </is>
      </c>
    </row>
    <row r="3139" ht="18" customHeight="1" s="7">
      <c r="A3139" s="144" t="inlineStr">
        <is>
          <t>AIRAPETIAN ARMAN</t>
        </is>
      </c>
      <c r="B3139" s="144" t="inlineStr">
        <is>
          <t>Y3380229 CA</t>
        </is>
      </c>
      <c r="C3139" s="144" t="inlineStr">
        <is>
          <t>LAST LEVEL</t>
        </is>
      </c>
      <c r="D3139" s="144" t="n">
        <v>3237087878</v>
      </c>
      <c r="E3139" s="144" t="inlineStr">
        <is>
          <t>BOX</t>
        </is>
      </c>
      <c r="F3139" s="144" t="inlineStr">
        <is>
          <t>XP73690 CA</t>
        </is>
      </c>
      <c r="G3139" s="144" t="inlineStr">
        <is>
          <t>ORANGE VOLVO</t>
        </is>
      </c>
      <c r="H3139" s="144" t="n">
        <v>1221</v>
      </c>
      <c r="I3139" s="144" t="inlineStr">
        <is>
          <t>COMMERCIAL</t>
        </is>
      </c>
    </row>
    <row r="3140" ht="18" customHeight="1" s="7">
      <c r="A3140" s="144" t="inlineStr">
        <is>
          <t>TEKLEGIORGISH TEWELDE</t>
        </is>
      </c>
      <c r="B3140" s="144" t="inlineStr">
        <is>
          <t>15794244 TX</t>
        </is>
      </c>
      <c r="C3140" s="144" t="inlineStr">
        <is>
          <t>DAERO TRUCKING</t>
        </is>
      </c>
      <c r="D3140" s="144" t="n">
        <v>2145974798</v>
      </c>
      <c r="E3140" s="144" t="inlineStr">
        <is>
          <t>BOX</t>
        </is>
      </c>
      <c r="F3140" s="144" t="inlineStr">
        <is>
          <t>R566448 TX</t>
        </is>
      </c>
      <c r="G3140" s="144" t="inlineStr">
        <is>
          <t>WHITE FREIGHTLINER</t>
        </is>
      </c>
      <c r="H3140" s="144" t="n">
        <v>1221</v>
      </c>
      <c r="I3140" s="144" t="inlineStr">
        <is>
          <t>COMMERCIAL</t>
        </is>
      </c>
    </row>
    <row r="3141" ht="18" customHeight="1" s="7">
      <c r="A3141" s="144" t="inlineStr">
        <is>
          <t>RALPH  LIDDLE</t>
        </is>
      </c>
      <c r="B3141" s="144" t="inlineStr">
        <is>
          <t>L340730067944 MI</t>
        </is>
      </c>
      <c r="C3141" s="144" t="inlineStr">
        <is>
          <t xml:space="preserve">BENNETT </t>
        </is>
      </c>
      <c r="D3141" s="144" t="n">
        <v>5178027515</v>
      </c>
      <c r="E3141" s="144" t="inlineStr">
        <is>
          <t>BOX</t>
        </is>
      </c>
      <c r="F3141" s="144" t="inlineStr">
        <is>
          <t>RC53283 MI</t>
        </is>
      </c>
      <c r="G3141" s="144" t="inlineStr">
        <is>
          <t>WHITE FREIGHTLINER</t>
        </is>
      </c>
      <c r="H3141" s="144" t="n">
        <v>1221</v>
      </c>
      <c r="I3141" s="144" t="inlineStr">
        <is>
          <t>COMMERICAL</t>
        </is>
      </c>
    </row>
    <row r="3142" ht="18" customHeight="1" s="7">
      <c r="A3142" s="144" t="inlineStr">
        <is>
          <t>KENNETH GUNTER</t>
        </is>
      </c>
      <c r="B3142" s="144" t="inlineStr">
        <is>
          <t>3361566 AL</t>
        </is>
      </c>
      <c r="C3142" s="144" t="inlineStr">
        <is>
          <t>ROBBIE D WOOD</t>
        </is>
      </c>
      <c r="D3142" s="144" t="n">
        <v>2565903061</v>
      </c>
      <c r="E3142" s="144" t="inlineStr">
        <is>
          <t>FLAT</t>
        </is>
      </c>
      <c r="F3142" s="144" t="inlineStr">
        <is>
          <t>1223827 AL</t>
        </is>
      </c>
      <c r="G3142" s="144" t="inlineStr">
        <is>
          <t>RED KENWORTH</t>
        </is>
      </c>
      <c r="H3142" s="144" t="n">
        <v>1221</v>
      </c>
      <c r="I3142" s="144" t="inlineStr">
        <is>
          <t>COMMERICAL</t>
        </is>
      </c>
    </row>
    <row r="3143" ht="18" customHeight="1" s="7">
      <c r="A3143" s="144" t="inlineStr">
        <is>
          <t>JAKE CAMP</t>
        </is>
      </c>
      <c r="B3143" s="144" t="inlineStr">
        <is>
          <t>058499983 GA</t>
        </is>
      </c>
      <c r="C3143" s="144" t="inlineStr">
        <is>
          <t>GA SPRINKLER</t>
        </is>
      </c>
      <c r="D3143" s="144" t="n">
        <v>2294397373</v>
      </c>
      <c r="E3143" s="144" t="inlineStr">
        <is>
          <t>PU</t>
        </is>
      </c>
      <c r="F3143" s="144" t="inlineStr">
        <is>
          <t>SIG9314 GA</t>
        </is>
      </c>
      <c r="G3143" s="144" t="inlineStr">
        <is>
          <t>WHITE CHEV</t>
        </is>
      </c>
      <c r="H3143" s="144" t="n">
        <v>2237</v>
      </c>
      <c r="I3143" s="144" t="inlineStr">
        <is>
          <t>CONTRACTOR</t>
        </is>
      </c>
    </row>
    <row r="3144" ht="18" customHeight="1" s="7">
      <c r="A3144" s="144" t="inlineStr">
        <is>
          <t>DACEUS KENSON</t>
        </is>
      </c>
      <c r="B3144" s="144" t="inlineStr">
        <is>
          <t>D220500724270 FL</t>
        </is>
      </c>
      <c r="C3144" s="144" t="inlineStr">
        <is>
          <t>CADET TRANS</t>
        </is>
      </c>
      <c r="D3144" s="144" t="n">
        <v>2024300856</v>
      </c>
      <c r="E3144" s="144" t="inlineStr">
        <is>
          <t>BOX</t>
        </is>
      </c>
      <c r="F3144" s="144" t="inlineStr">
        <is>
          <t>XE057D FL</t>
        </is>
      </c>
      <c r="G3144" s="144" t="inlineStr">
        <is>
          <t>WHITE KENWORTH</t>
        </is>
      </c>
      <c r="H3144" s="144" t="n">
        <v>1221</v>
      </c>
      <c r="I3144" s="144" t="inlineStr">
        <is>
          <t>COMMERICAL</t>
        </is>
      </c>
    </row>
    <row r="3145" ht="18" customHeight="1" s="7">
      <c r="A3145" s="144" t="inlineStr">
        <is>
          <t>DANIEL CRABTREE</t>
        </is>
      </c>
      <c r="B3145" s="144" t="inlineStr">
        <is>
          <t>K00400990 KA</t>
        </is>
      </c>
      <c r="C3145" s="144" t="inlineStr">
        <is>
          <t>XLG TRANS</t>
        </is>
      </c>
      <c r="D3145" s="144" t="n">
        <v>8168200117</v>
      </c>
      <c r="E3145" s="144" t="inlineStr">
        <is>
          <t>FLAT</t>
        </is>
      </c>
      <c r="F3145" s="144" t="inlineStr">
        <is>
          <t>3010903 IN</t>
        </is>
      </c>
      <c r="G3145" s="144" t="inlineStr">
        <is>
          <t>YELLOW KENWORTH</t>
        </is>
      </c>
      <c r="H3145" s="144" t="n">
        <v>1221</v>
      </c>
      <c r="I3145" s="144" t="inlineStr">
        <is>
          <t>COMMERICAL</t>
        </is>
      </c>
    </row>
    <row r="3146" ht="18" customHeight="1" s="7">
      <c r="A3146" s="144" t="inlineStr">
        <is>
          <t>JERRY DEES</t>
        </is>
      </c>
      <c r="B3146" s="144" t="inlineStr">
        <is>
          <t>053081522 GA</t>
        </is>
      </c>
      <c r="C3146" s="144" t="inlineStr">
        <is>
          <t>VOIGT'S</t>
        </is>
      </c>
      <c r="D3146" s="144" t="n">
        <v>2292429814</v>
      </c>
      <c r="E3146" s="144" t="inlineStr">
        <is>
          <t>CRANE</t>
        </is>
      </c>
      <c r="F3146" s="144" t="inlineStr">
        <is>
          <t>P996B GA</t>
        </is>
      </c>
      <c r="G3146" s="144" t="inlineStr">
        <is>
          <t>YELLOW GROVE</t>
        </is>
      </c>
      <c r="H3146" s="144" t="inlineStr">
        <is>
          <t>GATE 15</t>
        </is>
      </c>
      <c r="I3146" s="144" t="inlineStr">
        <is>
          <t>COMMERICAL</t>
        </is>
      </c>
    </row>
    <row r="3147" ht="18" customHeight="1" s="7">
      <c r="A3147" s="144" t="inlineStr">
        <is>
          <t>BRYAN GODWIN</t>
        </is>
      </c>
      <c r="B3147" s="144" t="inlineStr">
        <is>
          <t>061321035 GA</t>
        </is>
      </c>
      <c r="C3147" s="144" t="inlineStr">
        <is>
          <t>VOIGT'S</t>
        </is>
      </c>
      <c r="D3147" s="144" t="n">
        <v>2292429814</v>
      </c>
      <c r="E3147" s="144" t="inlineStr">
        <is>
          <t>FLAT</t>
        </is>
      </c>
      <c r="F3147" s="144" t="inlineStr">
        <is>
          <t>P361CE GA</t>
        </is>
      </c>
      <c r="G3147" s="144" t="inlineStr">
        <is>
          <t>WHITE MACK</t>
        </is>
      </c>
      <c r="H3147" s="144" t="inlineStr">
        <is>
          <t>GATE 15</t>
        </is>
      </c>
      <c r="I3147" s="144" t="inlineStr">
        <is>
          <t>COMMERICAL</t>
        </is>
      </c>
    </row>
    <row r="3148" ht="18" customHeight="1" s="7">
      <c r="A3148" s="144" t="inlineStr">
        <is>
          <t>NICHOLAS WINGATE</t>
        </is>
      </c>
      <c r="B3148" s="144" t="inlineStr">
        <is>
          <t>*061360440 GA</t>
        </is>
      </c>
      <c r="C3148" s="144" t="inlineStr">
        <is>
          <t>U TEC</t>
        </is>
      </c>
      <c r="D3148" s="144" t="n">
        <v>2298941663</v>
      </c>
      <c r="E3148" s="144" t="inlineStr">
        <is>
          <t>PU</t>
        </is>
      </c>
      <c r="F3148" s="144" t="inlineStr">
        <is>
          <t>ZAH015 GA</t>
        </is>
      </c>
      <c r="G3148" s="144" t="inlineStr">
        <is>
          <t>WHITE FORD</t>
        </is>
      </c>
      <c r="H3148" s="144" t="inlineStr">
        <is>
          <t>HOUSING</t>
        </is>
      </c>
      <c r="I3148" s="144" t="inlineStr">
        <is>
          <t>CONTRACTOR</t>
        </is>
      </c>
    </row>
    <row r="3149" ht="18" customHeight="1" s="7">
      <c r="A3149" s="144" t="inlineStr">
        <is>
          <t>ALBERT RUMSEY</t>
        </is>
      </c>
      <c r="B3149" s="144" t="inlineStr">
        <is>
          <t>4552173 AL</t>
        </is>
      </c>
      <c r="C3149" s="144" t="inlineStr">
        <is>
          <t>U TEC</t>
        </is>
      </c>
      <c r="D3149" s="144" t="n">
        <v>7065802579</v>
      </c>
      <c r="E3149" s="144" t="inlineStr">
        <is>
          <t>PU</t>
        </is>
      </c>
      <c r="F3149" s="144" t="inlineStr">
        <is>
          <t>ZHX901 GA</t>
        </is>
      </c>
      <c r="G3149" s="144" t="inlineStr">
        <is>
          <t>WHITE FORD</t>
        </is>
      </c>
      <c r="H3149" s="144" t="inlineStr">
        <is>
          <t>HOUSING</t>
        </is>
      </c>
      <c r="I3149" s="144" t="inlineStr">
        <is>
          <t>CONTRACTOR</t>
        </is>
      </c>
    </row>
    <row r="3150" ht="18" customHeight="1" s="7">
      <c r="A3150" s="144" t="inlineStr">
        <is>
          <t>ROBERT SPENCE</t>
        </is>
      </c>
      <c r="B3150" s="144" t="inlineStr">
        <is>
          <t>*057713146 GA</t>
        </is>
      </c>
      <c r="C3150" s="144" t="inlineStr">
        <is>
          <t>LIFT TRUCKS</t>
        </is>
      </c>
      <c r="D3150" s="144" t="n">
        <v>2293889500</v>
      </c>
      <c r="E3150" s="144" t="inlineStr">
        <is>
          <t>PU</t>
        </is>
      </c>
      <c r="F3150" s="144" t="inlineStr">
        <is>
          <t>SCT5584 GA</t>
        </is>
      </c>
      <c r="G3150" s="144" t="inlineStr">
        <is>
          <t>WHITE MERCEDES</t>
        </is>
      </c>
      <c r="H3150" s="144" t="n">
        <v>1351</v>
      </c>
      <c r="I3150" s="144" t="inlineStr">
        <is>
          <t>CONTRACTOR</t>
        </is>
      </c>
    </row>
    <row r="3151" ht="18" customHeight="1" s="7">
      <c r="A3151" s="144" t="inlineStr">
        <is>
          <t>FRITZ DUPERVIL</t>
        </is>
      </c>
      <c r="B3151" s="144" t="inlineStr">
        <is>
          <t>070810199 GA</t>
        </is>
      </c>
      <c r="C3151" s="144" t="inlineStr">
        <is>
          <t>MINI MOBILE</t>
        </is>
      </c>
      <c r="D3151" s="144" t="n">
        <v>6787615219</v>
      </c>
      <c r="E3151" s="144" t="inlineStr">
        <is>
          <t>FLAT</t>
        </is>
      </c>
      <c r="F3151" s="144" t="inlineStr">
        <is>
          <t>3093205 IN</t>
        </is>
      </c>
      <c r="G3151" s="144" t="inlineStr">
        <is>
          <t>RED VOLVO</t>
        </is>
      </c>
      <c r="H3151" s="144" t="n">
        <v>1221</v>
      </c>
      <c r="I3151" s="144" t="inlineStr">
        <is>
          <t>COMMERCIAL</t>
        </is>
      </c>
    </row>
    <row r="3152" ht="18" customHeight="1" s="7">
      <c r="A3152" s="144" t="inlineStr">
        <is>
          <t>BRIDGES FRANKIE</t>
        </is>
      </c>
      <c r="B3152" s="144" t="inlineStr">
        <is>
          <t>15165374 TX</t>
        </is>
      </c>
      <c r="C3152" s="144" t="inlineStr">
        <is>
          <t>VITO LLC</t>
        </is>
      </c>
      <c r="D3152" s="144" t="n">
        <v>6823310347</v>
      </c>
      <c r="E3152" s="144" t="inlineStr">
        <is>
          <t>BOX</t>
        </is>
      </c>
      <c r="F3152" s="144" t="inlineStr">
        <is>
          <t>R653660 TX</t>
        </is>
      </c>
      <c r="G3152" s="144" t="inlineStr">
        <is>
          <t>RED VOLVO</t>
        </is>
      </c>
      <c r="H3152" s="144" t="n">
        <v>1221</v>
      </c>
      <c r="I3152" s="144" t="inlineStr">
        <is>
          <t>COMMERCIAL</t>
        </is>
      </c>
    </row>
    <row r="3153" ht="18" customHeight="1" s="7">
      <c r="A3153" s="144" t="inlineStr">
        <is>
          <t>ZGHIBARTA DENIS</t>
        </is>
      </c>
      <c r="B3153" s="144" t="inlineStr">
        <is>
          <t>Z16316086324 IL</t>
        </is>
      </c>
      <c r="C3153" s="144" t="inlineStr">
        <is>
          <t>CAPITAL CARRIER</t>
        </is>
      </c>
      <c r="D3153" s="144" t="n">
        <v>7086037774</v>
      </c>
      <c r="E3153" s="144" t="inlineStr">
        <is>
          <t>BOX</t>
        </is>
      </c>
      <c r="F3153" s="144" t="inlineStr">
        <is>
          <t>P1313743 IL</t>
        </is>
      </c>
      <c r="G3153" s="144" t="inlineStr">
        <is>
          <t>WHITE FREIGHTLINER</t>
        </is>
      </c>
      <c r="H3153" s="144" t="n">
        <v>1221</v>
      </c>
      <c r="I3153" s="144" t="inlineStr">
        <is>
          <t>COMMERCIAL</t>
        </is>
      </c>
    </row>
    <row r="3154" ht="18" customHeight="1" s="7">
      <c r="A3154" s="144" t="inlineStr">
        <is>
          <t>JASON BLAKE</t>
        </is>
      </c>
      <c r="B3154" s="144" t="inlineStr">
        <is>
          <t xml:space="preserve">*057775252 GA </t>
        </is>
      </c>
      <c r="C3154" s="144" t="inlineStr">
        <is>
          <t>OVERNIGHT</t>
        </is>
      </c>
      <c r="D3154" s="144" t="n">
        <v>3059305539</v>
      </c>
      <c r="E3154" s="144" t="inlineStr">
        <is>
          <t>BOX</t>
        </is>
      </c>
      <c r="F3154" s="144" t="inlineStr">
        <is>
          <t>P1236948 IL</t>
        </is>
      </c>
      <c r="G3154" s="144" t="inlineStr">
        <is>
          <t>BLACK VOLVO</t>
        </is>
      </c>
      <c r="H3154" s="144" t="n">
        <v>1221</v>
      </c>
      <c r="I3154" s="144" t="inlineStr">
        <is>
          <t>COMMERCIAL</t>
        </is>
      </c>
    </row>
    <row r="3155" ht="18" customHeight="1" s="7">
      <c r="A3155" s="144" t="inlineStr">
        <is>
          <t>PATRICK MONTGOMERY</t>
        </is>
      </c>
      <c r="B3155" s="144" t="inlineStr">
        <is>
          <t>*051158837 GA</t>
        </is>
      </c>
      <c r="C3155" s="144" t="inlineStr">
        <is>
          <t>FEDEX</t>
        </is>
      </c>
      <c r="D3155" s="144" t="n">
        <v>2292884442</v>
      </c>
      <c r="E3155" s="144" t="inlineStr">
        <is>
          <t>BOX</t>
        </is>
      </c>
      <c r="F3155" s="144" t="inlineStr">
        <is>
          <t>C7821A GA</t>
        </is>
      </c>
      <c r="G3155" s="144" t="inlineStr">
        <is>
          <t>WHITE FREIGHTLINER</t>
        </is>
      </c>
      <c r="H3155" s="144" t="inlineStr">
        <is>
          <t>BW</t>
        </is>
      </c>
      <c r="I3155" s="144" t="inlineStr">
        <is>
          <t>COMMERCIAL</t>
        </is>
      </c>
    </row>
    <row r="3156" ht="18" customHeight="1" s="7">
      <c r="A3156" s="144" t="inlineStr">
        <is>
          <t>CZAJKOWSKI DARIUSZ</t>
        </is>
      </c>
      <c r="B3156" s="144" t="inlineStr">
        <is>
          <t>C220160754051 FL</t>
        </is>
      </c>
      <c r="C3156" s="144" t="inlineStr">
        <is>
          <t>D&amp;D TRANSPORT</t>
        </is>
      </c>
      <c r="D3156" s="144" t="n">
        <v>9174981635</v>
      </c>
      <c r="E3156" s="144" t="inlineStr">
        <is>
          <t>FLAT</t>
        </is>
      </c>
      <c r="F3156" s="144" t="inlineStr">
        <is>
          <t>P1075885 IL</t>
        </is>
      </c>
      <c r="G3156" s="144" t="inlineStr">
        <is>
          <t>WHITE FREIGHTLINER</t>
        </is>
      </c>
      <c r="H3156" s="144" t="n">
        <v>1221</v>
      </c>
      <c r="I3156" s="144" t="inlineStr">
        <is>
          <t>COMMERCIAL</t>
        </is>
      </c>
    </row>
    <row r="3157" ht="18" customHeight="1" s="7">
      <c r="A3157" s="144" t="inlineStr">
        <is>
          <t>TEAGUE SAVANNA</t>
        </is>
      </c>
      <c r="B3157" s="144" t="inlineStr">
        <is>
          <t>*000043269468 NC</t>
        </is>
      </c>
      <c r="C3157" s="144" t="inlineStr">
        <is>
          <t>QUAILS FOREVER</t>
        </is>
      </c>
      <c r="D3157" s="144" t="n">
        <v>2244563239</v>
      </c>
      <c r="E3157" s="144" t="inlineStr">
        <is>
          <t>PU</t>
        </is>
      </c>
      <c r="F3157" s="144" t="inlineStr">
        <is>
          <t>5599FF NC</t>
        </is>
      </c>
      <c r="G3157" s="144" t="inlineStr">
        <is>
          <t>SILVER TOYTA</t>
        </is>
      </c>
      <c r="H3157" s="144" t="n">
        <v>5651</v>
      </c>
      <c r="I3157" s="144" t="inlineStr">
        <is>
          <t>CONTRACTOR</t>
        </is>
      </c>
    </row>
    <row r="3158" ht="18" customHeight="1" s="7">
      <c r="A3158" s="144" t="inlineStr">
        <is>
          <t>OSCAR GUZMAN</t>
        </is>
      </c>
      <c r="B3158" s="144" t="inlineStr">
        <is>
          <t>*061765486 GA</t>
        </is>
      </c>
      <c r="C3158" s="144" t="inlineStr">
        <is>
          <t>LANDSTAR</t>
        </is>
      </c>
      <c r="D3158" s="144" t="n">
        <v>3102927648</v>
      </c>
      <c r="E3158" s="144" t="inlineStr">
        <is>
          <t>FLAT</t>
        </is>
      </c>
      <c r="F3158" s="144" t="inlineStr">
        <is>
          <t>2518339 IN</t>
        </is>
      </c>
      <c r="G3158" s="144" t="inlineStr">
        <is>
          <t>BLUE KENWORTH</t>
        </is>
      </c>
      <c r="H3158" s="144" t="n">
        <v>1221</v>
      </c>
      <c r="I3158" s="144" t="inlineStr">
        <is>
          <t>COMMERCIAL</t>
        </is>
      </c>
    </row>
    <row r="3159" ht="18" customHeight="1" s="7">
      <c r="A3159" s="144" t="inlineStr">
        <is>
          <t>DEMENDOZA DELVIS</t>
        </is>
      </c>
      <c r="B3159" s="144" t="inlineStr">
        <is>
          <t>D218212361000</t>
        </is>
      </c>
      <c r="C3159" s="144" t="inlineStr">
        <is>
          <t>PROPI US TRANS</t>
        </is>
      </c>
      <c r="D3159" s="144" t="n">
        <v>7863261459</v>
      </c>
      <c r="E3159" s="144" t="inlineStr">
        <is>
          <t>PU</t>
        </is>
      </c>
      <c r="F3159" s="144" t="inlineStr">
        <is>
          <t>P9322K FL</t>
        </is>
      </c>
      <c r="G3159" s="144" t="inlineStr">
        <is>
          <t>GREY RAM</t>
        </is>
      </c>
      <c r="H3159" s="144" t="n">
        <v>1360</v>
      </c>
      <c r="I3159" s="144" t="inlineStr">
        <is>
          <t>COMMERCIAL</t>
        </is>
      </c>
    </row>
    <row r="3160" ht="18" customHeight="1" s="7">
      <c r="A3160" s="144" t="inlineStr">
        <is>
          <t>EDWARD BEE</t>
        </is>
      </c>
      <c r="B3160" s="144" t="inlineStr">
        <is>
          <t>*054311761 GA</t>
        </is>
      </c>
      <c r="C3160" s="144" t="inlineStr">
        <is>
          <t>CITY OF ALBANY</t>
        </is>
      </c>
      <c r="D3160" s="144" t="n">
        <v>2299008503</v>
      </c>
      <c r="E3160" s="144" t="inlineStr">
        <is>
          <t>PU</t>
        </is>
      </c>
      <c r="F3160" s="144" t="inlineStr">
        <is>
          <t>GVO752Q GA</t>
        </is>
      </c>
      <c r="G3160" s="144" t="inlineStr">
        <is>
          <t>WHITE FORD</t>
        </is>
      </c>
      <c r="H3160" s="144" t="n">
        <v>1221</v>
      </c>
      <c r="I3160" s="144" t="inlineStr">
        <is>
          <t>CONTRACTOR</t>
        </is>
      </c>
    </row>
    <row r="3161" ht="18" customHeight="1" s="7">
      <c r="A3161" s="144" t="inlineStr">
        <is>
          <t>KOSHILKO OLEG</t>
        </is>
      </c>
      <c r="B3161" s="144" t="inlineStr">
        <is>
          <t>106772063 SC</t>
        </is>
      </c>
      <c r="C3161" s="144" t="inlineStr">
        <is>
          <t xml:space="preserve">CROWN VICTORIA </t>
        </is>
      </c>
      <c r="D3161" s="144" t="n">
        <v>5034422553</v>
      </c>
      <c r="E3161" s="144" t="inlineStr">
        <is>
          <t>BOX</t>
        </is>
      </c>
      <c r="F3161" s="144" t="inlineStr">
        <is>
          <t>A0060042 SC</t>
        </is>
      </c>
      <c r="G3161" s="144" t="inlineStr">
        <is>
          <t>GREY FREIGHTLINER</t>
        </is>
      </c>
      <c r="H3161" s="144" t="n">
        <v>1221</v>
      </c>
      <c r="I3161" s="144" t="inlineStr">
        <is>
          <t>COMMERCIAL</t>
        </is>
      </c>
    </row>
    <row r="3162" ht="18" customHeight="1" s="7">
      <c r="A3162" s="144" t="inlineStr">
        <is>
          <t>NAZAR URBANOVYCH</t>
        </is>
      </c>
      <c r="B3162" s="144" t="inlineStr">
        <is>
          <t>U61562097306 IL</t>
        </is>
      </c>
      <c r="C3162" s="144" t="inlineStr">
        <is>
          <t>UNIVERSE</t>
        </is>
      </c>
      <c r="D3162" s="144" t="n">
        <v>2245988327</v>
      </c>
      <c r="E3162" s="144" t="inlineStr">
        <is>
          <t>FLAT</t>
        </is>
      </c>
      <c r="F3162" s="144" t="inlineStr">
        <is>
          <t>P1042244 IL</t>
        </is>
      </c>
      <c r="G3162" s="144" t="inlineStr">
        <is>
          <t>WHITE FREIGHTLINER</t>
        </is>
      </c>
      <c r="H3162" s="144" t="n">
        <v>1221</v>
      </c>
      <c r="I3162" s="144" t="inlineStr">
        <is>
          <t>COMMERICAL</t>
        </is>
      </c>
    </row>
    <row r="3163" ht="18" customHeight="1" s="7">
      <c r="A3163" s="144" t="inlineStr">
        <is>
          <t>DAVID KITTS</t>
        </is>
      </c>
      <c r="B3163" s="144" t="inlineStr">
        <is>
          <t>156240508 TN</t>
        </is>
      </c>
      <c r="C3163" s="144" t="inlineStr">
        <is>
          <t>FEDEX</t>
        </is>
      </c>
      <c r="D3163" s="144" t="n">
        <v>9048742942</v>
      </c>
      <c r="E3163" s="144" t="inlineStr">
        <is>
          <t>BOX</t>
        </is>
      </c>
      <c r="F3163" s="144" t="inlineStr">
        <is>
          <t>PWU1743 OH</t>
        </is>
      </c>
      <c r="G3163" s="144" t="inlineStr">
        <is>
          <t>WHITE FREIGHTLINER</t>
        </is>
      </c>
      <c r="H3163" s="144" t="n">
        <v>1221</v>
      </c>
      <c r="I3163" s="144" t="inlineStr">
        <is>
          <t>COMMERICAL</t>
        </is>
      </c>
    </row>
    <row r="3164" ht="18" customHeight="1" s="7">
      <c r="A3164" s="144" t="inlineStr">
        <is>
          <t xml:space="preserve">CARROLL JOHNSON </t>
        </is>
      </c>
      <c r="B3164" s="144" t="inlineStr">
        <is>
          <t>050411436 GA</t>
        </is>
      </c>
      <c r="C3164" s="144" t="inlineStr">
        <is>
          <t>SUMMIT</t>
        </is>
      </c>
      <c r="D3164" s="144" t="n">
        <v>7703857311</v>
      </c>
      <c r="E3164" s="144" t="inlineStr">
        <is>
          <t>PU</t>
        </is>
      </c>
      <c r="F3164" s="144" t="inlineStr">
        <is>
          <t>TCH4283 GA</t>
        </is>
      </c>
      <c r="G3164" s="144" t="inlineStr">
        <is>
          <t>WHITE CHEV</t>
        </is>
      </c>
      <c r="H3164" s="144" t="n">
        <v>5653</v>
      </c>
      <c r="I3164" s="144" t="inlineStr">
        <is>
          <t>CONTRACTOR</t>
        </is>
      </c>
    </row>
    <row r="3165" ht="18" customHeight="1" s="7">
      <c r="A3165" s="144" t="inlineStr">
        <is>
          <t>GOLEN LINDSAY</t>
        </is>
      </c>
      <c r="B3165" s="144" t="inlineStr">
        <is>
          <t>G450532839680 FL</t>
        </is>
      </c>
      <c r="C3165" s="144" t="inlineStr">
        <is>
          <t>PANTHER</t>
        </is>
      </c>
      <c r="D3165" s="144" t="n">
        <v>4074543025</v>
      </c>
      <c r="E3165" s="144" t="inlineStr">
        <is>
          <t>BOX</t>
        </is>
      </c>
      <c r="F3165" s="144" t="inlineStr">
        <is>
          <t>2977896 IN</t>
        </is>
      </c>
      <c r="G3165" s="144" t="inlineStr">
        <is>
          <t>WHITE FREIGHTLINER</t>
        </is>
      </c>
      <c r="H3165" s="144" t="n">
        <v>1221</v>
      </c>
      <c r="I3165" s="144" t="inlineStr">
        <is>
          <t>COMMERICAL</t>
        </is>
      </c>
    </row>
    <row r="3166" ht="18" customHeight="1" s="7">
      <c r="A3166" s="144" t="inlineStr">
        <is>
          <t>TYLER SHARP</t>
        </is>
      </c>
      <c r="B3166" s="144" t="inlineStr">
        <is>
          <t>056312150 GA</t>
        </is>
      </c>
      <c r="C3166" s="144" t="inlineStr">
        <is>
          <t>AWEST</t>
        </is>
      </c>
      <c r="D3166" s="144" t="n">
        <v>2298888347</v>
      </c>
      <c r="E3166" s="144" t="inlineStr">
        <is>
          <t>PU</t>
        </is>
      </c>
      <c r="F3166" s="144" t="inlineStr">
        <is>
          <t>CKM5827 GA</t>
        </is>
      </c>
      <c r="G3166" s="144" t="inlineStr">
        <is>
          <t>WHITE CHEV</t>
        </is>
      </c>
      <c r="H3166" s="144" t="n">
        <v>1360</v>
      </c>
      <c r="I3166" s="144" t="inlineStr">
        <is>
          <t>CONTRACTOR</t>
        </is>
      </c>
    </row>
    <row r="3167" ht="18" customHeight="1" s="7">
      <c r="A3167" s="144" t="inlineStr">
        <is>
          <t>MITCHELL BROWNING</t>
        </is>
      </c>
      <c r="B3167" s="144" t="inlineStr">
        <is>
          <t>E760247 WV</t>
        </is>
      </c>
      <c r="C3167" s="144" t="inlineStr">
        <is>
          <t xml:space="preserve">BENNETT </t>
        </is>
      </c>
      <c r="D3167" s="144" t="n">
        <v>3042663737</v>
      </c>
      <c r="E3167" s="144" t="inlineStr">
        <is>
          <t>FLAT</t>
        </is>
      </c>
      <c r="F3167" s="144" t="inlineStr">
        <is>
          <t>P1220846 IL</t>
        </is>
      </c>
      <c r="G3167" s="144" t="inlineStr">
        <is>
          <t>GREEN KENWORTH</t>
        </is>
      </c>
      <c r="H3167" s="144" t="n">
        <v>1221</v>
      </c>
      <c r="I3167" s="144" t="inlineStr">
        <is>
          <t>COMMERICAL</t>
        </is>
      </c>
    </row>
    <row r="3168" ht="18" customHeight="1" s="7">
      <c r="A3168" s="144" t="inlineStr">
        <is>
          <t>JACOB HINSHAW</t>
        </is>
      </c>
      <c r="B3168" s="144" t="inlineStr">
        <is>
          <t>055698561 GA</t>
        </is>
      </c>
      <c r="C3168" s="144" t="inlineStr">
        <is>
          <t>BAKER ROOFING</t>
        </is>
      </c>
      <c r="D3168" s="144" t="n">
        <v>4789604521</v>
      </c>
      <c r="E3168" s="144" t="inlineStr">
        <is>
          <t>PU</t>
        </is>
      </c>
      <c r="F3168" s="144" t="inlineStr">
        <is>
          <t>RC3135 NC</t>
        </is>
      </c>
      <c r="G3168" s="144" t="inlineStr">
        <is>
          <t>WHITE FORD</t>
        </is>
      </c>
      <c r="H3168" s="144" t="n">
        <v>7500</v>
      </c>
      <c r="I3168" s="144" t="inlineStr">
        <is>
          <t>CONTRACTOR</t>
        </is>
      </c>
    </row>
    <row r="3169" ht="18" customHeight="1" s="7">
      <c r="A3169" s="144" t="inlineStr">
        <is>
          <t>DAMEYUN JONES</t>
        </is>
      </c>
      <c r="B3169" s="144" t="inlineStr">
        <is>
          <t>049044149 GA</t>
        </is>
      </c>
      <c r="C3169" s="144" t="inlineStr">
        <is>
          <t>UPS</t>
        </is>
      </c>
      <c r="D3169" s="144" t="n">
        <v>2298885850</v>
      </c>
      <c r="E3169" s="144" t="inlineStr">
        <is>
          <t>BOX</t>
        </is>
      </c>
      <c r="F3169" s="144" t="inlineStr">
        <is>
          <t>YAC290 GA</t>
        </is>
      </c>
      <c r="G3169" s="144" t="inlineStr">
        <is>
          <t>BROWN FORD</t>
        </is>
      </c>
      <c r="H3169" s="144" t="inlineStr">
        <is>
          <t>BASEWIDE</t>
        </is>
      </c>
      <c r="I3169" s="144" t="inlineStr">
        <is>
          <t>CONTRACTOR</t>
        </is>
      </c>
    </row>
    <row r="3170" ht="18" customHeight="1" s="7">
      <c r="A3170" s="144" t="inlineStr">
        <is>
          <t>ASHLEY THORNTON</t>
        </is>
      </c>
      <c r="B3170" s="144" t="inlineStr">
        <is>
          <t>*054768657 GA</t>
        </is>
      </c>
      <c r="C3170" s="144" t="inlineStr">
        <is>
          <t>PIPE</t>
        </is>
      </c>
      <c r="D3170" s="144" t="n">
        <v>9122868257</v>
      </c>
      <c r="E3170" s="144" t="inlineStr">
        <is>
          <t>PU</t>
        </is>
      </c>
      <c r="F3170" s="144" t="inlineStr">
        <is>
          <t>SGQ0433 GA</t>
        </is>
      </c>
      <c r="G3170" s="144" t="inlineStr">
        <is>
          <t>WHITE FORD</t>
        </is>
      </c>
      <c r="H3170" s="144" t="n">
        <v>2608</v>
      </c>
      <c r="I3170" s="144" t="inlineStr">
        <is>
          <t>CONTRACTOR</t>
        </is>
      </c>
    </row>
    <row r="3171" ht="18" customHeight="1" s="7">
      <c r="A3171" s="144" t="inlineStr">
        <is>
          <t>JONATHAN KING</t>
        </is>
      </c>
      <c r="B3171" s="144" t="inlineStr">
        <is>
          <t>*056365057 GA</t>
        </is>
      </c>
      <c r="C3171" s="144" t="inlineStr">
        <is>
          <t>PIPE</t>
        </is>
      </c>
      <c r="D3171" s="144" t="n">
        <v>9122823576</v>
      </c>
      <c r="E3171" s="144" t="inlineStr">
        <is>
          <t>BOX</t>
        </is>
      </c>
      <c r="F3171" s="144" t="inlineStr">
        <is>
          <t>RSW8766 GA</t>
        </is>
      </c>
      <c r="G3171" s="144" t="inlineStr">
        <is>
          <t>WHITE ISUZU</t>
        </is>
      </c>
      <c r="H3171" s="144" t="n">
        <v>2608</v>
      </c>
      <c r="I3171" s="144" t="inlineStr">
        <is>
          <t>COMMERCIAL</t>
        </is>
      </c>
    </row>
    <row r="3172" ht="18" customHeight="1" s="7">
      <c r="A3172" s="144" t="inlineStr">
        <is>
          <t>BRAIN MCCORMICK</t>
        </is>
      </c>
      <c r="B3172" s="144" t="inlineStr">
        <is>
          <t>*056599101 GA</t>
        </is>
      </c>
      <c r="C3172" s="144" t="inlineStr">
        <is>
          <t>PIPE</t>
        </is>
      </c>
      <c r="D3172" s="144" t="n">
        <v>9124640963</v>
      </c>
      <c r="E3172" s="144" t="inlineStr">
        <is>
          <t>CRANE</t>
        </is>
      </c>
      <c r="F3172" s="144" t="inlineStr">
        <is>
          <t>P103CJ GA</t>
        </is>
      </c>
      <c r="G3172" s="144" t="inlineStr">
        <is>
          <t>WHITE INTER</t>
        </is>
      </c>
      <c r="H3172" s="144" t="n">
        <v>2608</v>
      </c>
      <c r="I3172" s="144" t="inlineStr">
        <is>
          <t>COMMERCIAL</t>
        </is>
      </c>
    </row>
    <row r="3173" ht="18" customHeight="1" s="7">
      <c r="A3173" s="144" t="inlineStr">
        <is>
          <t>THOMAS ANDERSON</t>
        </is>
      </c>
      <c r="B3173" s="144" t="inlineStr">
        <is>
          <t>052549138 GA</t>
        </is>
      </c>
      <c r="C3173" s="144" t="inlineStr">
        <is>
          <t>SOUTHEASTPIPE</t>
        </is>
      </c>
      <c r="D3173" s="144" t="n">
        <v>4783770283</v>
      </c>
      <c r="E3173" s="144" t="inlineStr">
        <is>
          <t>PU</t>
        </is>
      </c>
      <c r="F3173" s="144" t="inlineStr">
        <is>
          <t>TAN3364 GA</t>
        </is>
      </c>
      <c r="G3173" s="144" t="inlineStr">
        <is>
          <t>WHITE FORD</t>
        </is>
      </c>
      <c r="H3173" s="144" t="inlineStr">
        <is>
          <t>WTP</t>
        </is>
      </c>
      <c r="I3173" s="144" t="inlineStr">
        <is>
          <t>CONTRACTOR</t>
        </is>
      </c>
    </row>
    <row r="3174" ht="18" customHeight="1" s="7">
      <c r="A3174" s="144" t="inlineStr">
        <is>
          <t>CHRISTOPHER HUGHES</t>
        </is>
      </c>
      <c r="B3174" s="144" t="inlineStr">
        <is>
          <t>H220113801791FL</t>
        </is>
      </c>
      <c r="C3174" s="144" t="inlineStr">
        <is>
          <t>CORBITT ELE</t>
        </is>
      </c>
      <c r="D3174" s="144" t="n">
        <v>2298342929</v>
      </c>
      <c r="E3174" s="144" t="inlineStr">
        <is>
          <t>PU</t>
        </is>
      </c>
      <c r="F3174" s="144" t="inlineStr">
        <is>
          <t>CPB4758 GA</t>
        </is>
      </c>
      <c r="G3174" s="144" t="inlineStr">
        <is>
          <t>WHITE CHEV</t>
        </is>
      </c>
      <c r="H3174" s="144" t="n">
        <v>2200</v>
      </c>
      <c r="I3174" s="144" t="inlineStr">
        <is>
          <t>CONTRACTOR</t>
        </is>
      </c>
    </row>
    <row r="3175" ht="18" customHeight="1" s="7">
      <c r="A3175" s="144" t="inlineStr">
        <is>
          <t>MIGUEL SERPA</t>
        </is>
      </c>
      <c r="B3175" s="144" t="inlineStr">
        <is>
          <t>S610540710250 FL</t>
        </is>
      </c>
      <c r="C3175" s="144" t="inlineStr">
        <is>
          <t>RELOAD TRANS</t>
        </is>
      </c>
      <c r="D3175" s="144" t="n">
        <v>3055256244</v>
      </c>
      <c r="E3175" s="144" t="inlineStr">
        <is>
          <t>BOX</t>
        </is>
      </c>
      <c r="F3175" s="144" t="inlineStr">
        <is>
          <t>P1315380 IL</t>
        </is>
      </c>
      <c r="G3175" s="144" t="inlineStr">
        <is>
          <t>GRAY FREIGHTLINER</t>
        </is>
      </c>
      <c r="H3175" s="144" t="n">
        <v>1221</v>
      </c>
      <c r="I3175" s="144" t="inlineStr">
        <is>
          <t>COMMERICAL</t>
        </is>
      </c>
    </row>
    <row r="3176" ht="18" customHeight="1" s="7">
      <c r="A3176" s="144" t="inlineStr">
        <is>
          <t>HASSANE DJIBILLA</t>
        </is>
      </c>
      <c r="B3176" s="144" t="inlineStr">
        <is>
          <t>000031127465 NC</t>
        </is>
      </c>
      <c r="C3176" s="144" t="inlineStr">
        <is>
          <t>AGI TRUCKING</t>
        </is>
      </c>
      <c r="D3176" s="144" t="n">
        <v>7432399846</v>
      </c>
      <c r="E3176" s="144" t="inlineStr">
        <is>
          <t>BOX</t>
        </is>
      </c>
      <c r="F3176" s="144" t="inlineStr">
        <is>
          <t>P1278457 IL</t>
        </is>
      </c>
      <c r="G3176" s="144" t="inlineStr">
        <is>
          <t>BLUE FREIGHTLINER</t>
        </is>
      </c>
      <c r="H3176" s="144" t="n">
        <v>1221</v>
      </c>
      <c r="I3176" s="144" t="inlineStr">
        <is>
          <t>COMMERICAL</t>
        </is>
      </c>
    </row>
    <row r="3177" ht="18" customHeight="1" s="7">
      <c r="A3177" s="144" t="inlineStr">
        <is>
          <t>NICOLE HADLEY</t>
        </is>
      </c>
      <c r="B3177" s="144" t="inlineStr">
        <is>
          <t>H340630368307 MI</t>
        </is>
      </c>
      <c r="C3177" s="144" t="inlineStr">
        <is>
          <t>SWEET EXPRESS</t>
        </is>
      </c>
      <c r="D3177" s="144" t="n">
        <v>4049877750</v>
      </c>
      <c r="E3177" s="144" t="inlineStr">
        <is>
          <t>BOX</t>
        </is>
      </c>
      <c r="F3177" s="144" t="inlineStr">
        <is>
          <t>RC17532 MI</t>
        </is>
      </c>
      <c r="G3177" s="144" t="inlineStr">
        <is>
          <t>WHITE FREIGHTLINER</t>
        </is>
      </c>
      <c r="H3177" s="144" t="n">
        <v>1221</v>
      </c>
      <c r="I3177" s="144" t="inlineStr">
        <is>
          <t>COMMERICAL</t>
        </is>
      </c>
    </row>
    <row r="3178" ht="18" customHeight="1" s="7">
      <c r="A3178" s="144" t="inlineStr">
        <is>
          <t>MICHEAL CORDERO</t>
        </is>
      </c>
      <c r="B3178" s="144" t="inlineStr">
        <is>
          <t>106298912 SC</t>
        </is>
      </c>
      <c r="C3178" s="144" t="inlineStr">
        <is>
          <t>CAROLINA LOGISTIC</t>
        </is>
      </c>
      <c r="D3178" s="144" t="n">
        <v>8643998173</v>
      </c>
      <c r="E3178" s="144" t="inlineStr">
        <is>
          <t>BOX</t>
        </is>
      </c>
      <c r="F3178" s="144" t="inlineStr">
        <is>
          <t>VV7724 NC</t>
        </is>
      </c>
      <c r="G3178" s="144" t="inlineStr">
        <is>
          <t>BLACK FREIGHTLINER</t>
        </is>
      </c>
      <c r="H3178" s="144" t="n">
        <v>1221</v>
      </c>
      <c r="I3178" s="144" t="inlineStr">
        <is>
          <t>COMMERICAL</t>
        </is>
      </c>
    </row>
    <row r="3179" ht="18" customHeight="1" s="7">
      <c r="A3179" s="144" t="inlineStr">
        <is>
          <t>ANDREI SHVETSOV</t>
        </is>
      </c>
      <c r="B3179" s="144" t="inlineStr">
        <is>
          <t>S607717869000 FL</t>
        </is>
      </c>
      <c r="C3179" s="144" t="inlineStr">
        <is>
          <t>HOMELAND TRANS</t>
        </is>
      </c>
      <c r="D3179" s="144" t="n">
        <v>7864996525</v>
      </c>
      <c r="E3179" s="144" t="inlineStr">
        <is>
          <t>BOX</t>
        </is>
      </c>
      <c r="F3179" s="144" t="inlineStr">
        <is>
          <t>P1039307 IL</t>
        </is>
      </c>
      <c r="G3179" s="144" t="inlineStr">
        <is>
          <t>RED VOLVO</t>
        </is>
      </c>
      <c r="H3179" s="144" t="n">
        <v>1221</v>
      </c>
      <c r="I3179" s="144" t="inlineStr">
        <is>
          <t>COMMERICAL</t>
        </is>
      </c>
    </row>
    <row r="3180" ht="18" customHeight="1" s="7">
      <c r="A3180" s="144" t="inlineStr">
        <is>
          <t>CATALIN HASOSCHI</t>
        </is>
      </c>
      <c r="B3180" s="144" t="inlineStr">
        <is>
          <t>052912569 GA</t>
        </is>
      </c>
      <c r="C3180" s="144" t="inlineStr">
        <is>
          <t>SVV TRANS</t>
        </is>
      </c>
      <c r="D3180" s="144" t="n">
        <v>6787916550</v>
      </c>
      <c r="E3180" s="144" t="inlineStr">
        <is>
          <t>FLAT</t>
        </is>
      </c>
      <c r="F3180" s="144" t="inlineStr">
        <is>
          <t>P1300799 IL</t>
        </is>
      </c>
      <c r="G3180" s="144" t="inlineStr">
        <is>
          <t>GRAY KENWORTH</t>
        </is>
      </c>
      <c r="H3180" s="144" t="n">
        <v>1221</v>
      </c>
      <c r="I3180" s="144" t="inlineStr">
        <is>
          <t>COMMERICAL</t>
        </is>
      </c>
    </row>
    <row r="3181" ht="18" customHeight="1" s="7">
      <c r="A3181" s="144" t="inlineStr">
        <is>
          <t>THOMAS HOLTZ</t>
        </is>
      </c>
      <c r="B3181" s="144" t="inlineStr">
        <is>
          <t>158028921 TN</t>
        </is>
      </c>
      <c r="C3181" s="144" t="inlineStr">
        <is>
          <t>FEDEX</t>
        </is>
      </c>
      <c r="D3181" s="144" t="n">
        <v>6298088865</v>
      </c>
      <c r="E3181" s="144" t="inlineStr">
        <is>
          <t>BOX</t>
        </is>
      </c>
      <c r="F3181" s="144" t="inlineStr">
        <is>
          <t>PWW3085 OH</t>
        </is>
      </c>
      <c r="G3181" s="144" t="inlineStr">
        <is>
          <t>WHITE FREIGHTLINER</t>
        </is>
      </c>
      <c r="H3181" s="144" t="n">
        <v>1221</v>
      </c>
      <c r="I3181" s="144" t="inlineStr">
        <is>
          <t>COMMERICAL</t>
        </is>
      </c>
    </row>
    <row r="3182" ht="18" customHeight="1" s="7">
      <c r="A3182" s="144" t="inlineStr">
        <is>
          <t>CHRISTOPHER LESTER</t>
        </is>
      </c>
      <c r="B3182" s="144" t="inlineStr">
        <is>
          <t>052358899 GA</t>
        </is>
      </c>
      <c r="C3182" s="144" t="inlineStr">
        <is>
          <t>CEVA LOGISITCS</t>
        </is>
      </c>
      <c r="D3182" s="144" t="n">
        <v>4045109493</v>
      </c>
      <c r="E3182" s="144" t="inlineStr">
        <is>
          <t>BOX</t>
        </is>
      </c>
      <c r="F3182" s="144" t="inlineStr">
        <is>
          <t>ZAP429 GA</t>
        </is>
      </c>
      <c r="G3182" s="144" t="inlineStr">
        <is>
          <t>WHITE FREIGHTLINER</t>
        </is>
      </c>
      <c r="H3182" s="144" t="n">
        <v>1221</v>
      </c>
      <c r="I3182" s="144" t="inlineStr">
        <is>
          <t>COMMERICAL</t>
        </is>
      </c>
    </row>
    <row r="3183" ht="18" customHeight="1" s="7">
      <c r="A3183" s="144" t="inlineStr">
        <is>
          <t>LEON ALLEN</t>
        </is>
      </c>
      <c r="B3183" s="144" t="inlineStr">
        <is>
          <t>*051548176 GA</t>
        </is>
      </c>
      <c r="C3183" s="144" t="inlineStr">
        <is>
          <t>GEORGIA POWER</t>
        </is>
      </c>
      <c r="D3183" s="144" t="n">
        <v>2298542233</v>
      </c>
      <c r="E3183" s="144" t="inlineStr">
        <is>
          <t>PU</t>
        </is>
      </c>
      <c r="F3183" s="144" t="inlineStr">
        <is>
          <t>RBU0033 GA</t>
        </is>
      </c>
      <c r="G3183" s="144" t="inlineStr">
        <is>
          <t>WHITE FORD</t>
        </is>
      </c>
      <c r="H3183" s="144" t="inlineStr">
        <is>
          <t>SOLAR PANEL</t>
        </is>
      </c>
      <c r="I3183" s="144" t="inlineStr">
        <is>
          <t>CONTRACTOR</t>
        </is>
      </c>
    </row>
    <row r="3184" ht="18" customHeight="1" s="7">
      <c r="A3184" s="144" t="inlineStr">
        <is>
          <t>MARCO REIS</t>
        </is>
      </c>
      <c r="B3184" s="144" t="inlineStr">
        <is>
          <t>R200541753030 FL</t>
        </is>
      </c>
      <c r="C3184" s="144" t="inlineStr">
        <is>
          <t>GREEN VALLEY TRAN</t>
        </is>
      </c>
      <c r="D3184" s="144" t="n">
        <v>9413232553</v>
      </c>
      <c r="E3184" s="144" t="inlineStr">
        <is>
          <t>BOX</t>
        </is>
      </c>
      <c r="F3184" s="144" t="inlineStr">
        <is>
          <t>T3027HY TN</t>
        </is>
      </c>
      <c r="G3184" s="144" t="inlineStr">
        <is>
          <t>GRAY VOLVO</t>
        </is>
      </c>
      <c r="H3184" s="144" t="n">
        <v>1221</v>
      </c>
      <c r="I3184" s="144" t="inlineStr">
        <is>
          <t>COMMERICAL</t>
        </is>
      </c>
    </row>
    <row r="3185" ht="18" customHeight="1" s="7">
      <c r="A3185" s="144" t="inlineStr">
        <is>
          <t>BALJIT SINGH</t>
        </is>
      </c>
      <c r="B3185" s="144" t="inlineStr">
        <is>
          <t>9370831987 IN</t>
        </is>
      </c>
      <c r="C3185" s="144" t="inlineStr">
        <is>
          <t>L&amp;R EXPRESS</t>
        </is>
      </c>
      <c r="D3185" s="144" t="n">
        <v>5185775199</v>
      </c>
      <c r="E3185" s="144" t="inlineStr">
        <is>
          <t>BOX</t>
        </is>
      </c>
      <c r="F3185" s="144" t="inlineStr">
        <is>
          <t>3438190 IN</t>
        </is>
      </c>
      <c r="G3185" s="144" t="inlineStr">
        <is>
          <t>ORANGE FREIGHTLINER</t>
        </is>
      </c>
      <c r="H3185" s="144" t="n">
        <v>1221</v>
      </c>
      <c r="I3185" s="144" t="inlineStr">
        <is>
          <t>COMMERICAL</t>
        </is>
      </c>
    </row>
    <row r="3186" ht="18" customHeight="1" s="7">
      <c r="A3186" s="144" t="inlineStr">
        <is>
          <t>KUMAR MANISH</t>
        </is>
      </c>
      <c r="B3186" s="144" t="inlineStr">
        <is>
          <t>Y5999356 CA</t>
        </is>
      </c>
      <c r="C3186" s="144" t="inlineStr">
        <is>
          <t xml:space="preserve">SWASTIQ </t>
        </is>
      </c>
      <c r="D3186" s="144" t="n">
        <v>3179759985</v>
      </c>
      <c r="E3186" s="144" t="inlineStr">
        <is>
          <t>BOX</t>
        </is>
      </c>
      <c r="F3186" s="144" t="inlineStr">
        <is>
          <t>3387242 IN</t>
        </is>
      </c>
      <c r="G3186" s="144" t="inlineStr">
        <is>
          <t>BLUE FREIGHTLINER</t>
        </is>
      </c>
      <c r="H3186" s="144" t="n">
        <v>1221</v>
      </c>
      <c r="I3186" s="144" t="inlineStr">
        <is>
          <t>COMMERICAL</t>
        </is>
      </c>
    </row>
    <row r="3187" ht="18" customHeight="1" s="7">
      <c r="A3187" s="144" t="inlineStr">
        <is>
          <t>BOB PEOPLES</t>
        </is>
      </c>
      <c r="B3187" s="144" t="inlineStr">
        <is>
          <t>7238282 AL</t>
        </is>
      </c>
      <c r="C3187" s="144" t="inlineStr">
        <is>
          <t>ETC</t>
        </is>
      </c>
      <c r="D3187" s="144" t="n">
        <v>3343277664</v>
      </c>
      <c r="E3187" s="144" t="inlineStr">
        <is>
          <t>BOX</t>
        </is>
      </c>
      <c r="F3187" s="144" t="inlineStr">
        <is>
          <t>C0447A GA</t>
        </is>
      </c>
      <c r="G3187" s="144" t="inlineStr">
        <is>
          <t>BLUE INTERNATIONAL</t>
        </is>
      </c>
      <c r="H3187" s="144" t="n">
        <v>1221</v>
      </c>
      <c r="I3187" s="144" t="inlineStr">
        <is>
          <t>COMMERICAL</t>
        </is>
      </c>
    </row>
    <row r="3188" ht="18" customHeight="1" s="7">
      <c r="A3188" s="144" t="inlineStr">
        <is>
          <t>WILLIAM NORRIS</t>
        </is>
      </c>
      <c r="B3188" s="144" t="inlineStr">
        <is>
          <t>10935468 AL</t>
        </is>
      </c>
      <c r="C3188" s="144" t="inlineStr">
        <is>
          <t>FEDEX</t>
        </is>
      </c>
      <c r="D3188" s="144" t="n">
        <v>4074685983</v>
      </c>
      <c r="E3188" s="144" t="inlineStr">
        <is>
          <t>BOX</t>
        </is>
      </c>
      <c r="F3188" s="144" t="inlineStr">
        <is>
          <t>PXC8975 OH</t>
        </is>
      </c>
      <c r="G3188" s="144" t="inlineStr">
        <is>
          <t>WHITE FREIGHTLINER</t>
        </is>
      </c>
      <c r="H3188" s="144" t="n">
        <v>1221</v>
      </c>
      <c r="I3188" s="144" t="inlineStr">
        <is>
          <t>COMMERICAL</t>
        </is>
      </c>
    </row>
    <row r="3189" ht="18" customHeight="1" s="7">
      <c r="A3189" s="144" t="inlineStr">
        <is>
          <t>SHE'VRON BILLINGSLEY</t>
        </is>
      </c>
      <c r="B3189" s="144" t="inlineStr">
        <is>
          <t>*057433221 GA</t>
        </is>
      </c>
      <c r="C3189" s="144" t="inlineStr">
        <is>
          <t>BEVERAGE SOUTH</t>
        </is>
      </c>
      <c r="D3189" s="144" t="n">
        <v>2293435682</v>
      </c>
      <c r="E3189" s="144" t="inlineStr">
        <is>
          <t>BOX</t>
        </is>
      </c>
      <c r="F3189" s="144" t="inlineStr">
        <is>
          <t>EPQ790 GA</t>
        </is>
      </c>
      <c r="G3189" s="144" t="inlineStr">
        <is>
          <t>WHITE KENWORTH</t>
        </is>
      </c>
      <c r="H3189" s="144" t="n">
        <v>7501</v>
      </c>
      <c r="I3189" s="144" t="inlineStr">
        <is>
          <t>COMMERICAL</t>
        </is>
      </c>
    </row>
    <row r="3190" ht="18" customHeight="1" s="7">
      <c r="A3190" s="144" t="inlineStr">
        <is>
          <t>STEVEN GRATZ</t>
        </is>
      </c>
      <c r="B3190" s="144" t="inlineStr">
        <is>
          <t>G632791692700 FL</t>
        </is>
      </c>
      <c r="C3190" s="144" t="inlineStr">
        <is>
          <t>LANDSTAR</t>
        </is>
      </c>
      <c r="D3190" s="144" t="n">
        <v>6238826193</v>
      </c>
      <c r="E3190" s="144" t="inlineStr">
        <is>
          <t>BOX</t>
        </is>
      </c>
      <c r="F3190" s="144" t="inlineStr">
        <is>
          <t xml:space="preserve">2518648 IN </t>
        </is>
      </c>
      <c r="G3190" s="144" t="inlineStr">
        <is>
          <t>WHITE KENWORTH</t>
        </is>
      </c>
      <c r="H3190" s="144" t="n">
        <v>1221</v>
      </c>
      <c r="I3190" s="144" t="inlineStr">
        <is>
          <t>COMMERICAL</t>
        </is>
      </c>
    </row>
    <row r="3191" ht="18" customHeight="1" s="7">
      <c r="A3191" s="144" t="inlineStr">
        <is>
          <t>CELSO ROSALES</t>
        </is>
      </c>
      <c r="B3191" s="144" t="inlineStr">
        <is>
          <t>*056373741 GA</t>
        </is>
      </c>
      <c r="C3191" s="144" t="inlineStr">
        <is>
          <t>GA POWER</t>
        </is>
      </c>
      <c r="D3191" s="144" t="n">
        <v>7709799293</v>
      </c>
      <c r="E3191" s="144" t="inlineStr">
        <is>
          <t>VAN</t>
        </is>
      </c>
      <c r="F3191" s="144" t="inlineStr">
        <is>
          <t>CRN2298 GA</t>
        </is>
      </c>
      <c r="G3191" s="144" t="inlineStr">
        <is>
          <t>WHITE TRANSIT</t>
        </is>
      </c>
      <c r="H3191" s="144" t="n">
        <v>2246</v>
      </c>
      <c r="I3191" s="144" t="inlineStr">
        <is>
          <t>CONTRACTOR</t>
        </is>
      </c>
    </row>
    <row r="3192" ht="18" customHeight="1" s="7">
      <c r="A3192" s="144" t="inlineStr">
        <is>
          <t>DAKOTA BLANKENSHIP</t>
        </is>
      </c>
      <c r="B3192" s="144" t="inlineStr">
        <is>
          <t>061883262 GA</t>
        </is>
      </c>
      <c r="C3192" s="144" t="inlineStr">
        <is>
          <t>BETTS</t>
        </is>
      </c>
      <c r="D3192" s="144" t="n">
        <v>2295079823</v>
      </c>
      <c r="E3192" s="144" t="inlineStr">
        <is>
          <t>PU</t>
        </is>
      </c>
      <c r="F3192" s="144" t="inlineStr">
        <is>
          <t>EZA662 GA</t>
        </is>
      </c>
      <c r="G3192" s="144" t="inlineStr">
        <is>
          <t>WHITE CHEV</t>
        </is>
      </c>
      <c r="H3192" s="144" t="inlineStr">
        <is>
          <t>SUBSTATION</t>
        </is>
      </c>
      <c r="I3192" s="144" t="inlineStr">
        <is>
          <t>CONTRACTOR</t>
        </is>
      </c>
    </row>
    <row r="3193" ht="18" customHeight="1" s="7">
      <c r="A3193" s="144" t="inlineStr">
        <is>
          <t>AMIR ADAM</t>
        </is>
      </c>
      <c r="B3193" s="144" t="inlineStr">
        <is>
          <t>AD000775V ID</t>
        </is>
      </c>
      <c r="C3193" s="144" t="inlineStr">
        <is>
          <t>EDO EXPRESS</t>
        </is>
      </c>
      <c r="D3193" s="144" t="n">
        <v>2063163350</v>
      </c>
      <c r="E3193" s="144" t="inlineStr">
        <is>
          <t>FLAT</t>
        </is>
      </c>
      <c r="F3193" s="144" t="inlineStr">
        <is>
          <t>RP21896 WA</t>
        </is>
      </c>
      <c r="G3193" s="144" t="inlineStr">
        <is>
          <t>WHITE VOLVO</t>
        </is>
      </c>
      <c r="H3193" s="144" t="n">
        <v>1221</v>
      </c>
      <c r="I3193" s="144" t="inlineStr">
        <is>
          <t>COMMERICAL</t>
        </is>
      </c>
    </row>
    <row r="3194" ht="18" customHeight="1" s="7">
      <c r="A3194" s="144" t="inlineStr">
        <is>
          <t>DIEUNEL SILLON</t>
        </is>
      </c>
      <c r="B3194" s="144" t="inlineStr">
        <is>
          <t>5330393109 IN</t>
        </is>
      </c>
      <c r="C3194" s="144" t="inlineStr">
        <is>
          <t>GOD TRUCKING</t>
        </is>
      </c>
      <c r="D3194" s="144" t="n">
        <v>8125136523</v>
      </c>
      <c r="E3194" s="144" t="inlineStr">
        <is>
          <t>BOX</t>
        </is>
      </c>
      <c r="F3194" s="144" t="inlineStr">
        <is>
          <t>3683807 IN</t>
        </is>
      </c>
      <c r="G3194" s="144" t="inlineStr">
        <is>
          <t>BLUE FREIGHTLINER</t>
        </is>
      </c>
      <c r="H3194" s="144" t="n">
        <v>1221</v>
      </c>
      <c r="I3194" s="144" t="inlineStr">
        <is>
          <t>COMMERICAL</t>
        </is>
      </c>
    </row>
    <row r="3195" ht="18" customHeight="1" s="7">
      <c r="A3195" s="144" t="inlineStr">
        <is>
          <t>DAVID BENSON</t>
        </is>
      </c>
      <c r="B3195" s="144" t="inlineStr">
        <is>
          <t>050752626 GA</t>
        </is>
      </c>
      <c r="C3195" s="144" t="inlineStr">
        <is>
          <t>FIVESTAR</t>
        </is>
      </c>
      <c r="D3195" s="144" t="n">
        <v>7065230622</v>
      </c>
      <c r="E3195" s="144" t="inlineStr">
        <is>
          <t>BOX</t>
        </is>
      </c>
      <c r="F3195" s="144" t="inlineStr">
        <is>
          <t>YGS930 GA</t>
        </is>
      </c>
      <c r="G3195" s="144" t="inlineStr">
        <is>
          <t>WHITE INTERNATIONAL</t>
        </is>
      </c>
      <c r="H3195" s="144" t="n">
        <v>7501</v>
      </c>
      <c r="I3195" s="144" t="inlineStr">
        <is>
          <t>COMMERICAL</t>
        </is>
      </c>
    </row>
    <row r="3196" ht="18" customHeight="1" s="7">
      <c r="A3196" s="144" t="inlineStr">
        <is>
          <t>JAMES DELMAR</t>
        </is>
      </c>
      <c r="B3196" s="144" t="inlineStr">
        <is>
          <t>057455297 GA</t>
        </is>
      </c>
      <c r="C3196" s="144" t="inlineStr">
        <is>
          <t>FIVESTAR</t>
        </is>
      </c>
      <c r="D3196" s="144" t="n">
        <v>4237187139</v>
      </c>
      <c r="E3196" s="144" t="inlineStr">
        <is>
          <t>VAN</t>
        </is>
      </c>
      <c r="F3196" s="144" t="inlineStr">
        <is>
          <t>11AE5BP AL</t>
        </is>
      </c>
      <c r="G3196" s="144" t="inlineStr">
        <is>
          <t>WHITE FORD</t>
        </is>
      </c>
      <c r="H3196" s="144" t="n">
        <v>7501</v>
      </c>
      <c r="I3196" s="144" t="inlineStr">
        <is>
          <t>CONTRACTOR</t>
        </is>
      </c>
    </row>
    <row r="3197" ht="18" customHeight="1" s="7">
      <c r="A3197" s="144" t="inlineStr">
        <is>
          <t>MICHEAL JONES</t>
        </is>
      </c>
      <c r="B3197" s="144" t="inlineStr">
        <is>
          <t>6371725 AL</t>
        </is>
      </c>
      <c r="C3197" s="144" t="inlineStr">
        <is>
          <t>FIVESTAR</t>
        </is>
      </c>
      <c r="D3197" s="144" t="n">
        <v>2293085031</v>
      </c>
      <c r="E3197" s="144" t="inlineStr">
        <is>
          <t>BOX</t>
        </is>
      </c>
      <c r="F3197" s="144" t="inlineStr">
        <is>
          <t>XPR901 GA</t>
        </is>
      </c>
      <c r="G3197" s="144" t="inlineStr">
        <is>
          <t>WHITE ZOZO</t>
        </is>
      </c>
      <c r="H3197" s="144" t="n">
        <v>7501</v>
      </c>
      <c r="I3197" s="144" t="inlineStr">
        <is>
          <t>CONTRACTOR</t>
        </is>
      </c>
    </row>
    <row r="3198" ht="18" customHeight="1" s="7">
      <c r="A3198" s="144" t="inlineStr">
        <is>
          <t>SCOTT REFROE</t>
        </is>
      </c>
      <c r="B3198" s="144" t="inlineStr">
        <is>
          <t>031300845 GA</t>
        </is>
      </c>
      <c r="C3198" s="144" t="inlineStr">
        <is>
          <t>FIVESTAR</t>
        </is>
      </c>
      <c r="D3198" s="144" t="n">
        <v>6788732461</v>
      </c>
      <c r="E3198" s="144" t="inlineStr">
        <is>
          <t>VAN</t>
        </is>
      </c>
      <c r="F3198" s="144" t="inlineStr">
        <is>
          <t>RRV8117 GA</t>
        </is>
      </c>
      <c r="G3198" s="144" t="inlineStr">
        <is>
          <t>WHITE FORD</t>
        </is>
      </c>
      <c r="H3198" s="144" t="n">
        <v>7501</v>
      </c>
      <c r="I3198" s="144" t="inlineStr">
        <is>
          <t>CONTRACTOR</t>
        </is>
      </c>
    </row>
    <row r="3199" ht="18" customHeight="1" s="7">
      <c r="A3199" s="144" t="inlineStr">
        <is>
          <t>CLAYTON MOORE</t>
        </is>
      </c>
      <c r="B3199" s="144" t="inlineStr">
        <is>
          <t>M206848696000 FL</t>
        </is>
      </c>
      <c r="C3199" s="144" t="inlineStr">
        <is>
          <t>GPRS</t>
        </is>
      </c>
      <c r="D3199" s="144" t="n">
        <v>9046256908</v>
      </c>
      <c r="E3199" s="144" t="inlineStr">
        <is>
          <t>PU</t>
        </is>
      </c>
      <c r="F3199" s="144" t="inlineStr">
        <is>
          <t>FQLB66 FL</t>
        </is>
      </c>
      <c r="G3199" s="144" t="inlineStr">
        <is>
          <t>WHITE CHEV</t>
        </is>
      </c>
      <c r="H3199" s="144" t="inlineStr">
        <is>
          <t>BASEWIDE</t>
        </is>
      </c>
      <c r="I3199" s="144" t="inlineStr">
        <is>
          <t>CONTRACTOR</t>
        </is>
      </c>
    </row>
    <row r="3200" ht="18" customHeight="1" s="7">
      <c r="A3200" s="144" t="inlineStr">
        <is>
          <t>JUSTIN HART</t>
        </is>
      </c>
      <c r="B3200" s="144" t="inlineStr">
        <is>
          <t>057613705 GA</t>
        </is>
      </c>
      <c r="C3200" s="144" t="inlineStr">
        <is>
          <t>COCO COLA</t>
        </is>
      </c>
      <c r="D3200" s="144" t="n">
        <v>2292721911</v>
      </c>
      <c r="E3200" s="144" t="inlineStr">
        <is>
          <t>BOX</t>
        </is>
      </c>
      <c r="F3200" s="144" t="inlineStr">
        <is>
          <t>RIT1444 GA</t>
        </is>
      </c>
      <c r="G3200" s="144" t="inlineStr">
        <is>
          <t>RED MERCEDES</t>
        </is>
      </c>
      <c r="H3200" s="144" t="n">
        <v>3500</v>
      </c>
      <c r="I3200" s="144" t="inlineStr">
        <is>
          <t>CONTRACTOR</t>
        </is>
      </c>
    </row>
    <row r="3201" ht="18" customHeight="1" s="7">
      <c r="A3201" s="144" t="inlineStr">
        <is>
          <t>STEVEN JACKSON JR</t>
        </is>
      </c>
      <c r="B3201" s="144" t="inlineStr">
        <is>
          <t>056279821 GA</t>
        </is>
      </c>
      <c r="C3201" s="144" t="inlineStr">
        <is>
          <t>COCO COLA</t>
        </is>
      </c>
      <c r="D3201" s="144" t="n">
        <v>7067506827</v>
      </c>
      <c r="E3201" s="144" t="inlineStr">
        <is>
          <t>BOX</t>
        </is>
      </c>
      <c r="F3201" s="144" t="inlineStr">
        <is>
          <t>EXF157 GA</t>
        </is>
      </c>
      <c r="G3201" s="144" t="inlineStr">
        <is>
          <t>RED FREIGHTLINER</t>
        </is>
      </c>
      <c r="H3201" s="144" t="n">
        <v>3500</v>
      </c>
      <c r="I3201" s="144" t="inlineStr">
        <is>
          <t>COMMERICAL</t>
        </is>
      </c>
    </row>
    <row r="3202" ht="18" customHeight="1" s="7">
      <c r="A3202" s="144" t="inlineStr">
        <is>
          <t>RAPHAEL ST HILL</t>
        </is>
      </c>
      <c r="B3202" s="144" t="inlineStr">
        <is>
          <t>S2341251540000 FL</t>
        </is>
      </c>
      <c r="C3202" s="144" t="inlineStr">
        <is>
          <t>PHIL&amp;EM</t>
        </is>
      </c>
      <c r="D3202" s="144" t="n">
        <v>9044966116</v>
      </c>
      <c r="E3202" s="144" t="inlineStr">
        <is>
          <t>BOX</t>
        </is>
      </c>
      <c r="F3202" s="144" t="inlineStr">
        <is>
          <t>P519CN</t>
        </is>
      </c>
      <c r="G3202" s="144" t="inlineStr">
        <is>
          <t>WHITE FREIGHTLINER</t>
        </is>
      </c>
      <c r="H3202" s="144" t="n">
        <v>1221</v>
      </c>
      <c r="I3202" s="144" t="inlineStr">
        <is>
          <t>COMMERICAL</t>
        </is>
      </c>
    </row>
    <row r="3203" ht="18" customHeight="1" s="7">
      <c r="A3203" s="144" t="inlineStr">
        <is>
          <t>JASON AUTRY</t>
        </is>
      </c>
      <c r="B3203" s="144" t="inlineStr">
        <is>
          <t>050841524 GA</t>
        </is>
      </c>
      <c r="C3203" s="144" t="inlineStr">
        <is>
          <t>JK2 LOGISTICS</t>
        </is>
      </c>
      <c r="D3203" s="144" t="n">
        <v>2298816292</v>
      </c>
      <c r="E3203" s="144" t="inlineStr">
        <is>
          <t>PU</t>
        </is>
      </c>
      <c r="F3203" s="144" t="inlineStr">
        <is>
          <t>P783CS GA</t>
        </is>
      </c>
      <c r="G3203" s="144" t="inlineStr">
        <is>
          <t>BLACK CHEV</t>
        </is>
      </c>
      <c r="H3203" s="144" t="n">
        <v>1221</v>
      </c>
      <c r="I3203" s="144" t="inlineStr">
        <is>
          <t>COMMERICAL</t>
        </is>
      </c>
    </row>
    <row r="3204" ht="18" customHeight="1" s="7">
      <c r="A3204" s="144" t="inlineStr">
        <is>
          <t>JAMES TOUCHET</t>
        </is>
      </c>
      <c r="B3204" s="144" t="inlineStr">
        <is>
          <t>006229394 LA</t>
        </is>
      </c>
      <c r="C3204" s="144" t="inlineStr">
        <is>
          <t>LANDSTAR</t>
        </is>
      </c>
      <c r="D3204" s="144" t="n">
        <v>3375779493</v>
      </c>
      <c r="E3204" s="144" t="inlineStr">
        <is>
          <t>BOX</t>
        </is>
      </c>
      <c r="F3204" s="144" t="inlineStr">
        <is>
          <t>3236362 IN</t>
        </is>
      </c>
      <c r="G3204" s="144" t="inlineStr">
        <is>
          <t>WHITE FREIGHTLINER</t>
        </is>
      </c>
      <c r="H3204" s="144" t="n">
        <v>1221</v>
      </c>
      <c r="I3204" s="144" t="inlineStr">
        <is>
          <t>COMMERICAL</t>
        </is>
      </c>
    </row>
    <row r="3205" ht="18" customHeight="1" s="7">
      <c r="A3205" s="144" t="inlineStr">
        <is>
          <t>JEVON GUNNING</t>
        </is>
      </c>
      <c r="B3205" s="144" t="inlineStr">
        <is>
          <t>072351946 GA</t>
        </is>
      </c>
      <c r="C3205" s="144" t="inlineStr">
        <is>
          <t>GUNNING TRANS</t>
        </is>
      </c>
      <c r="D3205" s="144" t="n">
        <v>9547071159</v>
      </c>
      <c r="E3205" s="144" t="inlineStr">
        <is>
          <t>FLAT</t>
        </is>
      </c>
      <c r="F3205" s="144" t="inlineStr">
        <is>
          <t>C155FE GA</t>
        </is>
      </c>
      <c r="G3205" s="144" t="inlineStr">
        <is>
          <t>BLUE KENWORTH</t>
        </is>
      </c>
      <c r="H3205" s="144" t="n">
        <v>1221</v>
      </c>
      <c r="I3205" s="144" t="inlineStr">
        <is>
          <t>COMMERICAL</t>
        </is>
      </c>
    </row>
    <row r="3206" ht="18" customHeight="1" s="7">
      <c r="A3206" s="144" t="inlineStr">
        <is>
          <t>MICHEAL STEWART</t>
        </is>
      </c>
      <c r="B3206" s="144" t="inlineStr">
        <is>
          <t>7735385 AL</t>
        </is>
      </c>
      <c r="C3206" s="144" t="inlineStr">
        <is>
          <t>NANTZE SPRINGS</t>
        </is>
      </c>
      <c r="D3206" s="144" t="n">
        <v>3345966760</v>
      </c>
      <c r="E3206" s="144" t="inlineStr">
        <is>
          <t>BOX</t>
        </is>
      </c>
      <c r="F3206" s="144" t="inlineStr">
        <is>
          <t>38A6W29 AL</t>
        </is>
      </c>
      <c r="G3206" s="144" t="inlineStr">
        <is>
          <t>WHITE FREIGHTLINER</t>
        </is>
      </c>
      <c r="H3206" s="144" t="n">
        <v>3500</v>
      </c>
      <c r="I3206" s="144" t="inlineStr">
        <is>
          <t>COMMERICAL</t>
        </is>
      </c>
    </row>
    <row r="3207" ht="18" customHeight="1" s="7">
      <c r="A3207" s="144" t="inlineStr">
        <is>
          <t>TREY THOMAS</t>
        </is>
      </c>
      <c r="B3207" s="144" t="inlineStr">
        <is>
          <t>T231857756000 FL</t>
        </is>
      </c>
      <c r="C3207" s="144" t="inlineStr">
        <is>
          <t>ONE 4 ALL</t>
        </is>
      </c>
      <c r="D3207" s="144" t="n">
        <v>8503631012</v>
      </c>
      <c r="E3207" s="144" t="inlineStr">
        <is>
          <t>BOX</t>
        </is>
      </c>
      <c r="F3207" s="144" t="inlineStr">
        <is>
          <t>TN067498 AL</t>
        </is>
      </c>
      <c r="G3207" s="144" t="inlineStr">
        <is>
          <t>WHITE INTERNATIONAL</t>
        </is>
      </c>
      <c r="H3207" s="144" t="n">
        <v>1221</v>
      </c>
      <c r="I3207" s="144" t="inlineStr">
        <is>
          <t>COMMERICAL</t>
        </is>
      </c>
    </row>
    <row r="3208" ht="18" customHeight="1" s="7">
      <c r="A3208" s="144" t="inlineStr">
        <is>
          <t>JAMES ROBINSON</t>
        </is>
      </c>
      <c r="B3208" s="144" t="inlineStr">
        <is>
          <t>35442182 TX</t>
        </is>
      </c>
      <c r="C3208" s="144" t="inlineStr">
        <is>
          <t>LANDSTAR</t>
        </is>
      </c>
      <c r="D3208" s="144" t="n">
        <v>3466641628</v>
      </c>
      <c r="E3208" s="144" t="inlineStr">
        <is>
          <t>FLAT</t>
        </is>
      </c>
      <c r="F3208" s="144" t="inlineStr">
        <is>
          <t>3210483 IN</t>
        </is>
      </c>
      <c r="G3208" s="144" t="inlineStr">
        <is>
          <t>BLUE FREIGHTLINER</t>
        </is>
      </c>
      <c r="H3208" s="144" t="n">
        <v>1221</v>
      </c>
      <c r="I3208" s="144" t="inlineStr">
        <is>
          <t>COMMERICAL</t>
        </is>
      </c>
    </row>
    <row r="3209" ht="18" customHeight="1" s="7">
      <c r="A3209" s="144" t="inlineStr">
        <is>
          <t>STEVEN MEGGS</t>
        </is>
      </c>
      <c r="B3209" s="144" t="inlineStr">
        <is>
          <t>047072432 GA</t>
        </is>
      </c>
      <c r="C3209" s="144" t="inlineStr">
        <is>
          <t>AT&amp;T</t>
        </is>
      </c>
      <c r="D3209" s="144" t="n">
        <v>2292550499</v>
      </c>
      <c r="E3209" s="144" t="inlineStr">
        <is>
          <t>VAN</t>
        </is>
      </c>
      <c r="F3209" s="144" t="inlineStr">
        <is>
          <t>47AYRXN AL</t>
        </is>
      </c>
      <c r="G3209" s="144" t="inlineStr">
        <is>
          <t>WHITE CHEV</t>
        </is>
      </c>
      <c r="H3209" s="144" t="n">
        <v>1330</v>
      </c>
      <c r="I3209" s="144" t="inlineStr">
        <is>
          <t>CONTRACTOR</t>
        </is>
      </c>
    </row>
    <row r="3210" ht="18" customHeight="1" s="7">
      <c r="A3210" s="144" t="inlineStr">
        <is>
          <t>BRADLEY BREEDLOVE</t>
        </is>
      </c>
      <c r="B3210" s="144" t="inlineStr">
        <is>
          <t>T106022002 MI</t>
        </is>
      </c>
      <c r="C3210" s="144" t="inlineStr">
        <is>
          <t>RAPID TRANS</t>
        </is>
      </c>
      <c r="D3210" s="144" t="n">
        <v>5738383748</v>
      </c>
      <c r="E3210" s="144" t="inlineStr">
        <is>
          <t>PU</t>
        </is>
      </c>
      <c r="F3210" s="144" t="inlineStr">
        <is>
          <t>K205596 TX</t>
        </is>
      </c>
      <c r="G3210" s="144" t="inlineStr">
        <is>
          <t>WHITE DODGE</t>
        </is>
      </c>
      <c r="H3210" s="144" t="n">
        <v>1221</v>
      </c>
      <c r="I3210" s="144" t="inlineStr">
        <is>
          <t>CONTRACTOR</t>
        </is>
      </c>
    </row>
    <row r="3211" ht="18" customHeight="1" s="7">
      <c r="A3211" s="144" t="inlineStr">
        <is>
          <t>OSMAN ABDULKADIR</t>
        </is>
      </c>
      <c r="B3211" s="144" t="inlineStr">
        <is>
          <t>Z796217638922 MN</t>
        </is>
      </c>
      <c r="C3211" s="144" t="inlineStr">
        <is>
          <t>LANDSTAR</t>
        </is>
      </c>
      <c r="D3211" s="144" t="n">
        <v>8587521952</v>
      </c>
      <c r="E3211" s="144" t="inlineStr">
        <is>
          <t>BOX</t>
        </is>
      </c>
      <c r="F3211" s="144" t="inlineStr">
        <is>
          <t>3961218 IN</t>
        </is>
      </c>
      <c r="G3211" s="144" t="inlineStr">
        <is>
          <t>BROWN FREIGHTLINER</t>
        </is>
      </c>
      <c r="H3211" s="144" t="n">
        <v>1221</v>
      </c>
      <c r="I3211" s="144" t="inlineStr">
        <is>
          <t>COMMERICAL</t>
        </is>
      </c>
    </row>
    <row r="3212" ht="18" customHeight="1" s="7">
      <c r="A3212" s="144" t="inlineStr">
        <is>
          <t>ANTHONY DONOFRIO</t>
        </is>
      </c>
      <c r="B3212" s="144" t="inlineStr">
        <is>
          <t>071878225 GA</t>
        </is>
      </c>
      <c r="C3212" s="144" t="inlineStr">
        <is>
          <t>SAC SERVICES</t>
        </is>
      </c>
      <c r="D3212" s="144" t="n">
        <v>7742692438</v>
      </c>
      <c r="E3212" s="144" t="inlineStr">
        <is>
          <t>PU</t>
        </is>
      </c>
      <c r="F3212" s="144" t="inlineStr">
        <is>
          <t>PZAQ36 FL</t>
        </is>
      </c>
      <c r="G3212" s="144" t="inlineStr">
        <is>
          <t>WHITE FORD</t>
        </is>
      </c>
      <c r="H3212" s="144" t="inlineStr">
        <is>
          <t>BASEWIDE</t>
        </is>
      </c>
      <c r="I3212" s="144" t="inlineStr">
        <is>
          <t>CONTRACTOR</t>
        </is>
      </c>
    </row>
    <row r="3213" ht="18" customHeight="1" s="7">
      <c r="A3213" s="144" t="inlineStr">
        <is>
          <t>LIUDMYLA SHUMEIDA</t>
        </is>
      </c>
      <c r="B3213" s="144" t="inlineStr">
        <is>
          <t>S530522021660 MI</t>
        </is>
      </c>
      <c r="C3213" s="144" t="inlineStr">
        <is>
          <t>R&amp;B</t>
        </is>
      </c>
      <c r="D3213" s="144" t="n">
        <v>5868718857</v>
      </c>
      <c r="E3213" s="144" t="inlineStr">
        <is>
          <t>BOX</t>
        </is>
      </c>
      <c r="F3213" s="144" t="inlineStr">
        <is>
          <t>RC48391 MI</t>
        </is>
      </c>
      <c r="G3213" s="144" t="inlineStr">
        <is>
          <t>WHITE VOLVO</t>
        </is>
      </c>
      <c r="H3213" s="144" t="n">
        <v>1221</v>
      </c>
      <c r="I3213" s="144" t="inlineStr">
        <is>
          <t>COMMERICAL</t>
        </is>
      </c>
    </row>
    <row r="3214" ht="18" customHeight="1" s="7">
      <c r="A3214" s="144" t="inlineStr">
        <is>
          <t>MAMED GADZHIYEV</t>
        </is>
      </c>
      <c r="B3214" s="144" t="inlineStr">
        <is>
          <t>053038567 GA</t>
        </is>
      </c>
      <c r="C3214" s="144" t="inlineStr">
        <is>
          <t>FAST TRANSP.</t>
        </is>
      </c>
      <c r="D3214" s="144" t="n">
        <v>6785494140</v>
      </c>
      <c r="E3214" s="144" t="inlineStr">
        <is>
          <t>FLAT</t>
        </is>
      </c>
      <c r="F3214" s="144" t="inlineStr">
        <is>
          <t>C426FC GA</t>
        </is>
      </c>
      <c r="G3214" s="144" t="inlineStr">
        <is>
          <t>WHITE VOLVO</t>
        </is>
      </c>
      <c r="H3214" s="144" t="n">
        <v>1221</v>
      </c>
      <c r="I3214" s="144" t="inlineStr">
        <is>
          <t>COMMERICAL</t>
        </is>
      </c>
    </row>
    <row r="3215" ht="18" customHeight="1" s="7">
      <c r="A3215" s="144" t="inlineStr">
        <is>
          <t>MARKKING SMALLS</t>
        </is>
      </c>
      <c r="B3215" s="144" t="inlineStr">
        <is>
          <t>072326978 GA</t>
        </is>
      </c>
      <c r="C3215" s="144" t="inlineStr">
        <is>
          <t>TEAM WORLDWIDE</t>
        </is>
      </c>
      <c r="D3215" s="144" t="n">
        <v>2017377879</v>
      </c>
      <c r="E3215" s="144" t="inlineStr">
        <is>
          <t>VAN</t>
        </is>
      </c>
      <c r="F3215" s="144" t="inlineStr">
        <is>
          <t>SJS1317 GA</t>
        </is>
      </c>
      <c r="G3215" s="144" t="inlineStr">
        <is>
          <t>WHITE MERCEDES</t>
        </is>
      </c>
      <c r="H3215" s="144" t="n">
        <v>1221</v>
      </c>
      <c r="I3215" s="144" t="inlineStr">
        <is>
          <t>CONTRACTOR</t>
        </is>
      </c>
    </row>
    <row r="3216" ht="18" customHeight="1" s="7">
      <c r="A3216" s="144" t="inlineStr">
        <is>
          <t>JIMMY SIMS</t>
        </is>
      </c>
      <c r="B3216" s="144" t="inlineStr">
        <is>
          <t>049474793 GA</t>
        </is>
      </c>
      <c r="C3216" s="144" t="inlineStr">
        <is>
          <t>FIVESTAR</t>
        </is>
      </c>
      <c r="D3216" s="144" t="n">
        <v>2294493131</v>
      </c>
      <c r="E3216" s="144" t="inlineStr">
        <is>
          <t>BOX</t>
        </is>
      </c>
      <c r="F3216" s="144" t="inlineStr">
        <is>
          <t>C1197206 GA</t>
        </is>
      </c>
      <c r="G3216" s="144" t="inlineStr">
        <is>
          <t>WHITE FREIGHTLINER</t>
        </is>
      </c>
      <c r="H3216" s="144" t="n">
        <v>7501</v>
      </c>
      <c r="I3216" s="144" t="inlineStr">
        <is>
          <t>COMMERICAL</t>
        </is>
      </c>
    </row>
    <row r="3217" ht="18" customHeight="1" s="7">
      <c r="A3217" s="144" t="inlineStr">
        <is>
          <t>JAQUAVIOUS HUGHLEY</t>
        </is>
      </c>
      <c r="B3217" s="144" t="inlineStr">
        <is>
          <t>055313147 GA</t>
        </is>
      </c>
      <c r="C3217" s="144" t="inlineStr">
        <is>
          <t>FIVESTAR</t>
        </is>
      </c>
      <c r="D3217" s="144" t="n">
        <v>3345494055</v>
      </c>
      <c r="E3217" s="144" t="inlineStr">
        <is>
          <t>BOX</t>
        </is>
      </c>
      <c r="F3217" s="144" t="inlineStr">
        <is>
          <t>YGS930 GA</t>
        </is>
      </c>
      <c r="G3217" s="144" t="inlineStr">
        <is>
          <t>WHITE INTERNATIONAL</t>
        </is>
      </c>
      <c r="H3217" s="144" t="n">
        <v>2200</v>
      </c>
      <c r="I3217" s="144" t="inlineStr">
        <is>
          <t>CONTRACTOR</t>
        </is>
      </c>
    </row>
    <row r="3218" ht="18" customHeight="1" s="7">
      <c r="A3218" s="144" t="inlineStr">
        <is>
          <t>MARC DEMOSTHENES</t>
        </is>
      </c>
      <c r="B3218" s="144" t="inlineStr">
        <is>
          <t>4490046054 IN</t>
        </is>
      </c>
      <c r="C3218" s="144" t="inlineStr">
        <is>
          <t>BRIWAY</t>
        </is>
      </c>
      <c r="D3218" s="144" t="n">
        <v>5619044673</v>
      </c>
      <c r="E3218" s="144" t="inlineStr">
        <is>
          <t>BOX</t>
        </is>
      </c>
      <c r="F3218" s="144" t="inlineStr">
        <is>
          <t>P1308274 IL</t>
        </is>
      </c>
      <c r="G3218" s="144" t="inlineStr">
        <is>
          <t>GRAY FREIGHTLINER</t>
        </is>
      </c>
      <c r="H3218" s="144" t="n">
        <v>1221</v>
      </c>
      <c r="I3218" s="144" t="inlineStr">
        <is>
          <t>COMMERICAL</t>
        </is>
      </c>
    </row>
    <row r="3219" ht="18" customHeight="1" s="7">
      <c r="A3219" s="144" t="inlineStr">
        <is>
          <t>ALEJANDRO FLORES</t>
        </is>
      </c>
      <c r="B3219" s="144" t="inlineStr">
        <is>
          <t>06912511 TX</t>
        </is>
      </c>
      <c r="C3219" s="144" t="inlineStr">
        <is>
          <t>915 LOGTISIC</t>
        </is>
      </c>
      <c r="D3219" s="144" t="n">
        <v>9156030242</v>
      </c>
      <c r="E3219" s="144" t="inlineStr">
        <is>
          <t>BOX</t>
        </is>
      </c>
      <c r="F3219" s="144" t="inlineStr">
        <is>
          <t>R536871 TX</t>
        </is>
      </c>
      <c r="G3219" s="144" t="inlineStr">
        <is>
          <t>ORANGE FREIGHTLINER</t>
        </is>
      </c>
      <c r="H3219" s="144" t="n">
        <v>1221</v>
      </c>
      <c r="I3219" s="144" t="inlineStr">
        <is>
          <t>COMMERICAL</t>
        </is>
      </c>
    </row>
    <row r="3220" ht="18" customHeight="1" s="7">
      <c r="A3220" s="144" t="inlineStr">
        <is>
          <t>DONALD MORRELL</t>
        </is>
      </c>
      <c r="B3220" s="144" t="inlineStr">
        <is>
          <t>057233770 GA</t>
        </is>
      </c>
      <c r="C3220" s="144" t="inlineStr">
        <is>
          <t>SOUTH GA BRICK</t>
        </is>
      </c>
      <c r="D3220" s="144" t="n">
        <v>18002412156</v>
      </c>
      <c r="E3220" s="144" t="inlineStr">
        <is>
          <t>PU</t>
        </is>
      </c>
      <c r="F3220" s="144" t="inlineStr">
        <is>
          <t>SGB1 GA</t>
        </is>
      </c>
      <c r="G3220" s="144" t="inlineStr">
        <is>
          <t>RED FORD</t>
        </is>
      </c>
      <c r="H3220" s="144" t="inlineStr">
        <is>
          <t>K9</t>
        </is>
      </c>
      <c r="I3220" s="144" t="inlineStr">
        <is>
          <t>CONTRACTOR</t>
        </is>
      </c>
    </row>
    <row r="3221" ht="18" customHeight="1" s="7">
      <c r="A3221" s="144" t="inlineStr">
        <is>
          <t>DEDRIC HARDY</t>
        </is>
      </c>
      <c r="B3221" s="144" t="n">
        <v>115999231</v>
      </c>
      <c r="C3221" s="144" t="inlineStr">
        <is>
          <t>PONY EXPRESS</t>
        </is>
      </c>
      <c r="D3221" s="144" t="n">
        <v>9019963776</v>
      </c>
      <c r="E3221" s="144" t="inlineStr">
        <is>
          <t>FLAT</t>
        </is>
      </c>
      <c r="F3221" s="144" t="inlineStr">
        <is>
          <t>P1272130 IL</t>
        </is>
      </c>
      <c r="G3221" s="144" t="inlineStr">
        <is>
          <t>GRAY KENWORTH</t>
        </is>
      </c>
      <c r="H3221" s="144" t="n">
        <v>1221</v>
      </c>
      <c r="I3221" s="144" t="inlineStr">
        <is>
          <t>COMMERICAL</t>
        </is>
      </c>
    </row>
    <row r="3222" ht="18" customHeight="1" s="7">
      <c r="A3222" s="144" t="inlineStr">
        <is>
          <t>CARLOS FAISON</t>
        </is>
      </c>
      <c r="B3222" s="144" t="inlineStr">
        <is>
          <t>*049200887 GA</t>
        </is>
      </c>
      <c r="C3222" s="144" t="inlineStr">
        <is>
          <t xml:space="preserve">DALMATION </t>
        </is>
      </c>
      <c r="D3222" s="144" t="n">
        <v>4783044650</v>
      </c>
      <c r="E3222" s="144" t="inlineStr">
        <is>
          <t>BOX</t>
        </is>
      </c>
      <c r="F3222" s="144" t="inlineStr">
        <is>
          <t>A98703 KY</t>
        </is>
      </c>
      <c r="G3222" s="144" t="inlineStr">
        <is>
          <t>WHITE VOLVO</t>
        </is>
      </c>
      <c r="H3222" s="144" t="n">
        <v>1221</v>
      </c>
      <c r="I3222" s="144" t="inlineStr">
        <is>
          <t>COMMERCIAL</t>
        </is>
      </c>
    </row>
    <row r="3223" ht="18" customHeight="1" s="7">
      <c r="A3223" s="144" t="inlineStr">
        <is>
          <t>MOHAMED ABSHIR</t>
        </is>
      </c>
      <c r="B3223" s="144" t="inlineStr">
        <is>
          <t>X034299170507 MS</t>
        </is>
      </c>
      <c r="C3223" s="144" t="inlineStr">
        <is>
          <t>DALSON TRANS</t>
        </is>
      </c>
      <c r="D3223" s="144" t="n">
        <v>65114405860</v>
      </c>
      <c r="E3223" s="144" t="inlineStr">
        <is>
          <t>BOX</t>
        </is>
      </c>
      <c r="F3223" s="144" t="inlineStr">
        <is>
          <t>PAW0025 MI</t>
        </is>
      </c>
      <c r="G3223" s="144" t="inlineStr">
        <is>
          <t>YELLOW FREIGHTLINER</t>
        </is>
      </c>
      <c r="H3223" s="144" t="n">
        <v>1221</v>
      </c>
      <c r="I3223" s="144" t="inlineStr">
        <is>
          <t>COMMERCIAL</t>
        </is>
      </c>
    </row>
    <row r="3224" ht="18" customHeight="1" s="7">
      <c r="A3224" s="144" t="inlineStr">
        <is>
          <t>RAYMOND HOLMES</t>
        </is>
      </c>
      <c r="B3224" s="144" t="inlineStr">
        <is>
          <t>*070154836 FA</t>
        </is>
      </c>
      <c r="C3224" s="144" t="inlineStr">
        <is>
          <t>TRACTOR SUPPLY</t>
        </is>
      </c>
      <c r="D3224" s="144" t="n">
        <v>22995852740</v>
      </c>
      <c r="E3224" s="144" t="inlineStr">
        <is>
          <t>PU</t>
        </is>
      </c>
      <c r="F3224" s="144" t="inlineStr">
        <is>
          <t>SDP8314 GA</t>
        </is>
      </c>
      <c r="G3224" s="144" t="inlineStr">
        <is>
          <t>WHITE RAM</t>
        </is>
      </c>
      <c r="H3224" s="144" t="inlineStr">
        <is>
          <t>HOUSING</t>
        </is>
      </c>
      <c r="I3224" s="144" t="inlineStr">
        <is>
          <t>CONTRACTOR</t>
        </is>
      </c>
    </row>
    <row r="3225" ht="18" customHeight="1" s="7">
      <c r="A3225" s="144" t="inlineStr">
        <is>
          <t>PHIPPS LONNIE</t>
        </is>
      </c>
      <c r="B3225" s="144" t="inlineStr">
        <is>
          <t>RMO50782 OH</t>
        </is>
      </c>
      <c r="C3225" s="144" t="inlineStr">
        <is>
          <t>LANDSTAR</t>
        </is>
      </c>
      <c r="D3225" s="144" t="n">
        <v>5135714373</v>
      </c>
      <c r="E3225" s="144" t="inlineStr">
        <is>
          <t>FLAT</t>
        </is>
      </c>
      <c r="F3225" s="144" t="inlineStr">
        <is>
          <t>PWB9151 OH</t>
        </is>
      </c>
      <c r="G3225" s="144" t="inlineStr">
        <is>
          <t>GRAY PETERBILT</t>
        </is>
      </c>
      <c r="H3225" s="144" t="n">
        <v>1221</v>
      </c>
      <c r="I3225" s="144" t="inlineStr">
        <is>
          <t>COMMERCIAL</t>
        </is>
      </c>
    </row>
    <row r="3226" ht="18" customHeight="1" s="7">
      <c r="A3226" s="144" t="inlineStr">
        <is>
          <t>STEVEN LAPP</t>
        </is>
      </c>
      <c r="B3226" s="144" t="inlineStr">
        <is>
          <t>L100790594070 FL</t>
        </is>
      </c>
      <c r="C3226" s="144" t="inlineStr">
        <is>
          <t>CHAMPION TRUCK</t>
        </is>
      </c>
      <c r="D3226" s="144" t="n">
        <v>9049106059</v>
      </c>
      <c r="E3226" s="144" t="inlineStr">
        <is>
          <t>FLAT</t>
        </is>
      </c>
      <c r="F3226" s="144" t="inlineStr">
        <is>
          <t>XE703M FL</t>
        </is>
      </c>
      <c r="G3226" s="144" t="inlineStr">
        <is>
          <t>ORANGE KENWORTH</t>
        </is>
      </c>
      <c r="H3226" s="144" t="n">
        <v>1221</v>
      </c>
      <c r="I3226" s="144" t="inlineStr">
        <is>
          <t>COMMERCIAL</t>
        </is>
      </c>
    </row>
    <row r="3227" ht="18" customHeight="1" s="7">
      <c r="A3227" s="144" t="inlineStr">
        <is>
          <t>JACKSON JONATHAN</t>
        </is>
      </c>
      <c r="B3227" s="144" t="inlineStr">
        <is>
          <t>102920618 SC</t>
        </is>
      </c>
      <c r="C3227" s="144" t="inlineStr">
        <is>
          <t>BH TRANS</t>
        </is>
      </c>
      <c r="D3227" s="144" t="n">
        <v>8643783219</v>
      </c>
      <c r="E3227" s="144" t="inlineStr">
        <is>
          <t>FLAT</t>
        </is>
      </c>
      <c r="F3227" s="144" t="inlineStr">
        <is>
          <t>P1300854 IL</t>
        </is>
      </c>
      <c r="G3227" s="144" t="inlineStr">
        <is>
          <t>GRAY FREIGHTLINER</t>
        </is>
      </c>
      <c r="H3227" s="144" t="n">
        <v>1221</v>
      </c>
      <c r="I3227" s="144" t="inlineStr">
        <is>
          <t>COMMERCIAL</t>
        </is>
      </c>
    </row>
    <row r="3228" ht="18" customHeight="1" s="7">
      <c r="A3228" s="144" t="inlineStr">
        <is>
          <t xml:space="preserve">MANUEL ZAPATA </t>
        </is>
      </c>
      <c r="B3228" s="144" t="inlineStr">
        <is>
          <t>*071299273 GA</t>
        </is>
      </c>
      <c r="C3228" s="144" t="inlineStr">
        <is>
          <t>GCM-ZAPATA</t>
        </is>
      </c>
      <c r="D3228" s="144" t="n">
        <v>4789571909</v>
      </c>
      <c r="E3228" s="144" t="inlineStr">
        <is>
          <t>PU</t>
        </is>
      </c>
      <c r="F3228" s="144" t="inlineStr">
        <is>
          <t>JCMZAP GA</t>
        </is>
      </c>
      <c r="G3228" s="144" t="inlineStr">
        <is>
          <t>WHITE CHEVY</t>
        </is>
      </c>
      <c r="H3228" s="144" t="inlineStr">
        <is>
          <t>HOUSING</t>
        </is>
      </c>
      <c r="I3228" s="144" t="inlineStr">
        <is>
          <t>CONTRACTOR</t>
        </is>
      </c>
    </row>
    <row r="3229" ht="18" customHeight="1" s="7">
      <c r="A3229" s="144" t="inlineStr">
        <is>
          <t>TYLER SHERROD</t>
        </is>
      </c>
      <c r="B3229" s="144" t="inlineStr">
        <is>
          <t>*057158240 GA</t>
        </is>
      </c>
      <c r="C3229" s="144" t="inlineStr">
        <is>
          <t>BLUE BELL</t>
        </is>
      </c>
      <c r="D3229" s="144" t="n">
        <v>2296304990</v>
      </c>
      <c r="E3229" s="144" t="inlineStr">
        <is>
          <t>BOX</t>
        </is>
      </c>
      <c r="F3229" s="144" t="inlineStr">
        <is>
          <t>K079081 TX</t>
        </is>
      </c>
      <c r="G3229" s="144" t="inlineStr">
        <is>
          <t>BROWN FREIGHTLINER</t>
        </is>
      </c>
      <c r="H3229" s="144" t="n">
        <v>7500</v>
      </c>
      <c r="I3229" s="144" t="inlineStr">
        <is>
          <t>COMMERCIAL</t>
        </is>
      </c>
    </row>
    <row r="3230" ht="18" customHeight="1" s="7">
      <c r="A3230" s="144" t="inlineStr">
        <is>
          <t>BRIANNA MURRAY</t>
        </is>
      </c>
      <c r="B3230" s="144" t="inlineStr">
        <is>
          <t>8611629 AL</t>
        </is>
      </c>
      <c r="C3230" s="144" t="inlineStr">
        <is>
          <t>MIDSOUTH</t>
        </is>
      </c>
      <c r="D3230" s="144" t="n">
        <v>2054273664</v>
      </c>
      <c r="E3230" s="144" t="inlineStr">
        <is>
          <t>BOX</t>
        </is>
      </c>
      <c r="F3230" s="144" t="inlineStr">
        <is>
          <t>3529029 IN</t>
        </is>
      </c>
      <c r="G3230" s="144" t="inlineStr">
        <is>
          <t>WHITE FREIGHTLINER</t>
        </is>
      </c>
      <c r="H3230" s="144" t="n">
        <v>1221</v>
      </c>
      <c r="I3230" s="144" t="inlineStr">
        <is>
          <t>COMMERCIAL</t>
        </is>
      </c>
    </row>
    <row r="3231" ht="18" customHeight="1" s="7">
      <c r="A3231" s="144" t="inlineStr">
        <is>
          <t>BRICE GIOVANNI</t>
        </is>
      </c>
      <c r="B3231" s="144" t="inlineStr">
        <is>
          <t>B620287914540 FL</t>
        </is>
      </c>
      <c r="C3231" s="144" t="inlineStr">
        <is>
          <t>LANDSTAR</t>
        </is>
      </c>
      <c r="D3231" s="144" t="n">
        <v>4079684910</v>
      </c>
      <c r="E3231" s="144" t="inlineStr">
        <is>
          <t>FLAT</t>
        </is>
      </c>
      <c r="F3231" s="144" t="inlineStr">
        <is>
          <t>3351887 IN</t>
        </is>
      </c>
      <c r="G3231" s="144" t="inlineStr">
        <is>
          <t>BLUE FREIGHTLINER</t>
        </is>
      </c>
      <c r="H3231" s="144" t="n">
        <v>1221</v>
      </c>
      <c r="I3231" s="144" t="inlineStr">
        <is>
          <t>COMMERCIAL</t>
        </is>
      </c>
    </row>
    <row r="3232" ht="18" customHeight="1" s="7">
      <c r="A3232" s="144" t="inlineStr">
        <is>
          <t>ALBERT BOONE JR</t>
        </is>
      </c>
      <c r="B3232" s="144" t="inlineStr">
        <is>
          <t>8612856 AL</t>
        </is>
      </c>
      <c r="C3232" s="144" t="inlineStr">
        <is>
          <t>HUSTLE 101</t>
        </is>
      </c>
      <c r="D3232" s="144" t="n">
        <v>3346598050</v>
      </c>
      <c r="E3232" s="144" t="inlineStr">
        <is>
          <t>FLAT</t>
        </is>
      </c>
      <c r="F3232" s="144" t="inlineStr">
        <is>
          <t>3A04AEW AL</t>
        </is>
      </c>
      <c r="G3232" s="144" t="inlineStr">
        <is>
          <t>GREEN VOLVO</t>
        </is>
      </c>
      <c r="H3232" s="144" t="n">
        <v>1221</v>
      </c>
      <c r="I3232" s="144" t="inlineStr">
        <is>
          <t>COMMERCIAL</t>
        </is>
      </c>
    </row>
    <row r="3233" ht="18" customHeight="1" s="7">
      <c r="A3233" s="144" t="inlineStr">
        <is>
          <t>SALISIA PASCOE</t>
        </is>
      </c>
      <c r="B3233" s="144" t="inlineStr">
        <is>
          <t>*059559809 GA</t>
        </is>
      </c>
      <c r="C3233" s="144" t="inlineStr">
        <is>
          <t>XPO</t>
        </is>
      </c>
      <c r="D3233" s="144" t="n">
        <v>9547280832</v>
      </c>
      <c r="E3233" s="144" t="inlineStr">
        <is>
          <t>BOX</t>
        </is>
      </c>
      <c r="F3233" s="144" t="inlineStr">
        <is>
          <t>3864526 IN</t>
        </is>
      </c>
      <c r="G3233" s="144" t="inlineStr">
        <is>
          <t>WHITE FREIGHTLINER</t>
        </is>
      </c>
      <c r="H3233" s="144" t="n">
        <v>1330</v>
      </c>
      <c r="I3233" s="144" t="inlineStr">
        <is>
          <t>COMMERCIAL</t>
        </is>
      </c>
    </row>
    <row r="3234" ht="18" customHeight="1" s="7">
      <c r="A3234" s="144" t="inlineStr">
        <is>
          <t>TONER JONATHAN</t>
        </is>
      </c>
      <c r="B3234" s="144" t="inlineStr">
        <is>
          <t>34623337 TX</t>
        </is>
      </c>
      <c r="C3234" s="144" t="inlineStr">
        <is>
          <t>MCLANE</t>
        </is>
      </c>
      <c r="D3234" s="144" t="n">
        <v>3606031185</v>
      </c>
      <c r="E3234" s="144" t="inlineStr">
        <is>
          <t>BOX</t>
        </is>
      </c>
      <c r="F3234" s="144" t="inlineStr">
        <is>
          <t>P1276782 IL</t>
        </is>
      </c>
      <c r="G3234" s="144" t="inlineStr">
        <is>
          <t>WHITE VOLVO</t>
        </is>
      </c>
      <c r="H3234" s="144" t="n">
        <v>7501</v>
      </c>
      <c r="I3234" s="144" t="inlineStr">
        <is>
          <t>COMMERCIAL</t>
        </is>
      </c>
    </row>
    <row r="3235" ht="18" customHeight="1" s="7">
      <c r="A3235" s="144" t="inlineStr">
        <is>
          <t>WALLACE BRIAN</t>
        </is>
      </c>
      <c r="B3235" s="144" t="inlineStr">
        <is>
          <t>W420071564090 FL</t>
        </is>
      </c>
      <c r="C3235" s="144" t="inlineStr">
        <is>
          <t>NHH</t>
        </is>
      </c>
      <c r="D3235" s="144" t="n">
        <v>8134773882</v>
      </c>
      <c r="E3235" s="144" t="inlineStr">
        <is>
          <t>FLAT</t>
        </is>
      </c>
      <c r="F3235" s="144" t="inlineStr">
        <is>
          <t>DF04BN FL</t>
        </is>
      </c>
      <c r="G3235" s="144" t="inlineStr">
        <is>
          <t>BLACK FREIGHTLINER</t>
        </is>
      </c>
      <c r="H3235" s="144" t="n">
        <v>1221</v>
      </c>
      <c r="I3235" s="144" t="inlineStr">
        <is>
          <t>COMMERCIAL</t>
        </is>
      </c>
    </row>
    <row r="3236" ht="18" customHeight="1" s="7">
      <c r="A3236" s="144" t="inlineStr">
        <is>
          <t>JOEL PAXTON</t>
        </is>
      </c>
      <c r="B3236" s="144" t="inlineStr">
        <is>
          <t>*070357298 GA</t>
        </is>
      </c>
      <c r="C3236" s="144" t="inlineStr">
        <is>
          <t>SALA</t>
        </is>
      </c>
      <c r="D3236" s="144" t="n">
        <v>2174915830</v>
      </c>
      <c r="E3236" s="144" t="inlineStr">
        <is>
          <t>BOX</t>
        </is>
      </c>
      <c r="F3236" s="144" t="inlineStr">
        <is>
          <t>P267278 IL</t>
        </is>
      </c>
      <c r="G3236" s="144" t="inlineStr">
        <is>
          <t>RED FREIGHTLINER</t>
        </is>
      </c>
      <c r="H3236" s="144" t="n">
        <v>1330</v>
      </c>
      <c r="I3236" s="144" t="inlineStr">
        <is>
          <t>COMMERCIAL</t>
        </is>
      </c>
    </row>
    <row r="3237" ht="18" customHeight="1" s="7">
      <c r="A3237" s="144" t="inlineStr">
        <is>
          <t>CANDYSHA S CUTCHIN</t>
        </is>
      </c>
      <c r="B3237" s="144" t="inlineStr">
        <is>
          <t>*055478898 GA</t>
        </is>
      </c>
      <c r="C3237" s="144" t="inlineStr">
        <is>
          <t>FEDEX</t>
        </is>
      </c>
      <c r="D3237" s="144" t="n">
        <v>4045096698</v>
      </c>
      <c r="E3237" s="144" t="inlineStr">
        <is>
          <t>BOX</t>
        </is>
      </c>
      <c r="F3237" s="144" t="inlineStr">
        <is>
          <t>PWW3670 OH</t>
        </is>
      </c>
      <c r="G3237" s="144" t="inlineStr">
        <is>
          <t>WHITE FREIGHTLINER</t>
        </is>
      </c>
      <c r="H3237" s="144" t="n">
        <v>1221</v>
      </c>
      <c r="I3237" s="144" t="inlineStr">
        <is>
          <t>COMMERCIAL</t>
        </is>
      </c>
    </row>
    <row r="3238" ht="18" customHeight="1" s="7">
      <c r="A3238" s="144" t="inlineStr">
        <is>
          <t>CEDRIC ROBERTS A</t>
        </is>
      </c>
      <c r="B3238" s="144" t="inlineStr">
        <is>
          <t>144276302 TN</t>
        </is>
      </c>
      <c r="C3238" s="144" t="inlineStr">
        <is>
          <t>FEDEX</t>
        </is>
      </c>
      <c r="D3238" s="144" t="n">
        <v>4702469205</v>
      </c>
      <c r="E3238" s="144" t="inlineStr">
        <is>
          <t>BOX</t>
        </is>
      </c>
      <c r="F3238" s="144" t="inlineStr">
        <is>
          <t>PWN2397 OH</t>
        </is>
      </c>
      <c r="G3238" s="144" t="inlineStr">
        <is>
          <t>WHITE FREIGHTLINER</t>
        </is>
      </c>
      <c r="H3238" s="144" t="n">
        <v>1221</v>
      </c>
      <c r="I3238" s="144" t="inlineStr">
        <is>
          <t>COMMERCIAL</t>
        </is>
      </c>
    </row>
    <row r="3239" ht="18" customHeight="1" s="7">
      <c r="A3239" s="144" t="inlineStr">
        <is>
          <t>DAMARIO MORRISON</t>
        </is>
      </c>
      <c r="B3239" s="144" t="inlineStr">
        <is>
          <t>M625176920470 FL</t>
        </is>
      </c>
      <c r="C3239" s="144" t="inlineStr">
        <is>
          <t>MITCHEMS TRUCKING</t>
        </is>
      </c>
      <c r="D3239" s="144" t="n">
        <v>8507438508</v>
      </c>
      <c r="E3239" s="144" t="inlineStr">
        <is>
          <t>FLAT</t>
        </is>
      </c>
      <c r="F3239" s="144" t="inlineStr">
        <is>
          <t>XE804W FL</t>
        </is>
      </c>
      <c r="G3239" s="144" t="inlineStr">
        <is>
          <t>RED FREIGHTLINER</t>
        </is>
      </c>
      <c r="H3239" s="144" t="n">
        <v>1221</v>
      </c>
      <c r="I3239" s="144" t="inlineStr">
        <is>
          <t>COMMERCIAL</t>
        </is>
      </c>
    </row>
    <row r="3240" ht="18" customHeight="1" s="7">
      <c r="A3240" s="144" t="inlineStr">
        <is>
          <t>HERRERA RAMOS</t>
        </is>
      </c>
      <c r="B3240" s="144" t="inlineStr">
        <is>
          <t>106532851 SC</t>
        </is>
      </c>
      <c r="C3240" s="144" t="inlineStr">
        <is>
          <t>LANDSTAR</t>
        </is>
      </c>
      <c r="D3240" s="144" t="n">
        <v>7742428783</v>
      </c>
      <c r="E3240" s="144" t="inlineStr">
        <is>
          <t>FLAT</t>
        </is>
      </c>
      <c r="F3240" s="144" t="inlineStr">
        <is>
          <t>3732166 IN</t>
        </is>
      </c>
      <c r="G3240" s="144" t="inlineStr">
        <is>
          <t>RED PETERBILT</t>
        </is>
      </c>
      <c r="H3240" s="144" t="n">
        <v>1221</v>
      </c>
      <c r="I3240" s="144" t="inlineStr">
        <is>
          <t>COMMERCIAL</t>
        </is>
      </c>
    </row>
    <row r="3241" ht="18" customHeight="1" s="7">
      <c r="A3241" s="144" t="inlineStr">
        <is>
          <t>BEZUSOV YEVHENII</t>
        </is>
      </c>
      <c r="B3241" s="144" t="inlineStr">
        <is>
          <t>B221960923340</t>
        </is>
      </c>
      <c r="C3241" s="144" t="inlineStr">
        <is>
          <t>A&amp;M CARRIERS</t>
        </is>
      </c>
      <c r="D3241" s="144" t="n">
        <v>2485331834</v>
      </c>
      <c r="E3241" s="144" t="inlineStr">
        <is>
          <t>FLAT</t>
        </is>
      </c>
      <c r="F3241" s="144" t="inlineStr">
        <is>
          <t>P1237842 IL</t>
        </is>
      </c>
      <c r="G3241" s="144" t="inlineStr">
        <is>
          <t>RED VOLVO</t>
        </is>
      </c>
      <c r="H3241" s="144" t="n">
        <v>1221</v>
      </c>
      <c r="I3241" s="144" t="inlineStr">
        <is>
          <t>COMMERCIAL</t>
        </is>
      </c>
    </row>
    <row r="3242" ht="18" customHeight="1" s="7">
      <c r="A3242" s="144" t="inlineStr">
        <is>
          <t>ALEKSEVYCH OREST</t>
        </is>
      </c>
      <c r="B3242" s="144" t="inlineStr">
        <is>
          <t>A4214199290 IL</t>
        </is>
      </c>
      <c r="C3242" s="144" t="inlineStr">
        <is>
          <t>XPATH</t>
        </is>
      </c>
      <c r="D3242" s="144" t="n">
        <v>3122927121</v>
      </c>
      <c r="E3242" s="144" t="inlineStr">
        <is>
          <t>FLAT</t>
        </is>
      </c>
      <c r="F3242" s="144" t="inlineStr">
        <is>
          <t>P1291406 IL</t>
        </is>
      </c>
      <c r="G3242" s="144" t="inlineStr">
        <is>
          <t>RED VOLVO</t>
        </is>
      </c>
      <c r="H3242" s="144" t="n">
        <v>1221</v>
      </c>
      <c r="I3242" s="144" t="inlineStr">
        <is>
          <t>COMMERCIAL</t>
        </is>
      </c>
    </row>
    <row r="3243" ht="18" customHeight="1" s="7">
      <c r="A3243" s="144" t="inlineStr">
        <is>
          <t>YUSUPZHON K NUFAROV</t>
        </is>
      </c>
      <c r="B3243" s="144" t="inlineStr">
        <is>
          <t>*053461949 GA</t>
        </is>
      </c>
      <c r="C3243" s="144" t="inlineStr">
        <is>
          <t>FAST TRANSP.</t>
        </is>
      </c>
      <c r="D3243" s="144" t="n">
        <v>4048231523</v>
      </c>
      <c r="E3243" s="144" t="inlineStr">
        <is>
          <t>FLAT</t>
        </is>
      </c>
      <c r="F3243" s="144" t="inlineStr">
        <is>
          <t>C627FA GA</t>
        </is>
      </c>
      <c r="G3243" s="144" t="inlineStr">
        <is>
          <t>WHITE FREIGHTLINER</t>
        </is>
      </c>
      <c r="H3243" s="144" t="n">
        <v>1221</v>
      </c>
      <c r="I3243" s="144" t="inlineStr">
        <is>
          <t>COMMERCIAL</t>
        </is>
      </c>
    </row>
    <row r="3244" ht="18" customHeight="1" s="7">
      <c r="A3244" s="144" t="inlineStr">
        <is>
          <t xml:space="preserve">ADESINA CLEMENT </t>
        </is>
      </c>
      <c r="B3244" s="144" t="inlineStr">
        <is>
          <t>A232510153132 IL</t>
        </is>
      </c>
      <c r="C3244" s="144" t="inlineStr">
        <is>
          <t>FIRST DEW</t>
        </is>
      </c>
      <c r="D3244" s="144" t="n">
        <v>7082621958</v>
      </c>
      <c r="E3244" s="144" t="inlineStr">
        <is>
          <t>BOX</t>
        </is>
      </c>
      <c r="F3244" s="144" t="inlineStr">
        <is>
          <t>P1243677 IL</t>
        </is>
      </c>
      <c r="G3244" s="144" t="inlineStr">
        <is>
          <t>PURPLE FREIGHTLINER</t>
        </is>
      </c>
      <c r="H3244" s="144" t="n">
        <v>1221</v>
      </c>
      <c r="I3244" s="144" t="inlineStr">
        <is>
          <t>COMMERCIAL</t>
        </is>
      </c>
    </row>
    <row r="3245" ht="18" customHeight="1" s="7">
      <c r="A3245" s="144" t="inlineStr">
        <is>
          <t>GREGORY COX</t>
        </is>
      </c>
      <c r="B3245" s="144" t="inlineStr">
        <is>
          <t>*025587415 GA</t>
        </is>
      </c>
      <c r="C3245" s="144" t="inlineStr">
        <is>
          <t>GEORGIA POWER</t>
        </is>
      </c>
      <c r="D3245" s="144" t="n">
        <v>2298691725</v>
      </c>
      <c r="E3245" s="144" t="inlineStr">
        <is>
          <t>PU</t>
        </is>
      </c>
      <c r="F3245" s="144" t="inlineStr">
        <is>
          <t xml:space="preserve">RLY2688 GA </t>
        </is>
      </c>
      <c r="G3245" s="144" t="inlineStr">
        <is>
          <t>WHITE FORD</t>
        </is>
      </c>
      <c r="H3245" s="144" t="inlineStr">
        <is>
          <t>SUBSTATION</t>
        </is>
      </c>
      <c r="I3245" s="144" t="inlineStr">
        <is>
          <t>CONTRACTOR</t>
        </is>
      </c>
    </row>
    <row r="3246" ht="18" customHeight="1" s="7">
      <c r="A3246" s="144" t="inlineStr">
        <is>
          <t>JOHNSON HAKEEM</t>
        </is>
      </c>
      <c r="B3246" s="144" t="inlineStr">
        <is>
          <t>J525333963760 FL</t>
        </is>
      </c>
      <c r="C3246" s="144" t="inlineStr">
        <is>
          <t>ALLIED</t>
        </is>
      </c>
      <c r="D3246" s="144" t="n">
        <v>8504906776</v>
      </c>
      <c r="E3246" s="144" t="inlineStr">
        <is>
          <t>BOX</t>
        </is>
      </c>
      <c r="F3246" s="144" t="inlineStr">
        <is>
          <t>1211176 AL</t>
        </is>
      </c>
      <c r="G3246" s="144" t="inlineStr">
        <is>
          <t>WHITE FREIGHTLINER</t>
        </is>
      </c>
      <c r="H3246" s="144" t="inlineStr">
        <is>
          <t>HOUSING</t>
        </is>
      </c>
      <c r="I3246" s="144" t="inlineStr">
        <is>
          <t>COMMERCIAL</t>
        </is>
      </c>
    </row>
    <row r="3247" ht="18" customHeight="1" s="7">
      <c r="A3247" s="144" t="inlineStr">
        <is>
          <t>LARRY SCOTT</t>
        </is>
      </c>
      <c r="B3247" s="144" t="inlineStr">
        <is>
          <t>S30053082025 IL</t>
        </is>
      </c>
      <c r="C3247" s="144" t="inlineStr">
        <is>
          <t>AAT CARRIERS</t>
        </is>
      </c>
      <c r="D3247" s="144" t="n">
        <v>6185938126</v>
      </c>
      <c r="E3247" s="144" t="inlineStr">
        <is>
          <t>BOX</t>
        </is>
      </c>
      <c r="F3247" s="144" t="inlineStr">
        <is>
          <t>3119309 IN</t>
        </is>
      </c>
      <c r="G3247" s="144" t="inlineStr">
        <is>
          <t>WHITE VOLVO</t>
        </is>
      </c>
      <c r="H3247" s="144" t="n">
        <v>1221</v>
      </c>
      <c r="I3247" s="144" t="inlineStr">
        <is>
          <t>COMMERCIAL</t>
        </is>
      </c>
    </row>
    <row r="3248" ht="18" customHeight="1" s="7">
      <c r="A3248" s="144" t="inlineStr">
        <is>
          <t>OMAR AHMED</t>
        </is>
      </c>
      <c r="B3248" s="144" t="inlineStr">
        <is>
          <t>S259137654016 MI</t>
        </is>
      </c>
      <c r="C3248" s="144" t="inlineStr">
        <is>
          <t>RIVER SIDE</t>
        </is>
      </c>
      <c r="D3248" s="144" t="n">
        <v>6124834585</v>
      </c>
      <c r="E3248" s="144" t="inlineStr">
        <is>
          <t>BOX</t>
        </is>
      </c>
      <c r="F3248" s="144" t="inlineStr">
        <is>
          <t>PZA9757 MI</t>
        </is>
      </c>
      <c r="G3248" s="144" t="inlineStr">
        <is>
          <t>RED FREIGHTLINER</t>
        </is>
      </c>
      <c r="H3248" s="144" t="n">
        <v>1221</v>
      </c>
      <c r="I3248" s="144" t="inlineStr">
        <is>
          <t>COMMERCIAL</t>
        </is>
      </c>
    </row>
    <row r="3249" ht="18" customHeight="1" s="7">
      <c r="A3249" s="144" t="inlineStr">
        <is>
          <t>RAY WILLIAM  B</t>
        </is>
      </c>
      <c r="B3249" s="144" t="inlineStr">
        <is>
          <t>3910535 TX</t>
        </is>
      </c>
      <c r="C3249" s="144" t="inlineStr">
        <is>
          <t>RAYSTONE</t>
        </is>
      </c>
      <c r="D3249" s="144" t="n">
        <v>8175577665</v>
      </c>
      <c r="E3249" s="144" t="inlineStr">
        <is>
          <t>BOX</t>
        </is>
      </c>
      <c r="F3249" s="144" t="inlineStr">
        <is>
          <t>PXB3657 OH</t>
        </is>
      </c>
      <c r="G3249" s="144" t="inlineStr">
        <is>
          <t>GREY PETERBILT</t>
        </is>
      </c>
      <c r="H3249" s="144" t="n">
        <v>1221</v>
      </c>
      <c r="I3249" s="144" t="inlineStr">
        <is>
          <t>COMMERCIAL</t>
        </is>
      </c>
    </row>
    <row r="3250" ht="18" customHeight="1" s="7">
      <c r="A3250" s="144" t="inlineStr">
        <is>
          <t>TANASE MARIAN</t>
        </is>
      </c>
      <c r="B3250" s="144" t="inlineStr">
        <is>
          <t>T52054076137 IL</t>
        </is>
      </c>
      <c r="C3250" s="144" t="inlineStr">
        <is>
          <t>ELMA</t>
        </is>
      </c>
      <c r="D3250" s="144" t="n">
        <v>8032957329</v>
      </c>
      <c r="E3250" s="144" t="inlineStr">
        <is>
          <t>BOX</t>
        </is>
      </c>
      <c r="F3250" s="144" t="inlineStr">
        <is>
          <t>P1019161 IL</t>
        </is>
      </c>
      <c r="G3250" s="144" t="inlineStr">
        <is>
          <t>RED PETERBILT</t>
        </is>
      </c>
      <c r="H3250" s="144" t="n">
        <v>1221</v>
      </c>
      <c r="I3250" s="144" t="inlineStr">
        <is>
          <t>COMMERCIAL</t>
        </is>
      </c>
    </row>
    <row r="3251" ht="18" customHeight="1" s="7">
      <c r="A3251" s="144" t="inlineStr">
        <is>
          <t>GARY LEE GRIGG</t>
        </is>
      </c>
      <c r="B3251" s="144" t="inlineStr">
        <is>
          <t>*032601563 GA</t>
        </is>
      </c>
      <c r="C3251" s="144" t="inlineStr">
        <is>
          <t>RHC</t>
        </is>
      </c>
      <c r="D3251" s="144" t="n">
        <v>2298889896</v>
      </c>
      <c r="E3251" s="144" t="inlineStr">
        <is>
          <t>BOX</t>
        </is>
      </c>
      <c r="F3251" s="144" t="inlineStr">
        <is>
          <t>RGQ7475 GA</t>
        </is>
      </c>
      <c r="G3251" s="144" t="inlineStr">
        <is>
          <t>GREY FORD</t>
        </is>
      </c>
      <c r="H3251" s="144" t="inlineStr">
        <is>
          <t>HOUSING</t>
        </is>
      </c>
      <c r="I3251" s="144" t="inlineStr">
        <is>
          <t>CONTRACTOR</t>
        </is>
      </c>
    </row>
    <row r="3252" ht="18" customHeight="1" s="7">
      <c r="A3252" s="144" t="inlineStr">
        <is>
          <t>RONALD E GLOVER</t>
        </is>
      </c>
      <c r="B3252" s="144" t="inlineStr">
        <is>
          <t>*069974001 GA</t>
        </is>
      </c>
      <c r="C3252" s="144" t="inlineStr">
        <is>
          <t>FEDEX</t>
        </is>
      </c>
      <c r="D3252" s="144" t="n">
        <v>6782700427</v>
      </c>
      <c r="E3252" s="144" t="inlineStr">
        <is>
          <t>BOX</t>
        </is>
      </c>
      <c r="F3252" s="144" t="inlineStr">
        <is>
          <t>PWR2604 OH</t>
        </is>
      </c>
      <c r="G3252" s="144" t="inlineStr">
        <is>
          <t>WHTIE FREIGHTLINER</t>
        </is>
      </c>
      <c r="H3252" s="144" t="n">
        <v>1221</v>
      </c>
      <c r="I3252" s="144" t="inlineStr">
        <is>
          <t>COMMERCIAL</t>
        </is>
      </c>
    </row>
    <row r="3253" ht="18" customHeight="1" s="7">
      <c r="A3253" s="144" t="inlineStr">
        <is>
          <t xml:space="preserve">MICHAEL BEALS </t>
        </is>
      </c>
      <c r="B3253" s="144" t="inlineStr">
        <is>
          <t>*036521657 GA</t>
        </is>
      </c>
      <c r="C3253" s="144" t="inlineStr">
        <is>
          <t>MEDALLION</t>
        </is>
      </c>
      <c r="D3253" s="144" t="n">
        <v>6787252991</v>
      </c>
      <c r="E3253" s="144" t="inlineStr">
        <is>
          <t>BOX</t>
        </is>
      </c>
      <c r="F3253" s="144" t="inlineStr">
        <is>
          <t>C075CK GA</t>
        </is>
      </c>
      <c r="G3253" s="144" t="inlineStr">
        <is>
          <t>WHITE FRIEGHTLINER</t>
        </is>
      </c>
      <c r="H3253" s="144" t="n">
        <v>1221</v>
      </c>
      <c r="I3253" s="144" t="inlineStr">
        <is>
          <t>COMMERCIAL</t>
        </is>
      </c>
    </row>
    <row r="3254" ht="18" customHeight="1" s="7">
      <c r="A3254" s="144" t="inlineStr">
        <is>
          <t>ROBERT DE PENA</t>
        </is>
      </c>
      <c r="B3254" s="144" t="inlineStr">
        <is>
          <t>D228238950000 FL</t>
        </is>
      </c>
      <c r="C3254" s="144" t="inlineStr">
        <is>
          <t>JAZMINE</t>
        </is>
      </c>
      <c r="D3254" s="144" t="n">
        <v>5614601400</v>
      </c>
      <c r="E3254" s="144" t="inlineStr">
        <is>
          <t>FLAT</t>
        </is>
      </c>
      <c r="F3254" s="144" t="inlineStr">
        <is>
          <t>XE375Y FL</t>
        </is>
      </c>
      <c r="G3254" s="144" t="inlineStr">
        <is>
          <t>WHITE PETERBILT</t>
        </is>
      </c>
      <c r="H3254" s="144" t="n">
        <v>1221</v>
      </c>
      <c r="I3254" s="144" t="inlineStr">
        <is>
          <t>COMMERCIAL</t>
        </is>
      </c>
    </row>
    <row r="3255" ht="18" customHeight="1" s="7">
      <c r="A3255" s="144" t="inlineStr">
        <is>
          <t>TAHA GULER</t>
        </is>
      </c>
      <c r="B3255" s="144" t="inlineStr">
        <is>
          <t>866544101 NY</t>
        </is>
      </c>
      <c r="C3255" s="144" t="inlineStr">
        <is>
          <t>AMANA</t>
        </is>
      </c>
      <c r="D3255" s="144" t="n">
        <v>6318717108</v>
      </c>
      <c r="E3255" s="144" t="inlineStr">
        <is>
          <t>BOX</t>
        </is>
      </c>
      <c r="F3255" s="144" t="inlineStr">
        <is>
          <t>P1291642 IL</t>
        </is>
      </c>
      <c r="G3255" s="144" t="inlineStr">
        <is>
          <t>WHITE VOLVO</t>
        </is>
      </c>
      <c r="H3255" s="144" t="n">
        <v>1221</v>
      </c>
      <c r="I3255" s="144" t="inlineStr">
        <is>
          <t>COMMERCIAL</t>
        </is>
      </c>
    </row>
    <row r="3256" ht="18" customHeight="1" s="7">
      <c r="A3256" s="144" t="inlineStr">
        <is>
          <t>MICHAEL WILSON</t>
        </is>
      </c>
      <c r="B3256" s="144" t="inlineStr">
        <is>
          <t>*058041867 GA</t>
        </is>
      </c>
      <c r="C3256" s="144" t="inlineStr">
        <is>
          <t>SOUTHEASTPIPE</t>
        </is>
      </c>
      <c r="D3256" s="144" t="n">
        <v>9123871517</v>
      </c>
      <c r="E3256" s="144" t="inlineStr">
        <is>
          <t>PU</t>
        </is>
      </c>
      <c r="F3256" s="144" t="inlineStr">
        <is>
          <t>TGK7911 GA</t>
        </is>
      </c>
      <c r="G3256" s="144" t="inlineStr">
        <is>
          <t>WHITE FORD</t>
        </is>
      </c>
      <c r="H3256" s="144" t="inlineStr">
        <is>
          <t>BASEWIDE</t>
        </is>
      </c>
      <c r="I3256" s="144" t="inlineStr">
        <is>
          <t>CONTRACTOR</t>
        </is>
      </c>
    </row>
    <row r="3257" ht="18" customHeight="1" s="7">
      <c r="A3257" s="144" t="inlineStr">
        <is>
          <t>KEITH SHIRLEY</t>
        </is>
      </c>
      <c r="B3257" s="144" t="inlineStr">
        <is>
          <t>*057435663 GA</t>
        </is>
      </c>
      <c r="C3257" s="144" t="inlineStr">
        <is>
          <t>AMERICAN TRACK</t>
        </is>
      </c>
      <c r="D3257" s="144" t="n">
        <v>4049968043</v>
      </c>
      <c r="E3257" s="144" t="inlineStr">
        <is>
          <t>PU</t>
        </is>
      </c>
      <c r="F3257" s="144" t="inlineStr">
        <is>
          <t>ZZB7557 PA</t>
        </is>
      </c>
      <c r="G3257" s="144" t="inlineStr">
        <is>
          <t>WHITE CHEVY</t>
        </is>
      </c>
      <c r="H3257" s="144" t="inlineStr">
        <is>
          <t>BASEWIDE</t>
        </is>
      </c>
      <c r="I3257" s="144" t="inlineStr">
        <is>
          <t>CONTRACTOR</t>
        </is>
      </c>
    </row>
    <row r="3258" ht="18" customHeight="1" s="7">
      <c r="A3258" s="144" t="inlineStr">
        <is>
          <t>ISAAC BRAVE</t>
        </is>
      </c>
      <c r="B3258" s="144" t="inlineStr">
        <is>
          <t>10873327 AL</t>
        </is>
      </c>
      <c r="C3258" s="144" t="inlineStr">
        <is>
          <t>MZ CARGO</t>
        </is>
      </c>
      <c r="D3258" s="144" t="n">
        <v>7866578535</v>
      </c>
      <c r="E3258" s="144" t="inlineStr">
        <is>
          <t>BOX</t>
        </is>
      </c>
      <c r="F3258" s="144" t="inlineStr">
        <is>
          <t>1225076 AL</t>
        </is>
      </c>
      <c r="G3258" s="144" t="inlineStr">
        <is>
          <t>WHITE FRIEGHTLINER</t>
        </is>
      </c>
      <c r="H3258" s="144" t="n">
        <v>1221</v>
      </c>
      <c r="I3258" s="144" t="inlineStr">
        <is>
          <t>COMMERCIAL</t>
        </is>
      </c>
    </row>
    <row r="3259" ht="18" customHeight="1" s="7">
      <c r="A3259" s="144" t="inlineStr">
        <is>
          <t>ALFONZO SPENCER JR</t>
        </is>
      </c>
      <c r="B3259" s="144" t="inlineStr">
        <is>
          <t>*059011880 GA</t>
        </is>
      </c>
      <c r="C3259" s="144" t="inlineStr">
        <is>
          <t>CENTRAL TRANSPORT</t>
        </is>
      </c>
      <c r="D3259" s="144" t="n">
        <v>2292218454</v>
      </c>
      <c r="E3259" s="144" t="inlineStr">
        <is>
          <t>BOX</t>
        </is>
      </c>
      <c r="F3259" s="144" t="inlineStr">
        <is>
          <t>3726500 IN</t>
        </is>
      </c>
      <c r="G3259" s="144" t="inlineStr">
        <is>
          <t>YELLOW PETERBILT</t>
        </is>
      </c>
      <c r="H3259" s="144" t="n">
        <v>1221</v>
      </c>
      <c r="I3259" s="144" t="inlineStr">
        <is>
          <t>COMMERCIAL</t>
        </is>
      </c>
    </row>
    <row r="3260" ht="18" customHeight="1" s="7">
      <c r="A3260" s="144" t="inlineStr">
        <is>
          <t>EADDY JOSEPH</t>
        </is>
      </c>
      <c r="B3260" s="144" t="inlineStr">
        <is>
          <t>*008471067 SC</t>
        </is>
      </c>
      <c r="C3260" s="144" t="inlineStr">
        <is>
          <t>EDDY TRUCKING</t>
        </is>
      </c>
      <c r="D3260" s="144" t="n">
        <v>8436873786</v>
      </c>
      <c r="E3260" s="144" t="inlineStr">
        <is>
          <t>FLAT</t>
        </is>
      </c>
      <c r="F3260" s="144" t="inlineStr">
        <is>
          <t>P781736 SC</t>
        </is>
      </c>
      <c r="G3260" s="144" t="inlineStr">
        <is>
          <t>BLACK FRIEGHTLINER</t>
        </is>
      </c>
      <c r="H3260" s="144" t="n">
        <v>1221</v>
      </c>
      <c r="I3260" s="144" t="inlineStr">
        <is>
          <t>COMMERCIAL</t>
        </is>
      </c>
    </row>
    <row r="3261" ht="18" customHeight="1" s="7">
      <c r="A3261" s="144" t="inlineStr">
        <is>
          <t xml:space="preserve">LAYFIELD JASON </t>
        </is>
      </c>
      <c r="B3261" s="144" t="inlineStr">
        <is>
          <t>*055294797 GA</t>
        </is>
      </c>
      <c r="C3261" s="144" t="inlineStr">
        <is>
          <t>COCO COLA</t>
        </is>
      </c>
      <c r="D3261" s="144" t="n">
        <v>2294026228</v>
      </c>
      <c r="E3261" s="144" t="inlineStr">
        <is>
          <t>BOX</t>
        </is>
      </c>
      <c r="F3261" s="144" t="inlineStr">
        <is>
          <t>WNT461 GA</t>
        </is>
      </c>
      <c r="G3261" s="144" t="inlineStr">
        <is>
          <t>RED FORD</t>
        </is>
      </c>
      <c r="H3261" s="144" t="n">
        <v>7500</v>
      </c>
      <c r="I3261" s="144" t="inlineStr">
        <is>
          <t>COMMERCIAL</t>
        </is>
      </c>
    </row>
    <row r="3262" ht="18" customHeight="1" s="7">
      <c r="A3262" s="144" t="inlineStr">
        <is>
          <t>STEPHEN HATCHER</t>
        </is>
      </c>
      <c r="B3262" s="144" t="inlineStr">
        <is>
          <t>*051187840 GA</t>
        </is>
      </c>
      <c r="C3262" s="144" t="inlineStr">
        <is>
          <t>HAWKINGS</t>
        </is>
      </c>
      <c r="D3262" s="144" t="n">
        <v>2292897862</v>
      </c>
      <c r="E3262" s="144" t="inlineStr">
        <is>
          <t>BOX</t>
        </is>
      </c>
      <c r="F3262" s="144" t="inlineStr">
        <is>
          <t>8258PRA MI</t>
        </is>
      </c>
      <c r="G3262" s="144" t="inlineStr">
        <is>
          <t>WHITE FREIGHTLINER</t>
        </is>
      </c>
      <c r="H3262" s="144" t="n">
        <v>1260</v>
      </c>
      <c r="I3262" s="144" t="inlineStr">
        <is>
          <t>COMMERCIAL</t>
        </is>
      </c>
    </row>
    <row r="3263" ht="18" customHeight="1" s="7">
      <c r="A3263" s="144" t="inlineStr">
        <is>
          <t>SENINARIO JUAN</t>
        </is>
      </c>
      <c r="B3263" s="144" t="inlineStr">
        <is>
          <t>S24644156806702 NJ</t>
        </is>
      </c>
      <c r="C3263" s="144" t="inlineStr">
        <is>
          <t>NICOLAS TRUCKING</t>
        </is>
      </c>
      <c r="D3263" s="144" t="n">
        <v>7326373489</v>
      </c>
      <c r="E3263" s="144" t="inlineStr">
        <is>
          <t>FLAT</t>
        </is>
      </c>
      <c r="F3263" s="144" t="inlineStr">
        <is>
          <t>AZ8465 NJ</t>
        </is>
      </c>
      <c r="G3263" s="144" t="inlineStr">
        <is>
          <t>RED VOLVO</t>
        </is>
      </c>
      <c r="H3263" s="144" t="n">
        <v>1221</v>
      </c>
      <c r="I3263" s="144" t="inlineStr">
        <is>
          <t>COMMERCIAL</t>
        </is>
      </c>
    </row>
    <row r="3264" ht="18" customHeight="1" s="7">
      <c r="A3264" s="144" t="inlineStr">
        <is>
          <t>ALEJANDRO TORRES</t>
        </is>
      </c>
      <c r="B3264" s="144" t="inlineStr">
        <is>
          <t>*054216018 GA</t>
        </is>
      </c>
      <c r="C3264" s="144" t="inlineStr">
        <is>
          <t>SRM</t>
        </is>
      </c>
      <c r="D3264" s="144" t="n">
        <v>2293641334</v>
      </c>
      <c r="E3264" s="144" t="inlineStr">
        <is>
          <t>CRANE</t>
        </is>
      </c>
      <c r="F3264" s="144" t="inlineStr">
        <is>
          <t>K3443HY TN</t>
        </is>
      </c>
      <c r="G3264" s="144" t="inlineStr">
        <is>
          <t>WHITE FORD</t>
        </is>
      </c>
      <c r="H3264" s="144" t="n">
        <v>1221</v>
      </c>
      <c r="I3264" s="144" t="inlineStr">
        <is>
          <t>COMMERCIAL</t>
        </is>
      </c>
    </row>
    <row r="3265" ht="18" customHeight="1" s="7">
      <c r="A3265" s="144" t="inlineStr">
        <is>
          <t>COREY CORCHO</t>
        </is>
      </c>
      <c r="B3265" s="144" t="inlineStr">
        <is>
          <t>*054520787</t>
        </is>
      </c>
      <c r="C3265" s="144" t="inlineStr">
        <is>
          <t>ROAD LEGENDS</t>
        </is>
      </c>
      <c r="D3265" s="144" t="n">
        <v>9124418897</v>
      </c>
      <c r="E3265" s="144" t="inlineStr">
        <is>
          <t>BOX</t>
        </is>
      </c>
      <c r="F3265" s="144" t="inlineStr">
        <is>
          <t>P1313279 IL</t>
        </is>
      </c>
      <c r="G3265" s="144" t="inlineStr">
        <is>
          <t>BLUE FREIGHTLINER</t>
        </is>
      </c>
      <c r="H3265" s="144" t="n">
        <v>1221</v>
      </c>
      <c r="I3265" s="144" t="inlineStr">
        <is>
          <t>COMMERCIAL</t>
        </is>
      </c>
    </row>
    <row r="3266" ht="18" customHeight="1" s="7">
      <c r="A3266" s="144" t="inlineStr">
        <is>
          <t>MOORE DAVID</t>
        </is>
      </c>
      <c r="B3266" s="144" t="inlineStr">
        <is>
          <t>*0710328974</t>
        </is>
      </c>
      <c r="C3266" s="144" t="inlineStr">
        <is>
          <t>SHALL LLC</t>
        </is>
      </c>
      <c r="D3266" s="144" t="n">
        <v>5023810165</v>
      </c>
      <c r="E3266" s="144" t="inlineStr">
        <is>
          <t>BOX</t>
        </is>
      </c>
      <c r="F3266" s="144" t="inlineStr">
        <is>
          <t>009090A KY</t>
        </is>
      </c>
      <c r="G3266" s="144" t="inlineStr">
        <is>
          <t>WHITE VOLVO</t>
        </is>
      </c>
      <c r="H3266" s="144" t="n">
        <v>1221</v>
      </c>
      <c r="I3266" s="144" t="inlineStr">
        <is>
          <t>COMMERCIAL</t>
        </is>
      </c>
    </row>
    <row r="3267" ht="18" customHeight="1" s="7">
      <c r="A3267" s="144" t="inlineStr">
        <is>
          <t>IRMA LAWSON JR</t>
        </is>
      </c>
      <c r="B3267" s="144" t="inlineStr">
        <is>
          <t>*055481910</t>
        </is>
      </c>
      <c r="C3267" s="144" t="inlineStr">
        <is>
          <t>COCA COLA</t>
        </is>
      </c>
      <c r="D3267" s="144" t="n">
        <v>2296039724</v>
      </c>
      <c r="E3267" s="144" t="inlineStr">
        <is>
          <t>BOX</t>
        </is>
      </c>
      <c r="F3267" s="144" t="inlineStr">
        <is>
          <t>EIX169 GA</t>
        </is>
      </c>
      <c r="G3267" s="144" t="inlineStr">
        <is>
          <t>RED KENWORTH</t>
        </is>
      </c>
      <c r="H3267" s="144" t="n">
        <v>1600</v>
      </c>
      <c r="I3267" s="144" t="inlineStr">
        <is>
          <t>COMMERCIAL</t>
        </is>
      </c>
    </row>
    <row r="3268" ht="18" customHeight="1" s="7">
      <c r="A3268" s="144" t="inlineStr">
        <is>
          <t>VALERI SARIOGLO</t>
        </is>
      </c>
      <c r="B3268" s="144" t="inlineStr">
        <is>
          <t>*052714073 GA</t>
        </is>
      </c>
      <c r="C3268" s="144" t="inlineStr">
        <is>
          <t>V&amp;S TRANS</t>
        </is>
      </c>
      <c r="D3268" s="144" t="n">
        <v>7702986996</v>
      </c>
      <c r="E3268" s="144" t="inlineStr">
        <is>
          <t>FLAT</t>
        </is>
      </c>
      <c r="F3268" s="144" t="inlineStr">
        <is>
          <t>C5220B GA</t>
        </is>
      </c>
      <c r="G3268" s="144" t="inlineStr">
        <is>
          <t>WHITE VOVO</t>
        </is>
      </c>
      <c r="H3268" s="144" t="n">
        <v>1221</v>
      </c>
      <c r="I3268" s="144" t="inlineStr">
        <is>
          <t>COMMERCIAL</t>
        </is>
      </c>
    </row>
    <row r="3269" ht="18" customHeight="1" s="7">
      <c r="A3269" s="144" t="inlineStr">
        <is>
          <t>DERRICK HAWKINS</t>
        </is>
      </c>
      <c r="B3269" s="144" t="inlineStr">
        <is>
          <t>*052854348 GA</t>
        </is>
      </c>
      <c r="C3269" s="144" t="inlineStr">
        <is>
          <t>COCA COLA</t>
        </is>
      </c>
      <c r="D3269" s="144" t="n">
        <v>2297339924</v>
      </c>
      <c r="E3269" s="144" t="inlineStr">
        <is>
          <t>BOX</t>
        </is>
      </c>
      <c r="F3269" s="144" t="inlineStr">
        <is>
          <t>EXF157 GA</t>
        </is>
      </c>
      <c r="G3269" s="144" t="inlineStr">
        <is>
          <t>RED FREIGHTLINER</t>
        </is>
      </c>
      <c r="H3269" s="144" t="n">
        <v>7501</v>
      </c>
      <c r="I3269" s="144" t="inlineStr">
        <is>
          <t>COMMERCIAL</t>
        </is>
      </c>
    </row>
    <row r="3270" ht="18" customHeight="1" s="7">
      <c r="A3270" s="144" t="inlineStr">
        <is>
          <t>ZAITCEV SERGEI</t>
        </is>
      </c>
      <c r="B3270" s="144" t="n">
        <v>33274673</v>
      </c>
      <c r="C3270" s="144" t="inlineStr">
        <is>
          <t>JT EXPREAA</t>
        </is>
      </c>
      <c r="D3270" s="144" t="n">
        <v>9173457722</v>
      </c>
      <c r="E3270" s="144" t="inlineStr">
        <is>
          <t>FLAT</t>
        </is>
      </c>
      <c r="F3270" s="144" t="inlineStr">
        <is>
          <t>P1194180 IL</t>
        </is>
      </c>
      <c r="G3270" s="144" t="inlineStr">
        <is>
          <t>BLK PETERBUILT</t>
        </is>
      </c>
      <c r="H3270" s="144" t="n">
        <v>1221</v>
      </c>
      <c r="I3270" s="144" t="inlineStr">
        <is>
          <t>COMMERCIAL</t>
        </is>
      </c>
    </row>
    <row r="3271" ht="18" customHeight="1" s="7">
      <c r="A3271" s="144" t="inlineStr">
        <is>
          <t>DERRICK ROBERTS</t>
        </is>
      </c>
      <c r="B3271" s="144" t="inlineStr">
        <is>
          <t>*053502922 GA</t>
        </is>
      </c>
      <c r="C3271" s="144" t="inlineStr">
        <is>
          <t>QUEST EXPRESS</t>
        </is>
      </c>
      <c r="D3271" s="144" t="n">
        <v>4784562487</v>
      </c>
      <c r="E3271" s="144" t="inlineStr">
        <is>
          <t>FLAT</t>
        </is>
      </c>
      <c r="F3271" s="144" t="inlineStr">
        <is>
          <t>C548EN GA</t>
        </is>
      </c>
      <c r="G3271" s="144" t="inlineStr">
        <is>
          <t>PURPLE FREIGHTLINER</t>
        </is>
      </c>
      <c r="H3271" s="144" t="n">
        <v>1221</v>
      </c>
      <c r="I3271" s="144" t="inlineStr">
        <is>
          <t>COMMERCIAL</t>
        </is>
      </c>
    </row>
    <row r="3272" ht="18" customHeight="1" s="7">
      <c r="A3272" s="144" t="inlineStr">
        <is>
          <t>RYAN SMITH</t>
        </is>
      </c>
      <c r="B3272" s="144" t="inlineStr">
        <is>
          <t>7871070 AL</t>
        </is>
      </c>
      <c r="C3272" s="144" t="inlineStr">
        <is>
          <t>PEPI</t>
        </is>
      </c>
      <c r="D3272" s="144" t="n">
        <v>3344353235</v>
      </c>
      <c r="E3272" s="144" t="inlineStr">
        <is>
          <t>BOX</t>
        </is>
      </c>
      <c r="F3272" s="144" t="inlineStr">
        <is>
          <t>38A2UH3 AL</t>
        </is>
      </c>
      <c r="G3272" s="144" t="inlineStr">
        <is>
          <t>BLUE FORD</t>
        </is>
      </c>
      <c r="H3272" s="144" t="inlineStr">
        <is>
          <t>BASE WIDE</t>
        </is>
      </c>
      <c r="I3272" s="144" t="inlineStr">
        <is>
          <t>COMMERCIAL</t>
        </is>
      </c>
    </row>
    <row r="3273" ht="18" customHeight="1" s="7">
      <c r="A3273" s="144" t="inlineStr">
        <is>
          <t>JEFF JONES</t>
        </is>
      </c>
      <c r="B3273" s="144" t="inlineStr">
        <is>
          <t>*056016504 GA</t>
        </is>
      </c>
      <c r="C3273" s="144" t="inlineStr">
        <is>
          <t>RHC</t>
        </is>
      </c>
      <c r="D3273" s="144" t="n">
        <v>2298949223</v>
      </c>
      <c r="E3273" s="144" t="inlineStr">
        <is>
          <t>PU</t>
        </is>
      </c>
      <c r="F3273" s="144" t="inlineStr">
        <is>
          <t>CHH127GA</t>
        </is>
      </c>
      <c r="G3273" s="144" t="inlineStr">
        <is>
          <t>WHITE DODGE</t>
        </is>
      </c>
      <c r="H3273" s="144" t="inlineStr">
        <is>
          <t>BASEWIDE</t>
        </is>
      </c>
      <c r="I3273" s="144" t="inlineStr">
        <is>
          <t>CONTRACTOR</t>
        </is>
      </c>
    </row>
    <row r="3274" ht="18" customHeight="1" s="7">
      <c r="A3274" s="144" t="inlineStr">
        <is>
          <t>MICHAEL BROCK</t>
        </is>
      </c>
      <c r="B3274" s="144" t="n">
        <v>61160995</v>
      </c>
      <c r="C3274" s="144" t="inlineStr">
        <is>
          <t>PEPI</t>
        </is>
      </c>
      <c r="D3274" s="144" t="n">
        <v>2292020660</v>
      </c>
      <c r="E3274" s="144" t="inlineStr">
        <is>
          <t>BOX</t>
        </is>
      </c>
      <c r="F3274" s="144" t="inlineStr">
        <is>
          <t>38A6M14 AL</t>
        </is>
      </c>
      <c r="G3274" s="144" t="inlineStr">
        <is>
          <t>BLUE ISUZU</t>
        </is>
      </c>
      <c r="H3274" s="144" t="inlineStr">
        <is>
          <t>BASE WIDE</t>
        </is>
      </c>
      <c r="I3274" s="144" t="inlineStr">
        <is>
          <t>COMMERCIAL</t>
        </is>
      </c>
    </row>
    <row r="3275" ht="18" customHeight="1" s="7">
      <c r="A3275" s="144" t="inlineStr">
        <is>
          <t>ANDRE RAY</t>
        </is>
      </c>
      <c r="B3275" s="144" t="inlineStr">
        <is>
          <t>*055269094</t>
        </is>
      </c>
      <c r="C3275" s="144" t="inlineStr">
        <is>
          <t>ACROSS THE GLOBE</t>
        </is>
      </c>
      <c r="D3275" s="144" t="n">
        <v>4047496550</v>
      </c>
      <c r="E3275" s="144" t="inlineStr">
        <is>
          <t>BOX</t>
        </is>
      </c>
      <c r="F3275" s="144" t="inlineStr">
        <is>
          <t>YAC177 GA</t>
        </is>
      </c>
      <c r="G3275" s="144" t="inlineStr">
        <is>
          <t>YELLOW INTERNATIONAL</t>
        </is>
      </c>
      <c r="H3275" s="144" t="n">
        <v>1221</v>
      </c>
      <c r="I3275" s="144" t="inlineStr">
        <is>
          <t>COMMERCIAL</t>
        </is>
      </c>
    </row>
    <row r="3276" ht="18" customHeight="1" s="7">
      <c r="A3276" s="144" t="inlineStr">
        <is>
          <t>ENVER EMIRAMZAIEV</t>
        </is>
      </c>
      <c r="B3276" s="144" t="inlineStr">
        <is>
          <t>E656200864240 FL</t>
        </is>
      </c>
      <c r="C3276" s="144" t="inlineStr">
        <is>
          <t>A&amp;M CARRIERS</t>
        </is>
      </c>
      <c r="D3276" s="144" t="n">
        <v>3053186959</v>
      </c>
      <c r="E3276" s="144" t="inlineStr">
        <is>
          <t>FLAT</t>
        </is>
      </c>
      <c r="F3276" s="144" t="inlineStr">
        <is>
          <t>P1268540 IL</t>
        </is>
      </c>
      <c r="G3276" s="144" t="inlineStr">
        <is>
          <t>WHITE VOLVO</t>
        </is>
      </c>
      <c r="H3276" s="144" t="n">
        <v>1221</v>
      </c>
      <c r="I3276" s="144" t="inlineStr">
        <is>
          <t>COMMERICAL</t>
        </is>
      </c>
    </row>
    <row r="3277" ht="18" customHeight="1" s="7">
      <c r="A3277" s="144" t="inlineStr">
        <is>
          <t>BORIA JESUS JR</t>
        </is>
      </c>
      <c r="B3277" s="144" t="inlineStr">
        <is>
          <t>103459496 SC</t>
        </is>
      </c>
      <c r="C3277" s="144" t="inlineStr">
        <is>
          <t xml:space="preserve">BENNETT </t>
        </is>
      </c>
      <c r="D3277" s="144" t="n">
        <v>8033706371</v>
      </c>
      <c r="E3277" s="144" t="inlineStr">
        <is>
          <t>FLAT</t>
        </is>
      </c>
      <c r="F3277" s="144" t="inlineStr">
        <is>
          <t>P1286066 IL</t>
        </is>
      </c>
      <c r="G3277" s="144" t="inlineStr">
        <is>
          <t>BLUE KENWORTH</t>
        </is>
      </c>
      <c r="H3277" s="144" t="n">
        <v>1221</v>
      </c>
      <c r="I3277" s="144" t="inlineStr">
        <is>
          <t>COMMERICAL</t>
        </is>
      </c>
    </row>
    <row r="3278" ht="18" customHeight="1" s="7">
      <c r="A3278" s="144" t="inlineStr">
        <is>
          <t>VICTORY LARA</t>
        </is>
      </c>
      <c r="B3278" s="144" t="inlineStr">
        <is>
          <t>L12354485 KY</t>
        </is>
      </c>
      <c r="C3278" s="144" t="inlineStr">
        <is>
          <t>ATLAS</t>
        </is>
      </c>
      <c r="D3278" s="144" t="n">
        <v>5027124181</v>
      </c>
      <c r="E3278" s="144" t="inlineStr">
        <is>
          <t>BOX</t>
        </is>
      </c>
      <c r="F3278" s="144" t="inlineStr">
        <is>
          <t>005499A KY</t>
        </is>
      </c>
      <c r="G3278" s="144" t="inlineStr">
        <is>
          <t>WHITE VOLVO</t>
        </is>
      </c>
      <c r="H3278" s="144" t="n">
        <v>1221</v>
      </c>
      <c r="I3278" s="144" t="inlineStr">
        <is>
          <t>COMMERICAL</t>
        </is>
      </c>
    </row>
    <row r="3279" ht="18" customHeight="1" s="7">
      <c r="A3279" s="144" t="inlineStr">
        <is>
          <t>LEONARD OESTREICH</t>
        </is>
      </c>
      <c r="B3279" s="144" t="inlineStr">
        <is>
          <t>0236524680210 FL</t>
        </is>
      </c>
      <c r="C3279" s="144" t="inlineStr">
        <is>
          <t>YK EXPRESS</t>
        </is>
      </c>
      <c r="D3279" s="144" t="n">
        <v>3527573735</v>
      </c>
      <c r="E3279" s="144" t="inlineStr">
        <is>
          <t>FLAT</t>
        </is>
      </c>
      <c r="F3279" s="144" t="inlineStr">
        <is>
          <t>XE425V FL</t>
        </is>
      </c>
      <c r="G3279" s="144" t="inlineStr">
        <is>
          <t>RED FREIGHTLINER</t>
        </is>
      </c>
      <c r="H3279" s="144" t="n">
        <v>1221</v>
      </c>
      <c r="I3279" s="144" t="inlineStr">
        <is>
          <t>COMMERICAL</t>
        </is>
      </c>
    </row>
    <row r="3280" ht="18" customHeight="1" s="7">
      <c r="A3280" s="144" t="inlineStr">
        <is>
          <t xml:space="preserve">RYAN STONE </t>
        </is>
      </c>
      <c r="B3280" s="144" t="inlineStr">
        <is>
          <t>056911844 GA</t>
        </is>
      </c>
      <c r="C3280" s="144" t="inlineStr">
        <is>
          <t>UNITED RENTALS</t>
        </is>
      </c>
      <c r="D3280" s="144" t="n">
        <v>2293760526</v>
      </c>
      <c r="E3280" s="144" t="inlineStr">
        <is>
          <t>PU</t>
        </is>
      </c>
      <c r="F3280" s="144" t="inlineStr">
        <is>
          <t>3666134 IN</t>
        </is>
      </c>
      <c r="G3280" s="144" t="inlineStr">
        <is>
          <t>WHITE DODGE</t>
        </is>
      </c>
      <c r="H3280" s="144" t="inlineStr">
        <is>
          <t>FIRE STATION</t>
        </is>
      </c>
      <c r="I3280" s="144" t="inlineStr">
        <is>
          <t>CONTRACTOR</t>
        </is>
      </c>
    </row>
    <row r="3281" ht="18" customHeight="1" s="7">
      <c r="A3281" s="144" t="inlineStr">
        <is>
          <t>ANOTCHI DOTSON</t>
        </is>
      </c>
      <c r="B3281" s="144" t="inlineStr">
        <is>
          <t>059090624 GA</t>
        </is>
      </c>
      <c r="C3281" s="144" t="inlineStr">
        <is>
          <t>DOTSON TRANS</t>
        </is>
      </c>
      <c r="D3281" s="144" t="n">
        <v>2132473596</v>
      </c>
      <c r="E3281" s="144" t="inlineStr">
        <is>
          <t>FLAT</t>
        </is>
      </c>
      <c r="F3281" s="144" t="inlineStr">
        <is>
          <t>C963CV GA</t>
        </is>
      </c>
      <c r="G3281" s="144" t="inlineStr">
        <is>
          <t>RED PETERBILT</t>
        </is>
      </c>
      <c r="H3281" s="144" t="n">
        <v>1221</v>
      </c>
      <c r="I3281" s="144" t="inlineStr">
        <is>
          <t>COMMERICAL</t>
        </is>
      </c>
    </row>
    <row r="3282" ht="18" customHeight="1" s="7">
      <c r="A3282" s="144" t="inlineStr">
        <is>
          <t>KHALID SAID</t>
        </is>
      </c>
      <c r="B3282" s="144" t="inlineStr">
        <is>
          <t>VF838603 OH</t>
        </is>
      </c>
      <c r="C3282" s="144" t="inlineStr">
        <is>
          <t>A&amp;M CARRIERS</t>
        </is>
      </c>
      <c r="D3282" s="144" t="n">
        <v>3802349406</v>
      </c>
      <c r="E3282" s="144" t="inlineStr">
        <is>
          <t>FLAT</t>
        </is>
      </c>
      <c r="F3282" s="144" t="inlineStr">
        <is>
          <t>P1127075 IL</t>
        </is>
      </c>
      <c r="G3282" s="144" t="inlineStr">
        <is>
          <t>RED MACK</t>
        </is>
      </c>
      <c r="H3282" s="144" t="n">
        <v>1221</v>
      </c>
      <c r="I3282" s="144" t="inlineStr">
        <is>
          <t>COMMERICAL</t>
        </is>
      </c>
    </row>
    <row r="3283" ht="18" customHeight="1" s="7">
      <c r="A3283" s="144" t="inlineStr">
        <is>
          <t>SINGH GURMITTER</t>
        </is>
      </c>
      <c r="B3283" s="144" t="inlineStr">
        <is>
          <t>Y5276619 CA</t>
        </is>
      </c>
      <c r="C3283" s="144" t="inlineStr">
        <is>
          <t>RAJWANT TRANS</t>
        </is>
      </c>
      <c r="D3283" s="144" t="n">
        <v>5992143087</v>
      </c>
      <c r="E3283" s="144" t="inlineStr">
        <is>
          <t>BOX</t>
        </is>
      </c>
      <c r="F3283" s="144" t="inlineStr">
        <is>
          <t>3807825 IN</t>
        </is>
      </c>
      <c r="G3283" s="144" t="inlineStr">
        <is>
          <t>GRAY KENWORTH</t>
        </is>
      </c>
      <c r="H3283" s="144" t="inlineStr">
        <is>
          <t>2500 BROOM</t>
        </is>
      </c>
      <c r="I3283" s="144" t="inlineStr">
        <is>
          <t>COMMERICAL</t>
        </is>
      </c>
    </row>
    <row r="3284" ht="18" customHeight="1" s="7">
      <c r="A3284" s="144" t="inlineStr">
        <is>
          <t>AMAN DAWOOD</t>
        </is>
      </c>
      <c r="B3284" s="144" t="inlineStr">
        <is>
          <t>28106465 TX</t>
        </is>
      </c>
      <c r="C3284" s="144" t="inlineStr">
        <is>
          <t>A&amp;M CARRIERS</t>
        </is>
      </c>
      <c r="D3284" s="144" t="n">
        <v>8322330634</v>
      </c>
      <c r="E3284" s="144" t="inlineStr">
        <is>
          <t>FLAT</t>
        </is>
      </c>
      <c r="F3284" s="144" t="inlineStr">
        <is>
          <t>R687445 TX</t>
        </is>
      </c>
      <c r="G3284" s="144" t="inlineStr">
        <is>
          <t>RED PETERBILT</t>
        </is>
      </c>
      <c r="H3284" s="144" t="n">
        <v>1221</v>
      </c>
      <c r="I3284" s="144" t="inlineStr">
        <is>
          <t>COMMERICAL</t>
        </is>
      </c>
    </row>
    <row r="3285" ht="18" customHeight="1" s="7">
      <c r="A3285" s="144" t="inlineStr">
        <is>
          <t>ERIC TAYLOR</t>
        </is>
      </c>
      <c r="B3285" s="144" t="inlineStr">
        <is>
          <t>052249728 GA</t>
        </is>
      </c>
      <c r="C3285" s="144" t="inlineStr">
        <is>
          <t>C&amp;D INDUSTRIAL</t>
        </is>
      </c>
      <c r="D3285" s="144" t="n">
        <v>4705919003</v>
      </c>
      <c r="E3285" s="144" t="inlineStr">
        <is>
          <t>PU</t>
        </is>
      </c>
      <c r="F3285" s="144" t="inlineStr">
        <is>
          <t>NXFB994 FL</t>
        </is>
      </c>
      <c r="G3285" s="144" t="inlineStr">
        <is>
          <t>WHITE FORD</t>
        </is>
      </c>
      <c r="H3285" s="144" t="inlineStr">
        <is>
          <t>COMMISSARY</t>
        </is>
      </c>
      <c r="I3285" s="144" t="inlineStr">
        <is>
          <t>CONTRACTOR</t>
        </is>
      </c>
    </row>
    <row r="3286" ht="18" customHeight="1" s="7">
      <c r="A3286" s="144" t="inlineStr">
        <is>
          <t>STEVEN BEELER</t>
        </is>
      </c>
      <c r="B3286" s="144" t="inlineStr">
        <is>
          <t>W115007003 MI</t>
        </is>
      </c>
      <c r="C3286" s="144" t="inlineStr">
        <is>
          <t xml:space="preserve">CLASSIC AUTO </t>
        </is>
      </c>
      <c r="D3286" s="144" t="n">
        <v>4177613785</v>
      </c>
      <c r="E3286" s="144" t="inlineStr">
        <is>
          <t>PU</t>
        </is>
      </c>
      <c r="F3286" s="144" t="inlineStr">
        <is>
          <t>244633E IN</t>
        </is>
      </c>
      <c r="G3286" s="144" t="inlineStr">
        <is>
          <t>WHITE CHEVY</t>
        </is>
      </c>
      <c r="H3286" s="144" t="n">
        <v>1221</v>
      </c>
      <c r="I3286" s="144" t="inlineStr">
        <is>
          <t>CONTRACTOR</t>
        </is>
      </c>
    </row>
    <row r="3287" ht="18" customHeight="1" s="7">
      <c r="A3287" s="144" t="inlineStr">
        <is>
          <t>JUAN PEREZ</t>
        </is>
      </c>
      <c r="B3287" s="144" t="inlineStr">
        <is>
          <t>45887496 TX</t>
        </is>
      </c>
      <c r="C3287" s="144" t="inlineStr">
        <is>
          <t>GREENPOINT</t>
        </is>
      </c>
      <c r="D3287" s="144" t="n">
        <v>3467443615</v>
      </c>
      <c r="E3287" s="144" t="inlineStr">
        <is>
          <t>PU</t>
        </is>
      </c>
      <c r="F3287" s="144" t="inlineStr">
        <is>
          <t>VCN1227 TX</t>
        </is>
      </c>
      <c r="G3287" s="144" t="inlineStr">
        <is>
          <t>RED DODGE</t>
        </is>
      </c>
      <c r="H3287" s="144" t="n">
        <v>1221</v>
      </c>
      <c r="I3287" s="144" t="inlineStr">
        <is>
          <t>CONTRACTOR</t>
        </is>
      </c>
    </row>
    <row r="3288" ht="18" customHeight="1" s="7">
      <c r="A3288" s="144" t="inlineStr">
        <is>
          <t>DAVID VALLE</t>
        </is>
      </c>
      <c r="B3288" s="144" t="inlineStr">
        <is>
          <t>V400161623280 FL</t>
        </is>
      </c>
      <c r="C3288" s="144" t="inlineStr">
        <is>
          <t>TUN EXPRESS</t>
        </is>
      </c>
      <c r="D3288" s="144" t="n">
        <v>4075305678</v>
      </c>
      <c r="E3288" s="144" t="inlineStr">
        <is>
          <t>BOX</t>
        </is>
      </c>
      <c r="F3288" s="144" t="inlineStr">
        <is>
          <t>DF87GR FL</t>
        </is>
      </c>
      <c r="G3288" s="144" t="inlineStr">
        <is>
          <t>WHITE FRIEGHTLINER</t>
        </is>
      </c>
      <c r="H3288" s="144" t="n">
        <v>1221</v>
      </c>
      <c r="I3288" s="144" t="inlineStr">
        <is>
          <t>COMMERCIAL</t>
        </is>
      </c>
    </row>
    <row r="3289" ht="18" customHeight="1" s="7">
      <c r="A3289" s="144" t="inlineStr">
        <is>
          <t>RODNEY CLARK</t>
        </is>
      </c>
      <c r="B3289" s="144" t="inlineStr">
        <is>
          <t>*049604468 GA</t>
        </is>
      </c>
      <c r="C3289" s="144" t="inlineStr">
        <is>
          <t>MIDDLE GEORGIA</t>
        </is>
      </c>
      <c r="D3289" s="144" t="n">
        <v>4786975991</v>
      </c>
      <c r="E3289" s="144" t="inlineStr">
        <is>
          <t>VAN</t>
        </is>
      </c>
      <c r="F3289" s="144" t="inlineStr">
        <is>
          <t>SHL2953 GA</t>
        </is>
      </c>
      <c r="G3289" s="144" t="inlineStr">
        <is>
          <t>WHITE NISSAN</t>
        </is>
      </c>
      <c r="H3289" s="144" t="n">
        <v>7000</v>
      </c>
      <c r="I3289" s="144" t="inlineStr">
        <is>
          <t>CONTRACTOR</t>
        </is>
      </c>
    </row>
    <row r="3290" ht="18" customHeight="1" s="7">
      <c r="A3290" s="144" t="inlineStr">
        <is>
          <t>JORDAN KING</t>
        </is>
      </c>
      <c r="B3290" s="144" t="inlineStr">
        <is>
          <t>*057860356 GA</t>
        </is>
      </c>
      <c r="C3290" s="144" t="inlineStr">
        <is>
          <t>ASANO</t>
        </is>
      </c>
      <c r="D3290" s="144" t="n">
        <v>6783239899</v>
      </c>
      <c r="E3290" s="144" t="inlineStr">
        <is>
          <t>FLAT</t>
        </is>
      </c>
      <c r="F3290" s="144" t="inlineStr">
        <is>
          <t>C969EX GA</t>
        </is>
      </c>
      <c r="G3290" s="144" t="inlineStr">
        <is>
          <t>WHITE FREIGHTLINER</t>
        </is>
      </c>
      <c r="H3290" s="144" t="n">
        <v>1221</v>
      </c>
      <c r="I3290" s="144" t="inlineStr">
        <is>
          <t>COMMERCIAL</t>
        </is>
      </c>
    </row>
    <row r="3291" ht="18" customHeight="1" s="7">
      <c r="A3291" s="144" t="inlineStr">
        <is>
          <t>SHAMAR SWIFT</t>
        </is>
      </c>
      <c r="B3291" s="144" t="inlineStr">
        <is>
          <t>*060416254 GA</t>
        </is>
      </c>
      <c r="C3291" s="144" t="inlineStr">
        <is>
          <t>RENT A CENTER</t>
        </is>
      </c>
      <c r="D3291" s="144" t="n">
        <v>4045098998</v>
      </c>
      <c r="E3291" s="144" t="inlineStr">
        <is>
          <t>BOX</t>
        </is>
      </c>
      <c r="F3291" s="144" t="inlineStr">
        <is>
          <t>2932283 IN</t>
        </is>
      </c>
      <c r="G3291" s="144" t="inlineStr">
        <is>
          <t>WHITE FORD</t>
        </is>
      </c>
      <c r="H3291" s="144" t="inlineStr">
        <is>
          <t>HOUSING</t>
        </is>
      </c>
      <c r="I3291" s="144" t="inlineStr">
        <is>
          <t>COMMERCIAL</t>
        </is>
      </c>
    </row>
    <row r="3292" ht="18" customHeight="1" s="7">
      <c r="A3292" s="144" t="inlineStr">
        <is>
          <t>MOHAMED SOLIMAN</t>
        </is>
      </c>
      <c r="B3292" s="144" t="inlineStr">
        <is>
          <t>S241689190000 FL</t>
        </is>
      </c>
      <c r="C3292" s="144" t="inlineStr">
        <is>
          <t>GLOBE TRANS</t>
        </is>
      </c>
      <c r="D3292" s="144" t="n">
        <v>8139194000</v>
      </c>
      <c r="E3292" s="144" t="inlineStr">
        <is>
          <t>BOX</t>
        </is>
      </c>
      <c r="F3292" s="144" t="inlineStr">
        <is>
          <t>P1254289 IL</t>
        </is>
      </c>
      <c r="G3292" s="144" t="inlineStr">
        <is>
          <t>RED FREIGHTLINER</t>
        </is>
      </c>
      <c r="H3292" s="144" t="n">
        <v>1221</v>
      </c>
      <c r="I3292" s="144" t="inlineStr">
        <is>
          <t>COMMERICAL</t>
        </is>
      </c>
    </row>
    <row r="3293" ht="18" customHeight="1" s="7">
      <c r="A3293" s="144" t="inlineStr">
        <is>
          <t>EDWARD SMITH</t>
        </is>
      </c>
      <c r="B3293" s="144" t="inlineStr">
        <is>
          <t>004100511 SC</t>
        </is>
      </c>
      <c r="C3293" s="144" t="inlineStr">
        <is>
          <t>MEDALLION</t>
        </is>
      </c>
      <c r="D3293" s="144" t="n">
        <v>8432519245</v>
      </c>
      <c r="E3293" s="144" t="inlineStr">
        <is>
          <t>FLAT</t>
        </is>
      </c>
      <c r="F3293" s="144" t="inlineStr">
        <is>
          <t>3506169 IN</t>
        </is>
      </c>
      <c r="G3293" s="144" t="inlineStr">
        <is>
          <t>BLUE PETERBILT</t>
        </is>
      </c>
      <c r="H3293" s="144" t="n">
        <v>1221</v>
      </c>
      <c r="I3293" s="144" t="inlineStr">
        <is>
          <t>COMMERICAL</t>
        </is>
      </c>
    </row>
    <row r="3294" ht="18" customHeight="1" s="7">
      <c r="A3294" s="144" t="inlineStr">
        <is>
          <t>BRANDY CRAFTON</t>
        </is>
      </c>
      <c r="B3294" s="144" t="inlineStr">
        <is>
          <t>K082757256 OK</t>
        </is>
      </c>
      <c r="C3294" s="144" t="inlineStr">
        <is>
          <t>ATS SECURE</t>
        </is>
      </c>
      <c r="D3294" s="144" t="n">
        <v>9189552315</v>
      </c>
      <c r="E3294" s="144" t="inlineStr">
        <is>
          <t>FLAT</t>
        </is>
      </c>
      <c r="F3294" s="144" t="inlineStr">
        <is>
          <t xml:space="preserve">3510322 IN </t>
        </is>
      </c>
      <c r="G3294" s="144" t="inlineStr">
        <is>
          <t>RED FREIGHTLINER</t>
        </is>
      </c>
      <c r="H3294" s="144" t="n">
        <v>1221</v>
      </c>
      <c r="I3294" s="144" t="inlineStr">
        <is>
          <t>COMMERICAL</t>
        </is>
      </c>
    </row>
    <row r="3295" ht="18" customHeight="1" s="7">
      <c r="A3295" s="144" t="inlineStr">
        <is>
          <t>ERIC HALL</t>
        </is>
      </c>
      <c r="B3295" s="144" t="inlineStr">
        <is>
          <t>H400219682640 FL</t>
        </is>
      </c>
      <c r="C3295" s="144" t="inlineStr">
        <is>
          <t>DTI TRUCKING</t>
        </is>
      </c>
      <c r="D3295" s="144" t="n">
        <v>8135163116</v>
      </c>
      <c r="E3295" s="144" t="inlineStr">
        <is>
          <t>BOX</t>
        </is>
      </c>
      <c r="F3295" s="144" t="inlineStr">
        <is>
          <t>QFNYVM8 TN</t>
        </is>
      </c>
      <c r="G3295" s="144" t="inlineStr">
        <is>
          <t>WHITE VOLVO</t>
        </is>
      </c>
      <c r="H3295" s="144" t="n">
        <v>1221</v>
      </c>
      <c r="I3295" s="144" t="inlineStr">
        <is>
          <t>COMMERICAL</t>
        </is>
      </c>
    </row>
    <row r="3296" ht="18" customHeight="1" s="7">
      <c r="A3296" s="144" t="inlineStr">
        <is>
          <t>LLEWELLYN JOHNSON</t>
        </is>
      </c>
      <c r="B3296" s="144" t="inlineStr">
        <is>
          <t>J52553556346 IL</t>
        </is>
      </c>
      <c r="C3296" s="144" t="inlineStr">
        <is>
          <t>FAIR TRUST TRUCKING</t>
        </is>
      </c>
      <c r="D3296" s="144" t="n">
        <v>7737542519</v>
      </c>
      <c r="E3296" s="144" t="inlineStr">
        <is>
          <t>BOX</t>
        </is>
      </c>
      <c r="F3296" s="144" t="inlineStr">
        <is>
          <t>P1154788 IL</t>
        </is>
      </c>
      <c r="G3296" s="144" t="inlineStr">
        <is>
          <t>WHITE VOLVO</t>
        </is>
      </c>
      <c r="H3296" s="144" t="n">
        <v>1221</v>
      </c>
      <c r="I3296" s="144" t="inlineStr">
        <is>
          <t>COMMERICAL</t>
        </is>
      </c>
    </row>
    <row r="3297" ht="18" customHeight="1" s="7">
      <c r="A3297" s="144" t="inlineStr">
        <is>
          <t>LEZAMA ALBERTO</t>
        </is>
      </c>
      <c r="B3297" s="144" t="inlineStr">
        <is>
          <t>B5334884 CA</t>
        </is>
      </c>
      <c r="C3297" s="144" t="inlineStr">
        <is>
          <t>NORTH AMERICAN</t>
        </is>
      </c>
      <c r="D3297" s="144" t="n">
        <v>9092470390</v>
      </c>
      <c r="E3297" s="144" t="inlineStr">
        <is>
          <t>BOX</t>
        </is>
      </c>
      <c r="F3297" s="144" t="inlineStr">
        <is>
          <t>2179951 IN</t>
        </is>
      </c>
      <c r="G3297" s="144" t="inlineStr">
        <is>
          <t>WHITE PETERBILT</t>
        </is>
      </c>
      <c r="H3297" s="144" t="inlineStr">
        <is>
          <t>HOUSING</t>
        </is>
      </c>
      <c r="I3297" s="144" t="inlineStr">
        <is>
          <t>COMMERICAL</t>
        </is>
      </c>
    </row>
    <row r="3298" ht="18" customHeight="1" s="7">
      <c r="A3298" s="144" t="inlineStr">
        <is>
          <t>RONALD STEWART</t>
        </is>
      </c>
      <c r="B3298" s="144" t="inlineStr">
        <is>
          <t>054319608 GA</t>
        </is>
      </c>
      <c r="C3298" s="144" t="inlineStr">
        <is>
          <t>LANDSTAR</t>
        </is>
      </c>
      <c r="D3298" s="144" t="n">
        <v>6787648977</v>
      </c>
      <c r="E3298" s="144" t="inlineStr">
        <is>
          <t>BOX</t>
        </is>
      </c>
      <c r="F3298" s="144" t="inlineStr">
        <is>
          <t>3846959 IN</t>
        </is>
      </c>
      <c r="G3298" s="144" t="inlineStr">
        <is>
          <t>WHITE VOLVO</t>
        </is>
      </c>
      <c r="H3298" s="144" t="n">
        <v>1221</v>
      </c>
      <c r="I3298" s="144" t="inlineStr">
        <is>
          <t>COMMERICAL</t>
        </is>
      </c>
    </row>
    <row r="3299" ht="18" customHeight="1" s="7">
      <c r="A3299" s="144" t="inlineStr">
        <is>
          <t>TIMOTHY LOWE</t>
        </is>
      </c>
      <c r="B3299" s="144" t="inlineStr">
        <is>
          <t>053645487 GA</t>
        </is>
      </c>
      <c r="C3299" s="144" t="inlineStr">
        <is>
          <t>GSP</t>
        </is>
      </c>
      <c r="D3299" s="144" t="n">
        <v>7703877057</v>
      </c>
      <c r="E3299" s="144" t="inlineStr">
        <is>
          <t>FLAT</t>
        </is>
      </c>
      <c r="F3299" s="144" t="inlineStr">
        <is>
          <t>GV3997C GA</t>
        </is>
      </c>
      <c r="G3299" s="144" t="inlineStr">
        <is>
          <t>BLUE FORD</t>
        </is>
      </c>
      <c r="H3299" s="144" t="n">
        <v>1221</v>
      </c>
      <c r="I3299" s="144" t="inlineStr">
        <is>
          <t>CONTRACTOR</t>
        </is>
      </c>
    </row>
    <row r="3300" ht="18" customHeight="1" s="7">
      <c r="A3300" s="144" t="inlineStr">
        <is>
          <t>CALVIN WILLIAMS</t>
        </is>
      </c>
      <c r="B3300" s="144" t="inlineStr">
        <is>
          <t>050226842 GA</t>
        </is>
      </c>
      <c r="C3300" s="144" t="inlineStr">
        <is>
          <t>AAM TRUCKING</t>
        </is>
      </c>
      <c r="D3300" s="144" t="n">
        <v>4782351925</v>
      </c>
      <c r="E3300" s="144" t="inlineStr">
        <is>
          <t>BOX</t>
        </is>
      </c>
      <c r="F3300" s="144" t="inlineStr">
        <is>
          <t>P13000233 IL</t>
        </is>
      </c>
      <c r="G3300" s="144" t="inlineStr">
        <is>
          <t>BLACK KENWORTH</t>
        </is>
      </c>
      <c r="H3300" s="144" t="n">
        <v>1221</v>
      </c>
      <c r="I3300" s="144" t="inlineStr">
        <is>
          <t>COMMERICAL</t>
        </is>
      </c>
    </row>
    <row r="3301" ht="18" customHeight="1" s="7">
      <c r="A3301" s="144" t="inlineStr">
        <is>
          <t>HORTON MATTHEW</t>
        </is>
      </c>
      <c r="B3301" s="144" t="inlineStr">
        <is>
          <t>H23347482800 FL</t>
        </is>
      </c>
      <c r="C3301" s="144" t="inlineStr">
        <is>
          <t>TRI STATE</t>
        </is>
      </c>
      <c r="D3301" s="144" t="n">
        <v>7869720268</v>
      </c>
      <c r="E3301" s="144" t="inlineStr">
        <is>
          <t>BOX</t>
        </is>
      </c>
      <c r="F3301" s="144" t="inlineStr">
        <is>
          <t>AN00193 AZ</t>
        </is>
      </c>
      <c r="G3301" s="144" t="inlineStr">
        <is>
          <t>WHITE KENWORTH</t>
        </is>
      </c>
      <c r="H3301" s="144" t="n">
        <v>1221</v>
      </c>
      <c r="I3301" s="144" t="inlineStr">
        <is>
          <t>COMMERCIAL</t>
        </is>
      </c>
    </row>
    <row r="3302" ht="18" customHeight="1" s="7">
      <c r="A3302" s="144" t="inlineStr">
        <is>
          <t>RODNEY BARRAND</t>
        </is>
      </c>
      <c r="B3302" s="144" t="inlineStr">
        <is>
          <t>4913946 AL</t>
        </is>
      </c>
      <c r="C3302" s="144" t="inlineStr">
        <is>
          <t>R&amp;J TRUCKING</t>
        </is>
      </c>
      <c r="D3302" s="144" t="n">
        <v>3344673390</v>
      </c>
      <c r="E3302" s="144" t="inlineStr">
        <is>
          <t>FLAT</t>
        </is>
      </c>
      <c r="F3302" s="144" t="inlineStr">
        <is>
          <t>1186675 AL</t>
        </is>
      </c>
      <c r="G3302" s="144" t="inlineStr">
        <is>
          <t>WHITE KENWORTH</t>
        </is>
      </c>
      <c r="H3302" s="144" t="n">
        <v>1221</v>
      </c>
      <c r="I3302" s="144" t="inlineStr">
        <is>
          <t>COMMERICAL</t>
        </is>
      </c>
    </row>
    <row r="3303" ht="18" customHeight="1" s="7">
      <c r="A3303" s="144" t="inlineStr">
        <is>
          <t>TAVARES BUSH</t>
        </is>
      </c>
      <c r="B3303" s="144" t="inlineStr">
        <is>
          <t>054867419 GA</t>
        </is>
      </c>
      <c r="C3303" s="144" t="inlineStr">
        <is>
          <t>TMH EXPRESS</t>
        </is>
      </c>
      <c r="D3303" s="144" t="n">
        <v>9012083803</v>
      </c>
      <c r="E3303" s="144" t="inlineStr">
        <is>
          <t>BOX</t>
        </is>
      </c>
      <c r="F3303" s="144" t="inlineStr">
        <is>
          <t>C338CY GA</t>
        </is>
      </c>
      <c r="G3303" s="144" t="inlineStr">
        <is>
          <t>BLUE FREIGHTLINER</t>
        </is>
      </c>
      <c r="H3303" s="144" t="n">
        <v>1221</v>
      </c>
      <c r="I3303" s="144" t="inlineStr">
        <is>
          <t>COMMERICAL</t>
        </is>
      </c>
    </row>
    <row r="3304" ht="18" customHeight="1" s="7">
      <c r="A3304" s="144" t="inlineStr">
        <is>
          <t>RENFRO EDWARD</t>
        </is>
      </c>
      <c r="B3304" s="144" t="inlineStr">
        <is>
          <t>U078217007 MI</t>
        </is>
      </c>
      <c r="C3304" s="144" t="inlineStr">
        <is>
          <t>AATCO</t>
        </is>
      </c>
      <c r="D3304" s="144" t="n">
        <v>4173469583</v>
      </c>
      <c r="E3304" s="144" t="inlineStr">
        <is>
          <t>BOX</t>
        </is>
      </c>
      <c r="F3304" s="144" t="inlineStr">
        <is>
          <t>99KG6E MI</t>
        </is>
      </c>
      <c r="G3304" s="144" t="inlineStr">
        <is>
          <t>WHITE FREIGHTLINER</t>
        </is>
      </c>
      <c r="H3304" s="144" t="n">
        <v>1221</v>
      </c>
      <c r="I3304" s="144" t="inlineStr">
        <is>
          <t>COMMERICAL</t>
        </is>
      </c>
    </row>
    <row r="3305" ht="18" customHeight="1" s="7">
      <c r="A3305" s="144" t="inlineStr">
        <is>
          <t>BRENT GORDON</t>
        </is>
      </c>
      <c r="B3305" s="144" t="inlineStr">
        <is>
          <t>059553186 GA</t>
        </is>
      </c>
      <c r="C3305" s="144" t="inlineStr">
        <is>
          <t>MAYBACH</t>
        </is>
      </c>
      <c r="D3305" s="144" t="n">
        <v>4044094088</v>
      </c>
      <c r="E3305" s="144" t="inlineStr">
        <is>
          <t>BOX</t>
        </is>
      </c>
      <c r="F3305" s="144" t="inlineStr">
        <is>
          <t>P1313198 IL</t>
        </is>
      </c>
      <c r="G3305" s="144" t="inlineStr">
        <is>
          <t>WHITE FREIGHTLINER</t>
        </is>
      </c>
      <c r="H3305" s="144" t="n">
        <v>1221</v>
      </c>
      <c r="I3305" s="144" t="inlineStr">
        <is>
          <t>COMMERICAL</t>
        </is>
      </c>
    </row>
    <row r="3306" ht="18" customHeight="1" s="7">
      <c r="A3306" s="144" t="inlineStr">
        <is>
          <t>WILLIE PRICE</t>
        </is>
      </c>
      <c r="B3306" s="144" t="inlineStr">
        <is>
          <t>051077173 GA</t>
        </is>
      </c>
      <c r="C3306" s="144" t="inlineStr">
        <is>
          <t>ROTO ROOTER</t>
        </is>
      </c>
      <c r="D3306" s="144" t="n">
        <v>2294325470</v>
      </c>
      <c r="E3306" s="144" t="inlineStr">
        <is>
          <t>WASTE</t>
        </is>
      </c>
      <c r="F3306" s="144" t="inlineStr">
        <is>
          <t>EJP235 GA</t>
        </is>
      </c>
      <c r="G3306" s="144" t="inlineStr">
        <is>
          <t>WHITE PETERBILT</t>
        </is>
      </c>
      <c r="H3306" s="144" t="inlineStr">
        <is>
          <t>BASEWIDE</t>
        </is>
      </c>
      <c r="I3306" s="144" t="inlineStr">
        <is>
          <t>COMMERICAL</t>
        </is>
      </c>
    </row>
    <row r="3307" ht="18" customHeight="1" s="7">
      <c r="A3307" s="144" t="inlineStr">
        <is>
          <t>OSMAN QASIM</t>
        </is>
      </c>
      <c r="B3307" s="144" t="inlineStr">
        <is>
          <t>H13677597 NB</t>
        </is>
      </c>
      <c r="C3307" s="144" t="inlineStr">
        <is>
          <t>OSMAN TRUCKING</t>
        </is>
      </c>
      <c r="D3307" s="144" t="n">
        <v>9198898023</v>
      </c>
      <c r="E3307" s="144" t="inlineStr">
        <is>
          <t>BOX</t>
        </is>
      </c>
      <c r="F3307" s="144" t="inlineStr">
        <is>
          <t>427639 NB</t>
        </is>
      </c>
      <c r="G3307" s="144" t="inlineStr">
        <is>
          <t>RED FREIGHTLINER</t>
        </is>
      </c>
      <c r="H3307" s="144" t="n">
        <v>1221</v>
      </c>
      <c r="I3307" s="144" t="inlineStr">
        <is>
          <t>COMMERICAL</t>
        </is>
      </c>
    </row>
    <row r="3308" ht="18" customHeight="1" s="7">
      <c r="A3308" s="144" t="inlineStr">
        <is>
          <t xml:space="preserve">RANDY LANE </t>
        </is>
      </c>
      <c r="B3308" s="144" t="inlineStr">
        <is>
          <t>054701908 GA</t>
        </is>
      </c>
      <c r="C3308" s="144" t="inlineStr">
        <is>
          <t>LENOX TRUCKING</t>
        </is>
      </c>
      <c r="D3308" s="144" t="n">
        <v>2295464119</v>
      </c>
      <c r="E3308" s="144" t="inlineStr">
        <is>
          <t>FLAT</t>
        </is>
      </c>
      <c r="F3308" s="144" t="inlineStr">
        <is>
          <t>DFH913 GA</t>
        </is>
      </c>
      <c r="G3308" s="144" t="inlineStr">
        <is>
          <t>BLUE VOLVO</t>
        </is>
      </c>
      <c r="H3308" s="144" t="inlineStr">
        <is>
          <t>BASEWIDE</t>
        </is>
      </c>
      <c r="I3308" s="144" t="inlineStr">
        <is>
          <t>COMMERICAL</t>
        </is>
      </c>
    </row>
    <row r="3309" ht="18" customHeight="1" s="7">
      <c r="A3309" s="144" t="inlineStr">
        <is>
          <t>EDGE DEWEY</t>
        </is>
      </c>
      <c r="B3309" s="144" t="inlineStr">
        <is>
          <t>102782154 SC</t>
        </is>
      </c>
      <c r="C3309" s="144" t="inlineStr">
        <is>
          <t>MERCER TRANS</t>
        </is>
      </c>
      <c r="D3309" s="144" t="n">
        <v>4235857349</v>
      </c>
      <c r="E3309" s="144" t="inlineStr">
        <is>
          <t>FLAT</t>
        </is>
      </c>
      <c r="F3309" s="144" t="inlineStr">
        <is>
          <t>3755129 IN</t>
        </is>
      </c>
      <c r="G3309" s="144" t="inlineStr">
        <is>
          <t>BLACK PETERBILT</t>
        </is>
      </c>
      <c r="H3309" s="144" t="n">
        <v>1221</v>
      </c>
      <c r="I3309" s="144" t="inlineStr">
        <is>
          <t>COMMERICAL</t>
        </is>
      </c>
    </row>
    <row r="3310" ht="18" customHeight="1" s="7">
      <c r="A3310" s="144" t="inlineStr">
        <is>
          <t>KAMALOV SABIRZHON</t>
        </is>
      </c>
      <c r="B3310" s="144" t="inlineStr">
        <is>
          <t>052905993 GA</t>
        </is>
      </c>
      <c r="C3310" s="144" t="inlineStr">
        <is>
          <t>TITAN EXPRESS</t>
        </is>
      </c>
      <c r="D3310" s="144" t="n">
        <v>4047987407</v>
      </c>
      <c r="E3310" s="144" t="inlineStr">
        <is>
          <t>FLAT</t>
        </is>
      </c>
      <c r="F3310" s="144" t="inlineStr">
        <is>
          <t>PWV8334 OH</t>
        </is>
      </c>
      <c r="G3310" s="144" t="inlineStr">
        <is>
          <t>WHITE FREIGHTLINER</t>
        </is>
      </c>
      <c r="H3310" s="144" t="n">
        <v>1221</v>
      </c>
      <c r="I3310" s="144" t="inlineStr">
        <is>
          <t>COMMERICAL</t>
        </is>
      </c>
    </row>
    <row r="3311" ht="18" customHeight="1" s="7">
      <c r="A3311" s="144" t="inlineStr">
        <is>
          <t>CHARLES DARRELL</t>
        </is>
      </c>
      <c r="B3311" s="144" t="inlineStr">
        <is>
          <t>149582118 TN</t>
        </is>
      </c>
      <c r="C3311" s="144" t="inlineStr">
        <is>
          <t>MERCER TRANS</t>
        </is>
      </c>
      <c r="D3311" s="144" t="n">
        <v>6063696299</v>
      </c>
      <c r="E3311" s="144" t="inlineStr">
        <is>
          <t>FLAT</t>
        </is>
      </c>
      <c r="F3311" s="144" t="inlineStr">
        <is>
          <t>3010163 IN</t>
        </is>
      </c>
      <c r="G3311" s="144" t="inlineStr">
        <is>
          <t>PURPLE FREIGHTLINER</t>
        </is>
      </c>
      <c r="H3311" s="144" t="n">
        <v>1221</v>
      </c>
      <c r="I3311" s="144" t="inlineStr">
        <is>
          <t>COMMERICAL</t>
        </is>
      </c>
    </row>
    <row r="3312" ht="18" customHeight="1" s="7">
      <c r="A3312" s="144" t="inlineStr">
        <is>
          <t>MOKHOV ANTON</t>
        </is>
      </c>
      <c r="B3312" s="144" t="inlineStr">
        <is>
          <t>M625980639000 FL</t>
        </is>
      </c>
      <c r="C3312" s="144" t="inlineStr">
        <is>
          <t>A&amp;M CARRIERS</t>
        </is>
      </c>
      <c r="D3312" s="144" t="n">
        <v>90422762408</v>
      </c>
      <c r="E3312" s="144" t="inlineStr">
        <is>
          <t>FLAT</t>
        </is>
      </c>
      <c r="F3312" s="144" t="inlineStr">
        <is>
          <t>P12778882 IL</t>
        </is>
      </c>
      <c r="G3312" s="144" t="inlineStr">
        <is>
          <t>WHITE MACK</t>
        </is>
      </c>
      <c r="H3312" s="144" t="n">
        <v>1221</v>
      </c>
      <c r="I3312" s="144" t="inlineStr">
        <is>
          <t>COMMERICAL</t>
        </is>
      </c>
    </row>
    <row r="3313" ht="18" customHeight="1" s="7">
      <c r="A3313" s="144" t="inlineStr">
        <is>
          <t>ROBERTO BOZA</t>
        </is>
      </c>
      <c r="B3313" s="144" t="inlineStr">
        <is>
          <t>10143481 AL</t>
        </is>
      </c>
      <c r="C3313" s="144" t="inlineStr">
        <is>
          <t>COSMO EXPEDITE</t>
        </is>
      </c>
      <c r="D3313" s="144" t="n">
        <v>2567467733</v>
      </c>
      <c r="E3313" s="144" t="inlineStr">
        <is>
          <t>BOX</t>
        </is>
      </c>
      <c r="F3313" s="144" t="inlineStr">
        <is>
          <t>P1223200 IL</t>
        </is>
      </c>
      <c r="G3313" s="144" t="inlineStr">
        <is>
          <t>WHITE VOLVO</t>
        </is>
      </c>
      <c r="H3313" s="144" t="n">
        <v>1221</v>
      </c>
      <c r="I3313" s="144" t="inlineStr">
        <is>
          <t>COMMERICAL</t>
        </is>
      </c>
    </row>
    <row r="3314" ht="18" customHeight="1" s="7">
      <c r="A3314" s="144" t="inlineStr">
        <is>
          <t>BRAIN ARRANT</t>
        </is>
      </c>
      <c r="B3314" s="144" t="inlineStr">
        <is>
          <t>005927807 LA</t>
        </is>
      </c>
      <c r="C3314" s="144" t="inlineStr">
        <is>
          <t>LANDSTAR</t>
        </is>
      </c>
      <c r="D3314" s="144" t="n">
        <v>3375155704</v>
      </c>
      <c r="E3314" s="144" t="inlineStr">
        <is>
          <t>FLAT</t>
        </is>
      </c>
      <c r="F3314" s="144" t="inlineStr">
        <is>
          <t>3484176 IN</t>
        </is>
      </c>
      <c r="G3314" s="144" t="inlineStr">
        <is>
          <t>BLUE KENWORTH</t>
        </is>
      </c>
      <c r="H3314" s="144" t="n">
        <v>1221</v>
      </c>
      <c r="I3314" s="144" t="inlineStr">
        <is>
          <t>COMMERICAL</t>
        </is>
      </c>
    </row>
    <row r="3315" ht="18" customHeight="1" s="7">
      <c r="A3315" s="144" t="inlineStr">
        <is>
          <t>SILVEIRA DONIETSKY</t>
        </is>
      </c>
      <c r="B3315" s="144" t="inlineStr">
        <is>
          <t>S416160842130 FL</t>
        </is>
      </c>
      <c r="C3315" s="144" t="inlineStr">
        <is>
          <t>LANDSTAR</t>
        </is>
      </c>
      <c r="D3315" s="144" t="n">
        <v>5123184205</v>
      </c>
      <c r="E3315" s="144" t="inlineStr">
        <is>
          <t>FLAT</t>
        </is>
      </c>
      <c r="F3315" s="144" t="inlineStr">
        <is>
          <t>3732140 IN</t>
        </is>
      </c>
      <c r="G3315" s="144" t="inlineStr">
        <is>
          <t>BLACK VOLVO</t>
        </is>
      </c>
      <c r="H3315" s="144" t="n">
        <v>1221</v>
      </c>
      <c r="I3315" s="144" t="inlineStr">
        <is>
          <t>COMMERICAL</t>
        </is>
      </c>
    </row>
    <row r="3316" ht="18" customHeight="1" s="7">
      <c r="A3316" s="144" t="inlineStr">
        <is>
          <t>JEFFERY HANKINS</t>
        </is>
      </c>
      <c r="B3316" s="144" t="inlineStr">
        <is>
          <t>H525390603959 MI</t>
        </is>
      </c>
      <c r="C3316" s="144" t="inlineStr">
        <is>
          <t>JP TRUCKING</t>
        </is>
      </c>
      <c r="D3316" s="144" t="n">
        <v>9894295007</v>
      </c>
      <c r="E3316" s="144" t="inlineStr">
        <is>
          <t>BOX</t>
        </is>
      </c>
      <c r="F3316" s="144" t="inlineStr">
        <is>
          <t>3246537 IN</t>
        </is>
      </c>
      <c r="G3316" s="144" t="inlineStr">
        <is>
          <t>BLUE WESTER</t>
        </is>
      </c>
      <c r="H3316" s="144" t="n">
        <v>1221</v>
      </c>
      <c r="I3316" s="144" t="inlineStr">
        <is>
          <t>COMMERICAL</t>
        </is>
      </c>
    </row>
    <row r="3317" ht="18" customHeight="1" s="7">
      <c r="A3317" s="144" t="inlineStr">
        <is>
          <t>ERIC COOPER</t>
        </is>
      </c>
      <c r="B3317" s="144" t="inlineStr">
        <is>
          <t>8840659 AL</t>
        </is>
      </c>
      <c r="C3317" s="144" t="inlineStr">
        <is>
          <t>A&amp;M CARRIERS</t>
        </is>
      </c>
      <c r="D3317" s="144" t="n">
        <v>7064023062</v>
      </c>
      <c r="E3317" s="144" t="inlineStr">
        <is>
          <t>FLAT</t>
        </is>
      </c>
      <c r="F3317" s="144" t="inlineStr">
        <is>
          <t>P1111206 IL</t>
        </is>
      </c>
      <c r="G3317" s="144" t="inlineStr">
        <is>
          <t>GRAY MACK</t>
        </is>
      </c>
      <c r="H3317" s="144" t="n">
        <v>1221</v>
      </c>
      <c r="I3317" s="144" t="inlineStr">
        <is>
          <t>COMMERICAL</t>
        </is>
      </c>
    </row>
    <row r="3318" ht="18" customHeight="1" s="7">
      <c r="A3318" s="144" t="inlineStr">
        <is>
          <t>SHAKHBAZOV ZAKARIYA</t>
        </is>
      </c>
      <c r="B3318" s="144" t="inlineStr">
        <is>
          <t>056325924 GA</t>
        </is>
      </c>
      <c r="C3318" s="144" t="inlineStr">
        <is>
          <t>ZAKS TRANS</t>
        </is>
      </c>
      <c r="D3318" s="144" t="n">
        <v>4045197366</v>
      </c>
      <c r="E3318" s="144" t="inlineStr">
        <is>
          <t>FLAT</t>
        </is>
      </c>
      <c r="F3318" s="144" t="inlineStr">
        <is>
          <t>C573EU GA</t>
        </is>
      </c>
      <c r="G3318" s="144" t="inlineStr">
        <is>
          <t>RED FREIGHTLINER</t>
        </is>
      </c>
      <c r="H3318" s="144" t="n">
        <v>1221</v>
      </c>
      <c r="I3318" s="144" t="inlineStr">
        <is>
          <t>COMMERICAL</t>
        </is>
      </c>
    </row>
    <row r="3319" ht="18" customHeight="1" s="7">
      <c r="A3319" s="144" t="inlineStr">
        <is>
          <t>CADENOVIC SRDAN</t>
        </is>
      </c>
      <c r="B3319" s="144" t="inlineStr">
        <is>
          <t>C3517806729202 WI</t>
        </is>
      </c>
      <c r="C3319" s="144" t="inlineStr">
        <is>
          <t>YUGOS LOGISTICS</t>
        </is>
      </c>
      <c r="D3319" s="144" t="n">
        <v>7036279347</v>
      </c>
      <c r="E3319" s="144" t="inlineStr">
        <is>
          <t>BOX</t>
        </is>
      </c>
      <c r="F3319" s="144" t="inlineStr">
        <is>
          <t>P1284191 IL</t>
        </is>
      </c>
      <c r="G3319" s="144" t="inlineStr">
        <is>
          <t>WHITE MACK</t>
        </is>
      </c>
      <c r="H3319" s="144" t="n">
        <v>1221</v>
      </c>
      <c r="I3319" s="144" t="inlineStr">
        <is>
          <t>COMMERICAL</t>
        </is>
      </c>
    </row>
    <row r="3320" ht="18" customHeight="1" s="7">
      <c r="A3320" s="144" t="inlineStr">
        <is>
          <t>ROBERT SMITH</t>
        </is>
      </c>
      <c r="B3320" s="144" t="inlineStr">
        <is>
          <t>061856006 GA</t>
        </is>
      </c>
      <c r="C3320" s="144" t="inlineStr">
        <is>
          <t xml:space="preserve">BENNETT </t>
        </is>
      </c>
      <c r="D3320" s="144" t="n">
        <v>6784302389</v>
      </c>
      <c r="E3320" s="144" t="inlineStr">
        <is>
          <t>FLAT</t>
        </is>
      </c>
      <c r="F3320" s="144" t="inlineStr">
        <is>
          <t>P1258370 IL</t>
        </is>
      </c>
      <c r="G3320" s="144" t="inlineStr">
        <is>
          <t>WHITE INTERNATIONAL</t>
        </is>
      </c>
      <c r="H3320" s="144" t="n">
        <v>1221</v>
      </c>
      <c r="I3320" s="144" t="inlineStr">
        <is>
          <t>COMMERICAL</t>
        </is>
      </c>
    </row>
    <row r="3321" ht="18" customHeight="1" s="7">
      <c r="A3321" s="144" t="inlineStr">
        <is>
          <t>BENNIE WHITEHEAD</t>
        </is>
      </c>
      <c r="B3321" s="144" t="inlineStr">
        <is>
          <t>*055343772 GA</t>
        </is>
      </c>
      <c r="C3321" s="144" t="inlineStr">
        <is>
          <t>CONCRETE ENTERP</t>
        </is>
      </c>
      <c r="D3321" s="144" t="n">
        <v>2298881904</v>
      </c>
      <c r="E3321" s="144" t="inlineStr">
        <is>
          <t>PUMP</t>
        </is>
      </c>
      <c r="F3321" s="144" t="inlineStr">
        <is>
          <t>EP1576 GA</t>
        </is>
      </c>
      <c r="G3321" s="144" t="inlineStr">
        <is>
          <t>WHITE INTERNATIONAL</t>
        </is>
      </c>
      <c r="H3321" s="144" t="inlineStr">
        <is>
          <t>GATE 15</t>
        </is>
      </c>
      <c r="I3321" s="144" t="inlineStr">
        <is>
          <t>COMMERCIAL</t>
        </is>
      </c>
    </row>
    <row r="3322" ht="18" customHeight="1" s="7">
      <c r="A3322" s="144" t="inlineStr">
        <is>
          <t>JEFFERY CARTER</t>
        </is>
      </c>
      <c r="B3322" s="144" t="inlineStr">
        <is>
          <t>019444639 GA</t>
        </is>
      </c>
      <c r="C3322" s="144" t="inlineStr">
        <is>
          <t>CROWN LIFT</t>
        </is>
      </c>
      <c r="D3322" s="144" t="n">
        <v>2293889500</v>
      </c>
      <c r="E3322" s="144" t="inlineStr">
        <is>
          <t>VAN</t>
        </is>
      </c>
      <c r="F3322" s="144" t="inlineStr">
        <is>
          <t>RLR7466 GA</t>
        </is>
      </c>
      <c r="G3322" s="144" t="inlineStr">
        <is>
          <t>WHITE FORD</t>
        </is>
      </c>
      <c r="H3322" s="144" t="n">
        <v>1361</v>
      </c>
      <c r="I3322" s="144" t="inlineStr">
        <is>
          <t>CONTRACTOR</t>
        </is>
      </c>
    </row>
    <row r="3323" ht="18" customHeight="1" s="7">
      <c r="A3323" s="144" t="inlineStr">
        <is>
          <t>JAMAR MICKENS</t>
        </is>
      </c>
      <c r="B3323" s="144" t="inlineStr">
        <is>
          <t>033835677 GA</t>
        </is>
      </c>
      <c r="C3323" s="144" t="inlineStr">
        <is>
          <t>ATS INTERMODAL</t>
        </is>
      </c>
      <c r="D3323" s="144" t="n">
        <v>9044421254</v>
      </c>
      <c r="E3323" s="144" t="inlineStr">
        <is>
          <t>BOX</t>
        </is>
      </c>
      <c r="F3323" s="144" t="inlineStr">
        <is>
          <t>3811787 IN</t>
        </is>
      </c>
      <c r="G3323" s="144" t="inlineStr">
        <is>
          <t>WHITE INTERNATIONAL</t>
        </is>
      </c>
      <c r="H3323" s="144" t="n">
        <v>1221</v>
      </c>
      <c r="I3323" s="144" t="inlineStr">
        <is>
          <t>COMMERICAL</t>
        </is>
      </c>
    </row>
    <row r="3324" ht="18" customHeight="1" s="7">
      <c r="A3324" s="144" t="inlineStr">
        <is>
          <t>EMENOV VALERII</t>
        </is>
      </c>
      <c r="B3324" s="144" t="inlineStr">
        <is>
          <t>E634936483000 FL</t>
        </is>
      </c>
      <c r="C3324" s="144" t="inlineStr">
        <is>
          <t>SHK WAY</t>
        </is>
      </c>
      <c r="D3324" s="144" t="n">
        <v>9139447307</v>
      </c>
      <c r="E3324" s="144" t="inlineStr">
        <is>
          <t>BOX</t>
        </is>
      </c>
      <c r="F3324" s="144" t="inlineStr">
        <is>
          <t>P1211705 IL</t>
        </is>
      </c>
      <c r="G3324" s="144" t="inlineStr">
        <is>
          <t>WHITE VOLVO</t>
        </is>
      </c>
      <c r="H3324" s="144" t="n">
        <v>1221</v>
      </c>
      <c r="I3324" s="144" t="inlineStr">
        <is>
          <t>COMMERICAL</t>
        </is>
      </c>
    </row>
    <row r="3325" ht="18" customHeight="1" s="7">
      <c r="A3325" s="144" t="inlineStr">
        <is>
          <t>SHERROD CLIFTON</t>
        </is>
      </c>
      <c r="B3325" s="144" t="inlineStr">
        <is>
          <t>S630112740310 FL</t>
        </is>
      </c>
      <c r="C3325" s="144" t="inlineStr">
        <is>
          <t>MCLANE</t>
        </is>
      </c>
      <c r="D3325" s="144" t="n">
        <v>9548267049</v>
      </c>
      <c r="E3325" s="144" t="inlineStr">
        <is>
          <t>BOX</t>
        </is>
      </c>
      <c r="F3325" s="144" t="inlineStr">
        <is>
          <t>P860930 IL</t>
        </is>
      </c>
      <c r="G3325" s="144" t="inlineStr">
        <is>
          <t>WHITE INTERNATIONAL</t>
        </is>
      </c>
      <c r="H3325" s="144" t="n">
        <v>7501</v>
      </c>
      <c r="I3325" s="144" t="inlineStr">
        <is>
          <t>COMMERICAL</t>
        </is>
      </c>
    </row>
    <row r="3326" ht="18" customHeight="1" s="7">
      <c r="A3326" s="144" t="inlineStr">
        <is>
          <t>JAMES DAY</t>
        </is>
      </c>
      <c r="B3326" s="144" t="inlineStr">
        <is>
          <t>055995499 GA</t>
        </is>
      </c>
      <c r="C3326" s="144" t="inlineStr">
        <is>
          <t>GA ELECTRIC</t>
        </is>
      </c>
      <c r="D3326" s="144" t="n">
        <v>2294058781</v>
      </c>
      <c r="E3326" s="144" t="inlineStr">
        <is>
          <t>PU</t>
        </is>
      </c>
      <c r="F3326" s="144" t="inlineStr">
        <is>
          <t>RTF2021 GA</t>
        </is>
      </c>
      <c r="G3326" s="144" t="inlineStr">
        <is>
          <t>WHITE GMC</t>
        </is>
      </c>
      <c r="H3326" s="144" t="n">
        <v>7500</v>
      </c>
      <c r="I3326" s="144" t="inlineStr">
        <is>
          <t>CONTRACTOR</t>
        </is>
      </c>
    </row>
    <row r="3327" ht="18" customHeight="1" s="7">
      <c r="A3327" s="144" t="inlineStr">
        <is>
          <t>ACOSTA ISRAEL</t>
        </is>
      </c>
      <c r="B3327" s="144" t="inlineStr">
        <is>
          <t>34752208 TX</t>
        </is>
      </c>
      <c r="C3327" s="144" t="inlineStr">
        <is>
          <t>GERMANS QWIK</t>
        </is>
      </c>
      <c r="D3327" s="144" t="n">
        <v>9726320544</v>
      </c>
      <c r="E3327" s="144" t="inlineStr">
        <is>
          <t>PU</t>
        </is>
      </c>
      <c r="F3327" s="144" t="inlineStr">
        <is>
          <t>XDC8916 TX</t>
        </is>
      </c>
      <c r="G3327" s="144" t="inlineStr">
        <is>
          <t>WHITE CVEV</t>
        </is>
      </c>
      <c r="H3327" s="144" t="n">
        <v>1221</v>
      </c>
      <c r="I3327" s="144" t="inlineStr">
        <is>
          <t>CONTRACTOR</t>
        </is>
      </c>
    </row>
    <row r="3328" ht="18" customHeight="1" s="7">
      <c r="A3328" s="144" t="inlineStr">
        <is>
          <t>CILLI SILVIO</t>
        </is>
      </c>
      <c r="B3328" s="144" t="inlineStr">
        <is>
          <t>C400780670420 FL</t>
        </is>
      </c>
      <c r="C3328" s="144" t="inlineStr">
        <is>
          <t>FEDEX</t>
        </is>
      </c>
      <c r="D3328" s="144" t="n">
        <v>3477717380</v>
      </c>
      <c r="E3328" s="144" t="inlineStr">
        <is>
          <t>BOX</t>
        </is>
      </c>
      <c r="F3328" s="144" t="inlineStr">
        <is>
          <t>PWY9876 OH</t>
        </is>
      </c>
      <c r="G3328" s="144" t="inlineStr">
        <is>
          <t>WESTERNSTAR</t>
        </is>
      </c>
      <c r="H3328" s="144" t="n">
        <v>1221</v>
      </c>
      <c r="I3328" s="144" t="inlineStr">
        <is>
          <t>COMMERICAL</t>
        </is>
      </c>
    </row>
    <row r="3329" ht="18" customHeight="1" s="7">
      <c r="A3329" s="144" t="inlineStr">
        <is>
          <t>STEVEN PUTNEL</t>
        </is>
      </c>
      <c r="B3329" s="144" t="inlineStr">
        <is>
          <t>14358725 TX</t>
        </is>
      </c>
      <c r="C3329" s="144" t="inlineStr">
        <is>
          <t>FAST TRANSP.</t>
        </is>
      </c>
      <c r="D3329" s="144" t="n">
        <v>6825532089</v>
      </c>
      <c r="E3329" s="144" t="inlineStr">
        <is>
          <t>FLAT</t>
        </is>
      </c>
      <c r="F3329" s="144" t="inlineStr">
        <is>
          <t>R763030 TX</t>
        </is>
      </c>
      <c r="G3329" s="144" t="inlineStr">
        <is>
          <t>TAN PETERBILT</t>
        </is>
      </c>
      <c r="H3329" s="144" t="n">
        <v>1221</v>
      </c>
      <c r="I3329" s="144" t="inlineStr">
        <is>
          <t>COMMERICAL</t>
        </is>
      </c>
    </row>
    <row r="3330" ht="18" customHeight="1" s="7">
      <c r="A3330" s="144" t="inlineStr">
        <is>
          <t>HUNTER TERRY</t>
        </is>
      </c>
      <c r="B3330" s="144" t="inlineStr">
        <is>
          <t>072568817 GA</t>
        </is>
      </c>
      <c r="C3330" s="144" t="inlineStr">
        <is>
          <t>BAKER ROOFING</t>
        </is>
      </c>
      <c r="D3330" s="144" t="n">
        <v>3369183108</v>
      </c>
      <c r="E3330" s="144" t="inlineStr">
        <is>
          <t>PU</t>
        </is>
      </c>
      <c r="F3330" s="144" t="inlineStr">
        <is>
          <t>P681050 SC</t>
        </is>
      </c>
      <c r="G3330" s="144" t="inlineStr">
        <is>
          <t>WHITE CHEV</t>
        </is>
      </c>
      <c r="H3330" s="144" t="n">
        <v>7501</v>
      </c>
      <c r="I3330" s="144" t="inlineStr">
        <is>
          <t>CONTRACTOR</t>
        </is>
      </c>
    </row>
    <row r="3331" ht="18" customHeight="1" s="7">
      <c r="A3331" s="144" t="inlineStr">
        <is>
          <t>RANDY GRAY</t>
        </is>
      </c>
      <c r="B3331" s="144" t="inlineStr">
        <is>
          <t>52003707 TX</t>
        </is>
      </c>
      <c r="C3331" s="144" t="inlineStr">
        <is>
          <t>GRAY TRUCKING</t>
        </is>
      </c>
      <c r="D3331" s="144" t="n">
        <v>3234892640</v>
      </c>
      <c r="E3331" s="144" t="inlineStr">
        <is>
          <t>BOX</t>
        </is>
      </c>
      <c r="F3331" s="144" t="inlineStr">
        <is>
          <t>99R38N TX</t>
        </is>
      </c>
      <c r="G3331" s="144" t="inlineStr">
        <is>
          <t>GREEN FREIGHTLINER</t>
        </is>
      </c>
      <c r="H3331" s="144" t="n">
        <v>1221</v>
      </c>
      <c r="I3331" s="144" t="inlineStr">
        <is>
          <t>COMMERICAL</t>
        </is>
      </c>
    </row>
    <row r="3332" ht="18" customHeight="1" s="7">
      <c r="A3332" s="144" t="inlineStr">
        <is>
          <t>DESMOND HALE</t>
        </is>
      </c>
      <c r="B3332" s="144" t="inlineStr">
        <is>
          <t>F906068443215 MN</t>
        </is>
      </c>
      <c r="C3332" s="144" t="inlineStr">
        <is>
          <t>DK TRANS</t>
        </is>
      </c>
      <c r="D3332" s="144" t="n">
        <v>5743039516</v>
      </c>
      <c r="E3332" s="144" t="inlineStr">
        <is>
          <t>PU</t>
        </is>
      </c>
      <c r="F3332" s="144" t="inlineStr">
        <is>
          <t>6872PRA MN</t>
        </is>
      </c>
      <c r="G3332" s="144" t="inlineStr">
        <is>
          <t>GRAY DODGE</t>
        </is>
      </c>
      <c r="H3332" s="144" t="n">
        <v>1221</v>
      </c>
      <c r="I3332" s="144" t="inlineStr">
        <is>
          <t>CONTRACTOR</t>
        </is>
      </c>
    </row>
    <row r="3333" ht="18" customHeight="1" s="7">
      <c r="A3333" s="144" t="inlineStr">
        <is>
          <t>EROKTAY OSMAN</t>
        </is>
      </c>
      <c r="B3333" s="144" t="inlineStr">
        <is>
          <t>13430453 TX</t>
        </is>
      </c>
      <c r="C3333" s="144" t="inlineStr">
        <is>
          <t>TURQUOISE FRIGHT</t>
        </is>
      </c>
      <c r="D3333" s="144" t="n">
        <v>7137326177</v>
      </c>
      <c r="E3333" s="144" t="inlineStr">
        <is>
          <t>BOX</t>
        </is>
      </c>
      <c r="F3333" s="144" t="inlineStr">
        <is>
          <t>R656298 TX</t>
        </is>
      </c>
      <c r="G3333" s="144" t="inlineStr">
        <is>
          <t>WHITE VOLVO</t>
        </is>
      </c>
      <c r="H3333" s="144" t="n">
        <v>1221</v>
      </c>
      <c r="I3333" s="144" t="inlineStr">
        <is>
          <t>COMMERICAL</t>
        </is>
      </c>
    </row>
    <row r="3334" ht="18" customHeight="1" s="7">
      <c r="A3334" s="144" t="inlineStr">
        <is>
          <t>CHRISTOPHER GRIMSLEY</t>
        </is>
      </c>
      <c r="B3334" s="144" t="inlineStr">
        <is>
          <t>*059339641 GA</t>
        </is>
      </c>
      <c r="C3334" s="144" t="inlineStr">
        <is>
          <t>L&amp;K</t>
        </is>
      </c>
      <c r="D3334" s="144" t="n">
        <v>3342021257</v>
      </c>
      <c r="E3334" s="144" t="inlineStr">
        <is>
          <t>BOX</t>
        </is>
      </c>
      <c r="F3334" s="144" t="inlineStr">
        <is>
          <t>C783C7 GA</t>
        </is>
      </c>
      <c r="G3334" s="144" t="inlineStr">
        <is>
          <t>RED FREIGHTLINER</t>
        </is>
      </c>
      <c r="H3334" s="144" t="n">
        <v>1221</v>
      </c>
      <c r="I3334" s="144" t="inlineStr">
        <is>
          <t>COMMERCIAL</t>
        </is>
      </c>
    </row>
    <row r="3335" ht="18" customHeight="1" s="7">
      <c r="A3335" s="144" t="inlineStr">
        <is>
          <t>CHAD BATES</t>
        </is>
      </c>
      <c r="B3335" s="144" t="inlineStr">
        <is>
          <t>*053091480 GA</t>
        </is>
      </c>
      <c r="C3335" s="144" t="inlineStr">
        <is>
          <t>AGRICULTURE COMMERCE</t>
        </is>
      </c>
      <c r="D3335" s="144" t="n">
        <v>2294129760</v>
      </c>
      <c r="E3335" s="144" t="inlineStr">
        <is>
          <t>PU</t>
        </is>
      </c>
      <c r="F3335" s="144" t="inlineStr">
        <is>
          <t>GV3565U GA</t>
        </is>
      </c>
      <c r="G3335" s="144" t="inlineStr">
        <is>
          <t>GRAY FORD</t>
        </is>
      </c>
      <c r="H3335" s="144" t="n">
        <v>5400</v>
      </c>
      <c r="I3335" s="144" t="inlineStr">
        <is>
          <t>CONTRACTOR</t>
        </is>
      </c>
    </row>
    <row r="3336" ht="18" customHeight="1" s="7">
      <c r="A3336" s="144" t="inlineStr">
        <is>
          <t xml:space="preserve">MCCOY JONATHAN </t>
        </is>
      </c>
      <c r="B3336" s="144" t="inlineStr">
        <is>
          <t>112163258 WY</t>
        </is>
      </c>
      <c r="C3336" s="144" t="inlineStr">
        <is>
          <t>GOIN MOBLIE</t>
        </is>
      </c>
      <c r="D3336" s="144" t="n">
        <v>3073152929</v>
      </c>
      <c r="E3336" s="144" t="inlineStr">
        <is>
          <t>BOX</t>
        </is>
      </c>
      <c r="F3336" s="144" t="inlineStr">
        <is>
          <t>BEBP65 CO</t>
        </is>
      </c>
      <c r="G3336" s="144" t="inlineStr">
        <is>
          <t>WHITE KENWORTH</t>
        </is>
      </c>
      <c r="H3336" s="144" t="n">
        <v>1221</v>
      </c>
      <c r="I3336" s="144" t="inlineStr">
        <is>
          <t>COMMERCIAL</t>
        </is>
      </c>
    </row>
    <row r="3337" ht="18" customHeight="1" s="7">
      <c r="A3337" s="144" t="inlineStr">
        <is>
          <t>MOHAMED YONIS</t>
        </is>
      </c>
      <c r="B3337" s="144" t="inlineStr">
        <is>
          <t>Z000164125400 MN</t>
        </is>
      </c>
      <c r="C3337" s="144" t="inlineStr">
        <is>
          <t>B MAX</t>
        </is>
      </c>
      <c r="D3337" s="144" t="n">
        <v>6143773280</v>
      </c>
      <c r="E3337" s="144" t="inlineStr">
        <is>
          <t>BOX</t>
        </is>
      </c>
      <c r="F3337" s="144" t="inlineStr">
        <is>
          <t>PXA6884 OH</t>
        </is>
      </c>
      <c r="G3337" s="144" t="inlineStr">
        <is>
          <t>WHITE VOLVO</t>
        </is>
      </c>
      <c r="H3337" s="144" t="n">
        <v>1221</v>
      </c>
      <c r="I3337" s="144" t="inlineStr">
        <is>
          <t>COMMERCIAL</t>
        </is>
      </c>
    </row>
    <row r="3338" ht="18" customHeight="1" s="7">
      <c r="A3338" s="144" t="inlineStr">
        <is>
          <t xml:space="preserve">RAPHAEL WILSON </t>
        </is>
      </c>
      <c r="B3338" s="144" t="inlineStr">
        <is>
          <t>*056051256 GA</t>
        </is>
      </c>
      <c r="C3338" s="144" t="inlineStr">
        <is>
          <t>SOUTH WEST TRANS</t>
        </is>
      </c>
      <c r="D3338" s="144" t="n">
        <v>4783312002</v>
      </c>
      <c r="E3338" s="144" t="inlineStr">
        <is>
          <t>BUS</t>
        </is>
      </c>
      <c r="F3338" s="144" t="inlineStr">
        <is>
          <t>GV7760L GA</t>
        </is>
      </c>
      <c r="G3338" s="144" t="inlineStr">
        <is>
          <t>WHITE FORD</t>
        </is>
      </c>
      <c r="H3338" s="144" t="inlineStr">
        <is>
          <t>BASEWIDE</t>
        </is>
      </c>
      <c r="I3338" s="144" t="inlineStr">
        <is>
          <t>COMMERCIAL</t>
        </is>
      </c>
    </row>
    <row r="3339" ht="18" customHeight="1" s="7">
      <c r="A3339" s="144" t="inlineStr">
        <is>
          <t>THOMPSON ANTHONY</t>
        </is>
      </c>
      <c r="B3339" s="144" t="inlineStr">
        <is>
          <t>T512004714630 FL</t>
        </is>
      </c>
      <c r="C3339" s="144" t="inlineStr">
        <is>
          <t>FEDEX</t>
        </is>
      </c>
      <c r="D3339" s="144" t="n">
        <v>8503215724</v>
      </c>
      <c r="E3339" s="144" t="inlineStr">
        <is>
          <t>BOX</t>
        </is>
      </c>
      <c r="F3339" s="144" t="inlineStr">
        <is>
          <t>K398HT TN</t>
        </is>
      </c>
      <c r="G3339" s="144" t="inlineStr">
        <is>
          <t>WHITE INTER</t>
        </is>
      </c>
      <c r="H3339" s="144" t="inlineStr">
        <is>
          <t>BASEWIDE</t>
        </is>
      </c>
      <c r="I3339" s="144" t="inlineStr">
        <is>
          <t>COMMERCIAL</t>
        </is>
      </c>
    </row>
    <row r="3340" ht="18" customHeight="1" s="7">
      <c r="A3340" s="144" t="inlineStr">
        <is>
          <t>RITCHY LOUISSAINT</t>
        </is>
      </c>
      <c r="B3340" s="144" t="inlineStr">
        <is>
          <t>L253721001620 FL</t>
        </is>
      </c>
      <c r="C3340" s="144" t="inlineStr">
        <is>
          <t>MP CARRIERS</t>
        </is>
      </c>
      <c r="D3340" s="144" t="n">
        <v>9546751889</v>
      </c>
      <c r="E3340" s="144" t="inlineStr">
        <is>
          <t>BOX</t>
        </is>
      </c>
      <c r="F3340" s="144" t="inlineStr">
        <is>
          <t>P1310039 IL</t>
        </is>
      </c>
      <c r="G3340" s="144" t="inlineStr">
        <is>
          <t>GREY FREIGHTLINER</t>
        </is>
      </c>
      <c r="H3340" s="144" t="n">
        <v>1221</v>
      </c>
      <c r="I3340" s="144" t="inlineStr">
        <is>
          <t>COMMERCIAL</t>
        </is>
      </c>
    </row>
    <row r="3341" ht="18" customHeight="1" s="7">
      <c r="A3341" s="144" t="inlineStr">
        <is>
          <t xml:space="preserve">JACOB PRICE </t>
        </is>
      </c>
      <c r="B3341" s="144" t="inlineStr">
        <is>
          <t>T65428485 VA</t>
        </is>
      </c>
      <c r="C3341" s="144" t="inlineStr">
        <is>
          <t>SUGARFORK TRANS</t>
        </is>
      </c>
      <c r="D3341" s="144" t="n">
        <v>8043829143</v>
      </c>
      <c r="E3341" s="144" t="inlineStr">
        <is>
          <t>FLAT</t>
        </is>
      </c>
      <c r="F3341" s="144" t="inlineStr">
        <is>
          <t>17560 VA</t>
        </is>
      </c>
      <c r="G3341" s="144" t="inlineStr">
        <is>
          <t>SILVER PETERBILT</t>
        </is>
      </c>
      <c r="H3341" s="144" t="n">
        <v>1221</v>
      </c>
      <c r="I3341" s="144" t="inlineStr">
        <is>
          <t>COMMERCIAL</t>
        </is>
      </c>
    </row>
    <row r="3342" ht="18" customHeight="1" s="7">
      <c r="A3342" s="144" t="inlineStr">
        <is>
          <t>MARTINEZ JUAN MIGUEL</t>
        </is>
      </c>
      <c r="B3342" s="144" t="inlineStr">
        <is>
          <t>2105044359 NV</t>
        </is>
      </c>
      <c r="C3342" s="144" t="inlineStr">
        <is>
          <t>C1 TRANS</t>
        </is>
      </c>
      <c r="D3342" s="144" t="n">
        <v>7023322577</v>
      </c>
      <c r="E3342" s="144" t="inlineStr">
        <is>
          <t>BOX</t>
        </is>
      </c>
      <c r="F3342" s="144" t="inlineStr">
        <is>
          <t>P1006545 IL</t>
        </is>
      </c>
      <c r="G3342" s="144" t="inlineStr">
        <is>
          <t>BLACK FREIGHTLINER</t>
        </is>
      </c>
      <c r="H3342" s="144" t="n">
        <v>1221</v>
      </c>
      <c r="I3342" s="144" t="inlineStr">
        <is>
          <t>COMMERCIAL</t>
        </is>
      </c>
    </row>
    <row r="3343" ht="18" customHeight="1" s="7">
      <c r="A3343" s="144" t="inlineStr">
        <is>
          <t>SAM HOPE</t>
        </is>
      </c>
      <c r="B3343" s="144" t="inlineStr">
        <is>
          <t>049669825 GA</t>
        </is>
      </c>
      <c r="C3343" s="144" t="inlineStr">
        <is>
          <t>JWJ TRUCKING</t>
        </is>
      </c>
      <c r="D3343" s="144" t="n">
        <v>6785319875</v>
      </c>
      <c r="E3343" s="144" t="inlineStr">
        <is>
          <t>VAN</t>
        </is>
      </c>
      <c r="F3343" s="144" t="inlineStr">
        <is>
          <t>842AXV SC</t>
        </is>
      </c>
      <c r="G3343" s="144" t="inlineStr">
        <is>
          <t>WHITE DODGE</t>
        </is>
      </c>
      <c r="H3343" s="144" t="n">
        <v>1351</v>
      </c>
      <c r="I3343" s="144" t="inlineStr">
        <is>
          <t>CONTRACTOR</t>
        </is>
      </c>
    </row>
    <row r="3344" ht="18" customHeight="1" s="7">
      <c r="A3344" s="144" t="inlineStr">
        <is>
          <t>ALEJANDRO TORRES</t>
        </is>
      </c>
      <c r="B3344" s="144" t="inlineStr">
        <is>
          <t>054216018 GA</t>
        </is>
      </c>
      <c r="C3344" s="144" t="inlineStr">
        <is>
          <t>SRM</t>
        </is>
      </c>
      <c r="D3344" s="144" t="n">
        <v>2293641344</v>
      </c>
      <c r="E3344" s="144" t="inlineStr">
        <is>
          <t>CONCRETE</t>
        </is>
      </c>
      <c r="F3344" s="144" t="inlineStr">
        <is>
          <t>K3443HY TN</t>
        </is>
      </c>
      <c r="G3344" s="144" t="inlineStr">
        <is>
          <t>WHITE CONCRETE</t>
        </is>
      </c>
      <c r="H3344" s="144" t="inlineStr">
        <is>
          <t>GATE 15</t>
        </is>
      </c>
      <c r="I3344" s="144" t="inlineStr">
        <is>
          <t>COMMERCIAL</t>
        </is>
      </c>
    </row>
    <row r="3345" ht="18" customHeight="1" s="7">
      <c r="A3345" s="144" t="inlineStr">
        <is>
          <t>HAMILTON DYWANE</t>
        </is>
      </c>
      <c r="B3345" s="144" t="inlineStr">
        <is>
          <t>000030078674 NC</t>
        </is>
      </c>
      <c r="C3345" s="144" t="inlineStr">
        <is>
          <t>BH TRANS</t>
        </is>
      </c>
      <c r="D3345" s="144" t="n">
        <v>8182842013</v>
      </c>
      <c r="E3345" s="144" t="inlineStr">
        <is>
          <t>FLAT</t>
        </is>
      </c>
      <c r="F3345" s="144" t="inlineStr">
        <is>
          <t>P1229746 IL</t>
        </is>
      </c>
      <c r="G3345" s="144" t="inlineStr">
        <is>
          <t>GREY KENWORTH</t>
        </is>
      </c>
      <c r="H3345" s="144" t="n">
        <v>1221</v>
      </c>
      <c r="I3345" s="144" t="inlineStr">
        <is>
          <t>COMMERCIAL</t>
        </is>
      </c>
    </row>
    <row r="3346" ht="18" customHeight="1" s="7">
      <c r="A3346" s="144" t="inlineStr">
        <is>
          <t>DAVID CONWAY</t>
        </is>
      </c>
      <c r="B3346" s="144" t="inlineStr">
        <is>
          <t>MD10273769116 MD</t>
        </is>
      </c>
      <c r="C3346" s="144" t="inlineStr">
        <is>
          <t>BH TRANS</t>
        </is>
      </c>
      <c r="D3346" s="144" t="n">
        <v>3023994248</v>
      </c>
      <c r="E3346" s="144" t="inlineStr">
        <is>
          <t>FLAT</t>
        </is>
      </c>
      <c r="F3346" s="144" t="inlineStr">
        <is>
          <t>P1232155 IL</t>
        </is>
      </c>
      <c r="G3346" s="144" t="inlineStr">
        <is>
          <t>GREEN KENWORTH</t>
        </is>
      </c>
      <c r="H3346" s="144" t="n">
        <v>1221</v>
      </c>
      <c r="I3346" s="144" t="inlineStr">
        <is>
          <t>COMMERCIAL</t>
        </is>
      </c>
    </row>
    <row r="3347" ht="18" customHeight="1" s="7">
      <c r="A3347" s="144" t="inlineStr">
        <is>
          <t>IRMA LAWSON</t>
        </is>
      </c>
      <c r="B3347" s="144" t="inlineStr">
        <is>
          <t>*055481910 GA</t>
        </is>
      </c>
      <c r="C3347" s="144" t="inlineStr">
        <is>
          <t>COCA COLA</t>
        </is>
      </c>
      <c r="D3347" s="144" t="n">
        <v>2296022497</v>
      </c>
      <c r="E3347" s="144" t="inlineStr">
        <is>
          <t>BOX</t>
        </is>
      </c>
      <c r="F3347" s="144" t="inlineStr">
        <is>
          <t>EIX169 GA</t>
        </is>
      </c>
      <c r="G3347" s="144" t="inlineStr">
        <is>
          <t>RED PETERBILT</t>
        </is>
      </c>
      <c r="H3347" s="144" t="n">
        <v>3500</v>
      </c>
      <c r="I3347" s="144" t="inlineStr">
        <is>
          <t>COMMERCIAL</t>
        </is>
      </c>
    </row>
    <row r="3348" ht="18" customHeight="1" s="7">
      <c r="A3348" s="144" t="inlineStr">
        <is>
          <t>NICHOLAS SCHWARZ</t>
        </is>
      </c>
      <c r="B3348" s="144" t="inlineStr">
        <is>
          <t>S620630983820 FL</t>
        </is>
      </c>
      <c r="C3348" s="144" t="inlineStr">
        <is>
          <t>FED EX</t>
        </is>
      </c>
      <c r="D3348" s="144" t="n">
        <v>2398965791</v>
      </c>
      <c r="E3348" s="144" t="inlineStr">
        <is>
          <t>BOX</t>
        </is>
      </c>
      <c r="F3348" s="144" t="inlineStr">
        <is>
          <t>PWW4492 OH</t>
        </is>
      </c>
      <c r="G3348" s="144" t="inlineStr">
        <is>
          <t>WHITE FRIEGHTLINER</t>
        </is>
      </c>
      <c r="H3348" s="144" t="n">
        <v>1221</v>
      </c>
      <c r="I3348" s="144" t="inlineStr">
        <is>
          <t>COMMERICIAL</t>
        </is>
      </c>
    </row>
    <row r="3349" ht="18" customHeight="1" s="7">
      <c r="A3349" s="144" t="inlineStr">
        <is>
          <t>CHAD BOURQUE</t>
        </is>
      </c>
      <c r="B3349" s="144" t="inlineStr">
        <is>
          <t>007507234 LA</t>
        </is>
      </c>
      <c r="C3349" s="144" t="inlineStr">
        <is>
          <t xml:space="preserve">BOURQUE TRANS </t>
        </is>
      </c>
      <c r="D3349" s="144" t="n">
        <v>3372309404</v>
      </c>
      <c r="E3349" s="144" t="inlineStr">
        <is>
          <t>PU</t>
        </is>
      </c>
      <c r="F3349" s="144" t="inlineStr">
        <is>
          <t>J292002 IL</t>
        </is>
      </c>
      <c r="G3349" s="144" t="inlineStr">
        <is>
          <t>BROWN FORD</t>
        </is>
      </c>
      <c r="H3349" s="144" t="n">
        <v>1221</v>
      </c>
      <c r="I3349" s="144" t="inlineStr">
        <is>
          <t>CONTRACTOR</t>
        </is>
      </c>
    </row>
    <row r="3350" ht="18" customHeight="1" s="7">
      <c r="A3350" s="144" t="inlineStr">
        <is>
          <t xml:space="preserve">JAMES BOWENS </t>
        </is>
      </c>
      <c r="B3350" s="144" t="inlineStr">
        <is>
          <t>051289201 GA</t>
        </is>
      </c>
      <c r="C3350" s="144" t="inlineStr">
        <is>
          <t>COCO COLA</t>
        </is>
      </c>
      <c r="D3350" s="144" t="n">
        <v>2294748717</v>
      </c>
      <c r="E3350" s="144" t="inlineStr">
        <is>
          <t>VAN</t>
        </is>
      </c>
      <c r="F3350" s="144" t="inlineStr">
        <is>
          <t>RDF6869 GA</t>
        </is>
      </c>
      <c r="G3350" s="144" t="inlineStr">
        <is>
          <t>RED FORD</t>
        </is>
      </c>
      <c r="H3350" s="144" t="inlineStr">
        <is>
          <t>BASEWIDE</t>
        </is>
      </c>
      <c r="I3350" s="144" t="inlineStr">
        <is>
          <t>CONTRACTOR</t>
        </is>
      </c>
    </row>
    <row r="3351" ht="18" customHeight="1" s="7">
      <c r="A3351" s="144" t="inlineStr">
        <is>
          <t>ADAM HOLT</t>
        </is>
      </c>
      <c r="B3351" s="144" t="inlineStr">
        <is>
          <t>6797883 AL</t>
        </is>
      </c>
      <c r="C3351" s="144" t="inlineStr">
        <is>
          <t>PATTERSONPOPE</t>
        </is>
      </c>
      <c r="D3351" s="144" t="n">
        <v>2056598491</v>
      </c>
      <c r="E3351" s="144" t="inlineStr">
        <is>
          <t>VAN</t>
        </is>
      </c>
      <c r="F3351" s="144" t="inlineStr">
        <is>
          <t>TW6643 NC</t>
        </is>
      </c>
      <c r="G3351" s="144" t="inlineStr">
        <is>
          <t>WHITE CHEVY</t>
        </is>
      </c>
      <c r="H3351" s="144" t="n">
        <v>1600</v>
      </c>
      <c r="I3351" s="144" t="inlineStr">
        <is>
          <t>CONTRACTOR</t>
        </is>
      </c>
    </row>
    <row r="3352" ht="18" customHeight="1" s="7">
      <c r="A3352" s="144" t="inlineStr">
        <is>
          <t>ANDREW BRESNOCK</t>
        </is>
      </c>
      <c r="B3352" s="144" t="inlineStr">
        <is>
          <t>T65806536 VA</t>
        </is>
      </c>
      <c r="C3352" s="144" t="inlineStr">
        <is>
          <t>RASEY LOG</t>
        </is>
      </c>
      <c r="D3352" s="144" t="n">
        <v>2767801158</v>
      </c>
      <c r="E3352" s="144" t="inlineStr">
        <is>
          <t>PU</t>
        </is>
      </c>
      <c r="F3352" s="144" t="inlineStr">
        <is>
          <t>H488126 TN</t>
        </is>
      </c>
      <c r="G3352" s="144" t="inlineStr">
        <is>
          <t>WHITE FORD</t>
        </is>
      </c>
      <c r="H3352" s="144" t="n">
        <v>1221</v>
      </c>
      <c r="I3352" s="144" t="inlineStr">
        <is>
          <t>CONTRACTOR</t>
        </is>
      </c>
    </row>
    <row r="3353" ht="18" customHeight="1" s="7">
      <c r="A3353" s="144" t="inlineStr">
        <is>
          <t>WESLEY CARTER</t>
        </is>
      </c>
      <c r="B3353" s="144" t="inlineStr">
        <is>
          <t>058253511 GA</t>
        </is>
      </c>
      <c r="C3353" s="144" t="inlineStr">
        <is>
          <t>PEACH STATE KING</t>
        </is>
      </c>
      <c r="D3353" s="144" t="n">
        <v>4786624590</v>
      </c>
      <c r="E3353" s="144" t="inlineStr">
        <is>
          <t>DUMP</t>
        </is>
      </c>
      <c r="F3353" s="144" t="inlineStr">
        <is>
          <t>GLQ234 GA</t>
        </is>
      </c>
      <c r="G3353" s="144" t="inlineStr">
        <is>
          <t>WHITE INTERNATIONAL</t>
        </is>
      </c>
      <c r="H3353" s="144" t="n">
        <v>2200</v>
      </c>
      <c r="I3353" s="144" t="inlineStr">
        <is>
          <t>COMMERCIAL</t>
        </is>
      </c>
    </row>
    <row r="3354" ht="18" customHeight="1" s="7">
      <c r="A3354" s="144" t="inlineStr">
        <is>
          <t>HOLMES DEVONTAE</t>
        </is>
      </c>
      <c r="B3354" s="144" t="inlineStr">
        <is>
          <t>934049238 AR</t>
        </is>
      </c>
      <c r="C3354" s="144" t="inlineStr">
        <is>
          <t>DL TRANS</t>
        </is>
      </c>
      <c r="D3354" s="144" t="n">
        <v>8703975060</v>
      </c>
      <c r="E3354" s="144" t="inlineStr">
        <is>
          <t>PU</t>
        </is>
      </c>
      <c r="F3354" s="144" t="inlineStr">
        <is>
          <t>BGB09X AR</t>
        </is>
      </c>
      <c r="G3354" s="144" t="inlineStr">
        <is>
          <t>WHITE FORD</t>
        </is>
      </c>
      <c r="H3354" s="144" t="n">
        <v>1221</v>
      </c>
      <c r="I3354" s="144" t="inlineStr">
        <is>
          <t>CONTRACTOR</t>
        </is>
      </c>
    </row>
    <row r="3355" ht="18" customHeight="1" s="7">
      <c r="A3355" s="144" t="inlineStr">
        <is>
          <t>BRANDON MULLIKIN</t>
        </is>
      </c>
      <c r="B3355" s="144" t="inlineStr">
        <is>
          <t>052432486 GA</t>
        </is>
      </c>
      <c r="C3355" s="144" t="inlineStr">
        <is>
          <t>BCI</t>
        </is>
      </c>
      <c r="D3355" s="144" t="n">
        <v>4789230103</v>
      </c>
      <c r="E3355" s="144" t="inlineStr">
        <is>
          <t>BOX</t>
        </is>
      </c>
      <c r="F3355" s="144" t="inlineStr">
        <is>
          <t>C627EB GA</t>
        </is>
      </c>
      <c r="G3355" s="144" t="inlineStr">
        <is>
          <t>WHITE MACK</t>
        </is>
      </c>
      <c r="H3355" s="144" t="n">
        <v>1221</v>
      </c>
      <c r="I3355" s="144" t="inlineStr">
        <is>
          <t>COMMERCIAL</t>
        </is>
      </c>
    </row>
    <row r="3356" ht="18" customHeight="1" s="7">
      <c r="A3356" s="144" t="inlineStr">
        <is>
          <t>JASON LAYFIELD</t>
        </is>
      </c>
      <c r="B3356" s="144" t="inlineStr">
        <is>
          <t>055294797 GA</t>
        </is>
      </c>
      <c r="C3356" s="144" t="inlineStr">
        <is>
          <t>COCACOLA</t>
        </is>
      </c>
      <c r="D3356" s="144" t="n">
        <v>2294021620</v>
      </c>
      <c r="E3356" s="144" t="inlineStr">
        <is>
          <t>PU</t>
        </is>
      </c>
      <c r="F3356" s="144" t="inlineStr">
        <is>
          <t>WNT461 GA</t>
        </is>
      </c>
      <c r="G3356" s="144" t="inlineStr">
        <is>
          <t>RED FORD</t>
        </is>
      </c>
      <c r="H3356" s="144" t="inlineStr">
        <is>
          <t>BASE WIDE</t>
        </is>
      </c>
      <c r="I3356" s="144" t="inlineStr">
        <is>
          <t>CONTRACTOR</t>
        </is>
      </c>
    </row>
    <row r="3357" ht="18" customHeight="1" s="7">
      <c r="A3357" s="144" t="inlineStr">
        <is>
          <t>DEON STANLEY</t>
        </is>
      </c>
      <c r="B3357" s="144" t="inlineStr">
        <is>
          <t>058270668 GA</t>
        </is>
      </c>
      <c r="C3357" s="144" t="inlineStr">
        <is>
          <t>KMS EXPRESS</t>
        </is>
      </c>
      <c r="D3357" s="144" t="n">
        <v>4049908117</v>
      </c>
      <c r="E3357" s="144" t="inlineStr">
        <is>
          <t>BOX</t>
        </is>
      </c>
      <c r="F3357" s="144" t="inlineStr">
        <is>
          <t>P1074537 IL</t>
        </is>
      </c>
      <c r="G3357" s="144" t="inlineStr">
        <is>
          <t>WHITE FRIEGHTLINER</t>
        </is>
      </c>
      <c r="H3357" s="144" t="n">
        <v>1221</v>
      </c>
      <c r="I3357" s="144" t="inlineStr">
        <is>
          <t>COMMERCIAL</t>
        </is>
      </c>
    </row>
    <row r="3358" ht="18" customHeight="1" s="7">
      <c r="A3358" s="144" t="inlineStr">
        <is>
          <t xml:space="preserve">DEEQ ALI HARSI </t>
        </is>
      </c>
      <c r="B3358" s="144" t="inlineStr">
        <is>
          <t>39657344 TX</t>
        </is>
      </c>
      <c r="C3358" s="144" t="inlineStr">
        <is>
          <t>SKILL TRANS</t>
        </is>
      </c>
      <c r="D3358" s="144" t="n">
        <v>2062802670</v>
      </c>
      <c r="E3358" s="144" t="inlineStr">
        <is>
          <t>BOX</t>
        </is>
      </c>
      <c r="F3358" s="144" t="inlineStr">
        <is>
          <t>R805234 TX</t>
        </is>
      </c>
      <c r="G3358" s="144" t="inlineStr">
        <is>
          <t>GREY VOLVO</t>
        </is>
      </c>
      <c r="H3358" s="144" t="n">
        <v>1221</v>
      </c>
      <c r="I3358" s="144" t="inlineStr">
        <is>
          <t>COMMERCIAL</t>
        </is>
      </c>
    </row>
    <row r="3359" ht="18" customHeight="1" s="7">
      <c r="A3359" s="144" t="inlineStr">
        <is>
          <t>THOMAS POUPARD</t>
        </is>
      </c>
      <c r="B3359" s="144" t="inlineStr">
        <is>
          <t>050985871 GA</t>
        </is>
      </c>
      <c r="C3359" s="144" t="inlineStr">
        <is>
          <t>STIVER LUMBER</t>
        </is>
      </c>
      <c r="D3359" s="144" t="n">
        <v>2298863785</v>
      </c>
      <c r="E3359" s="144" t="inlineStr">
        <is>
          <t>FLAT</t>
        </is>
      </c>
      <c r="F3359" s="144" t="inlineStr">
        <is>
          <t>EYM466 GA</t>
        </is>
      </c>
      <c r="G3359" s="144" t="inlineStr">
        <is>
          <t>GREY FREIGHTLINER</t>
        </is>
      </c>
      <c r="H3359" s="144" t="n">
        <v>1330</v>
      </c>
      <c r="I3359" s="144" t="inlineStr">
        <is>
          <t>COMMERCIAL</t>
        </is>
      </c>
    </row>
    <row r="3360" ht="18" customHeight="1" s="7">
      <c r="A3360" s="144" t="inlineStr">
        <is>
          <t>ANTHONY BOWEN</t>
        </is>
      </c>
      <c r="B3360" s="144" t="inlineStr">
        <is>
          <t>027449314 GA</t>
        </is>
      </c>
      <c r="C3360" s="144" t="inlineStr">
        <is>
          <t>B&amp;B TRUCKING</t>
        </is>
      </c>
      <c r="D3360" s="144" t="n">
        <v>9122923045</v>
      </c>
      <c r="E3360" s="144" t="inlineStr">
        <is>
          <t>FLAT</t>
        </is>
      </c>
      <c r="F3360" s="144" t="inlineStr">
        <is>
          <t>C409DN GA</t>
        </is>
      </c>
      <c r="G3360" s="144" t="inlineStr">
        <is>
          <t>BLUE PETERBILT</t>
        </is>
      </c>
      <c r="H3360" s="144" t="n">
        <v>1221</v>
      </c>
      <c r="I3360" s="144" t="inlineStr">
        <is>
          <t>COMMERICAL</t>
        </is>
      </c>
    </row>
    <row r="3361" ht="18" customHeight="1" s="7">
      <c r="A3361" s="144" t="inlineStr">
        <is>
          <t>KERNADO THOMAS</t>
        </is>
      </c>
      <c r="B3361" s="144" t="inlineStr">
        <is>
          <t>T520514824251 FL</t>
        </is>
      </c>
      <c r="C3361" s="144" t="inlineStr">
        <is>
          <t>KING YUM</t>
        </is>
      </c>
      <c r="D3361" s="144" t="n">
        <v>2038081412</v>
      </c>
      <c r="E3361" s="144" t="inlineStr">
        <is>
          <t>BOX</t>
        </is>
      </c>
      <c r="F3361" s="144" t="inlineStr">
        <is>
          <t>XE940F FL</t>
        </is>
      </c>
      <c r="G3361" s="144" t="inlineStr">
        <is>
          <t>GREEN PETERBILT</t>
        </is>
      </c>
      <c r="H3361" s="144" t="n">
        <v>1221</v>
      </c>
      <c r="I3361" s="144" t="inlineStr">
        <is>
          <t>COMMERICAL</t>
        </is>
      </c>
    </row>
    <row r="3362" ht="18" customHeight="1" s="7">
      <c r="A3362" s="144" t="inlineStr">
        <is>
          <t>DARRELL GOODEN</t>
        </is>
      </c>
      <c r="B3362" s="144" t="inlineStr">
        <is>
          <t>T64221597 VA</t>
        </is>
      </c>
      <c r="C3362" s="144" t="inlineStr">
        <is>
          <t>NEW RAM</t>
        </is>
      </c>
      <c r="D3362" s="144" t="n">
        <v>8043199622</v>
      </c>
      <c r="E3362" s="144" t="inlineStr">
        <is>
          <t>BOX</t>
        </is>
      </c>
      <c r="F3362" s="144" t="inlineStr">
        <is>
          <t>552697 WI</t>
        </is>
      </c>
      <c r="G3362" s="144" t="inlineStr">
        <is>
          <t>BLUE VOLVO</t>
        </is>
      </c>
      <c r="H3362" s="144" t="n">
        <v>1221</v>
      </c>
      <c r="I3362" s="144" t="inlineStr">
        <is>
          <t>COMMERICAL</t>
        </is>
      </c>
    </row>
    <row r="3363" ht="18" customHeight="1" s="7">
      <c r="A3363" s="144" t="inlineStr">
        <is>
          <t>LICANO TONEY</t>
        </is>
      </c>
      <c r="B3363" s="144" t="inlineStr">
        <is>
          <t>Y6425264 CAL</t>
        </is>
      </c>
      <c r="C3363" s="144" t="inlineStr">
        <is>
          <t>BARNETT</t>
        </is>
      </c>
      <c r="D3363" s="144" t="n">
        <v>9096541337</v>
      </c>
      <c r="E3363" s="144" t="inlineStr">
        <is>
          <t>FLAT</t>
        </is>
      </c>
      <c r="F3363" s="144" t="inlineStr">
        <is>
          <t>ZP61818 CAL</t>
        </is>
      </c>
      <c r="G3363" s="144" t="inlineStr">
        <is>
          <t>BROWN KENWORTH</t>
        </is>
      </c>
      <c r="H3363" s="144" t="n">
        <v>1221</v>
      </c>
      <c r="I3363" s="144" t="inlineStr">
        <is>
          <t>COMMERCIAL</t>
        </is>
      </c>
    </row>
    <row r="3364" ht="18" customHeight="1" s="7">
      <c r="A3364" s="144" t="inlineStr">
        <is>
          <t>GONZALEZ NUNEZ</t>
        </is>
      </c>
      <c r="B3364" s="144" t="inlineStr">
        <is>
          <t>48941525 TX</t>
        </is>
      </c>
      <c r="C3364" s="144" t="inlineStr">
        <is>
          <t>PARAVE</t>
        </is>
      </c>
      <c r="D3364" s="144" t="n">
        <v>5127869104</v>
      </c>
      <c r="E3364" s="144" t="inlineStr">
        <is>
          <t>PU</t>
        </is>
      </c>
      <c r="F3364" s="144" t="inlineStr">
        <is>
          <t>VLX1853 TX</t>
        </is>
      </c>
      <c r="G3364" s="144" t="inlineStr">
        <is>
          <t>WHITE DODGE</t>
        </is>
      </c>
      <c r="H3364" s="144" t="n">
        <v>1221</v>
      </c>
      <c r="I3364" s="144" t="inlineStr">
        <is>
          <t>CONTRACTOR</t>
        </is>
      </c>
    </row>
    <row r="3365" ht="18" customHeight="1" s="7">
      <c r="A3365" s="144" t="inlineStr">
        <is>
          <t>BOSTIC MAURICE</t>
        </is>
      </c>
      <c r="B3365" s="144" t="inlineStr">
        <is>
          <t>103407182 SC</t>
        </is>
      </c>
      <c r="C3365" s="144" t="inlineStr">
        <is>
          <t>MAG CARRIERS</t>
        </is>
      </c>
      <c r="D3365" s="144" t="n">
        <v>3868485233</v>
      </c>
      <c r="E3365" s="144" t="inlineStr">
        <is>
          <t>BOX</t>
        </is>
      </c>
      <c r="F3365" s="144" t="inlineStr">
        <is>
          <t>A007172 SC</t>
        </is>
      </c>
      <c r="G3365" s="144" t="inlineStr">
        <is>
          <t>SILVER VOLVO</t>
        </is>
      </c>
      <c r="H3365" s="144" t="n">
        <v>1221</v>
      </c>
      <c r="I3365" s="144" t="inlineStr">
        <is>
          <t>COMMERCIAL</t>
        </is>
      </c>
    </row>
    <row r="3366" ht="18" customHeight="1" s="7">
      <c r="A3366" s="144" t="inlineStr">
        <is>
          <t>DESHAWN JONES</t>
        </is>
      </c>
      <c r="B3366" s="144" t="inlineStr">
        <is>
          <t>J208019857000 FL</t>
        </is>
      </c>
      <c r="C3366" s="144" t="inlineStr">
        <is>
          <t>LPK TRANS</t>
        </is>
      </c>
      <c r="D3366" s="144" t="n">
        <v>9044349767</v>
      </c>
      <c r="E3366" s="144" t="inlineStr">
        <is>
          <t>FLAT</t>
        </is>
      </c>
      <c r="F3366" s="144" t="inlineStr">
        <is>
          <t>VV3457 NC</t>
        </is>
      </c>
      <c r="G3366" s="144" t="inlineStr">
        <is>
          <t>WHITE FREIGHTLINER</t>
        </is>
      </c>
      <c r="H3366" s="144" t="n">
        <v>1221</v>
      </c>
      <c r="I3366" s="144" t="inlineStr">
        <is>
          <t>COMMERCIAL</t>
        </is>
      </c>
    </row>
    <row r="3367" ht="18" customHeight="1" s="7">
      <c r="A3367" s="144" t="inlineStr">
        <is>
          <t>CHRISTOPHER MARSHALL</t>
        </is>
      </c>
      <c r="B3367" s="144" t="inlineStr">
        <is>
          <t>100596219 SC</t>
        </is>
      </c>
      <c r="C3367" s="144" t="inlineStr">
        <is>
          <t>AMC TRANSPORT</t>
        </is>
      </c>
      <c r="D3367" s="144" t="n">
        <v>8032936896</v>
      </c>
      <c r="E3367" s="144" t="inlineStr">
        <is>
          <t>BOX</t>
        </is>
      </c>
      <c r="F3367" s="144" t="inlineStr">
        <is>
          <t>A003503 SC</t>
        </is>
      </c>
      <c r="G3367" s="144" t="inlineStr">
        <is>
          <t>WHITE FREIGHTLINER</t>
        </is>
      </c>
      <c r="H3367" s="144" t="n">
        <v>1221</v>
      </c>
      <c r="I3367" s="144" t="inlineStr">
        <is>
          <t>COMMERCIAL</t>
        </is>
      </c>
    </row>
    <row r="3368" ht="18" customHeight="1" s="7">
      <c r="A3368" s="144" t="inlineStr">
        <is>
          <t>DELGADO YANDRI</t>
        </is>
      </c>
      <c r="B3368" s="144" t="inlineStr">
        <is>
          <t>D613310799000</t>
        </is>
      </c>
      <c r="C3368" s="144" t="inlineStr">
        <is>
          <t>BIGMENS LLC</t>
        </is>
      </c>
      <c r="D3368" s="144" t="n">
        <v>7869167192</v>
      </c>
      <c r="E3368" s="144" t="inlineStr">
        <is>
          <t>PU</t>
        </is>
      </c>
      <c r="F3368" s="144" t="inlineStr">
        <is>
          <t>DT97CF FL</t>
        </is>
      </c>
      <c r="G3368" s="144" t="inlineStr">
        <is>
          <t>BLACK RAM</t>
        </is>
      </c>
      <c r="H3368" s="144" t="n">
        <v>1221</v>
      </c>
      <c r="I3368" s="144" t="inlineStr">
        <is>
          <t>COMMERCIAL</t>
        </is>
      </c>
    </row>
    <row r="3369" ht="18" customHeight="1" s="7">
      <c r="A3369" s="144" t="inlineStr">
        <is>
          <t>BRITTANY BARANDBURG</t>
        </is>
      </c>
      <c r="B3369" s="144" t="inlineStr">
        <is>
          <t>*0511451718 GA</t>
        </is>
      </c>
      <c r="C3369" s="144" t="inlineStr">
        <is>
          <t>ATS</t>
        </is>
      </c>
      <c r="D3369" s="144" t="n">
        <v>9125715658</v>
      </c>
      <c r="E3369" s="144" t="inlineStr">
        <is>
          <t>BOX</t>
        </is>
      </c>
      <c r="F3369" s="144" t="inlineStr">
        <is>
          <t>3394744 IN</t>
        </is>
      </c>
      <c r="G3369" s="144" t="inlineStr">
        <is>
          <t>WHITE INTERNATIONAL</t>
        </is>
      </c>
      <c r="H3369" s="144" t="n">
        <v>1221</v>
      </c>
      <c r="I3369" s="144" t="inlineStr">
        <is>
          <t>COMMERCIAL</t>
        </is>
      </c>
    </row>
    <row r="3370" ht="18" customHeight="1" s="7">
      <c r="A3370" s="144" t="inlineStr">
        <is>
          <t>LATASHA ALLEN</t>
        </is>
      </c>
      <c r="B3370" s="144" t="inlineStr">
        <is>
          <t>*050317218 GA</t>
        </is>
      </c>
      <c r="C3370" s="144" t="inlineStr">
        <is>
          <t>RIVER MILL</t>
        </is>
      </c>
      <c r="D3370" s="144" t="n">
        <v>7062565457</v>
      </c>
      <c r="E3370" s="144" t="inlineStr">
        <is>
          <t>BOX</t>
        </is>
      </c>
      <c r="F3370" s="144" t="inlineStr">
        <is>
          <t>P1132B GA</t>
        </is>
      </c>
      <c r="G3370" s="144" t="inlineStr">
        <is>
          <t>WHITE FREIGHTLINER</t>
        </is>
      </c>
      <c r="H3370" s="144" t="n">
        <v>1221</v>
      </c>
      <c r="I3370" s="144" t="inlineStr">
        <is>
          <t>COMMERCIAL</t>
        </is>
      </c>
    </row>
    <row r="3371" ht="18" customHeight="1" s="7">
      <c r="A3371" s="144" t="inlineStr">
        <is>
          <t>REARDON STACEY</t>
        </is>
      </c>
      <c r="B3371" s="144" t="inlineStr">
        <is>
          <t>*004269459 SC</t>
        </is>
      </c>
      <c r="C3371" s="144" t="inlineStr">
        <is>
          <t>M&amp;S</t>
        </is>
      </c>
      <c r="D3371" s="144" t="n">
        <v>8036513089</v>
      </c>
      <c r="E3371" s="144" t="inlineStr">
        <is>
          <t>BOX</t>
        </is>
      </c>
      <c r="F3371" s="144" t="inlineStr">
        <is>
          <t>3565120 IN</t>
        </is>
      </c>
      <c r="G3371" s="144" t="inlineStr">
        <is>
          <t>WHITE FREIGHTLINER</t>
        </is>
      </c>
      <c r="H3371" s="144" t="n">
        <v>1221</v>
      </c>
      <c r="I3371" s="144" t="inlineStr">
        <is>
          <t>COMMERCIAL</t>
        </is>
      </c>
    </row>
    <row r="3372" ht="18" customHeight="1" s="7">
      <c r="A3372" s="144" t="inlineStr">
        <is>
          <t>LEONID KRUGLIK</t>
        </is>
      </c>
      <c r="B3372" s="144" t="inlineStr">
        <is>
          <t>K624507014254 MI</t>
        </is>
      </c>
      <c r="C3372" s="144" t="inlineStr">
        <is>
          <t>BH TRANS</t>
        </is>
      </c>
      <c r="D3372" s="144" t="n">
        <v>7202750478</v>
      </c>
      <c r="E3372" s="144" t="inlineStr">
        <is>
          <t>FLAT</t>
        </is>
      </c>
      <c r="F3372" s="144" t="inlineStr">
        <is>
          <t>RC51250 MI</t>
        </is>
      </c>
      <c r="G3372" s="144" t="inlineStr">
        <is>
          <t>WHITE KENWORTH</t>
        </is>
      </c>
      <c r="H3372" s="144" t="n">
        <v>1221</v>
      </c>
      <c r="I3372" s="144" t="inlineStr">
        <is>
          <t>COMMERCIAL</t>
        </is>
      </c>
    </row>
    <row r="3373" ht="18" customHeight="1" s="7">
      <c r="A3373" s="144" t="inlineStr">
        <is>
          <t>OMAR IDRIS</t>
        </is>
      </c>
      <c r="B3373" s="144" t="inlineStr">
        <is>
          <t>36509690 TX</t>
        </is>
      </c>
      <c r="C3373" s="144" t="inlineStr">
        <is>
          <t>DARBO TRUCKING</t>
        </is>
      </c>
      <c r="D3373" s="144" t="n">
        <v>9452103116</v>
      </c>
      <c r="E3373" s="144" t="inlineStr">
        <is>
          <t>FLAT</t>
        </is>
      </c>
      <c r="F3373" s="144" t="inlineStr">
        <is>
          <t>R737332 TX</t>
        </is>
      </c>
      <c r="G3373" s="144" t="inlineStr">
        <is>
          <t xml:space="preserve"> GREEN FREIGHLINER</t>
        </is>
      </c>
      <c r="H3373" s="144" t="n">
        <v>1221</v>
      </c>
      <c r="I3373" s="144" t="inlineStr">
        <is>
          <t>COMMERCIAL</t>
        </is>
      </c>
    </row>
    <row r="3374" ht="18" customHeight="1" s="7">
      <c r="A3374" s="144" t="inlineStr">
        <is>
          <t>MICHEAL BURNS</t>
        </is>
      </c>
      <c r="B3374" s="144" t="inlineStr">
        <is>
          <t>23854769 TN</t>
        </is>
      </c>
      <c r="C3374" s="144" t="inlineStr">
        <is>
          <t xml:space="preserve">RYDER </t>
        </is>
      </c>
      <c r="D3374" s="144" t="n">
        <v>2154311945</v>
      </c>
      <c r="E3374" s="144" t="inlineStr">
        <is>
          <t>BOX</t>
        </is>
      </c>
      <c r="F3374" s="144" t="inlineStr">
        <is>
          <t>3159289 IN</t>
        </is>
      </c>
      <c r="G3374" s="144" t="inlineStr">
        <is>
          <t>WHITE FREIGHTLINER</t>
        </is>
      </c>
      <c r="H3374" s="144" t="n">
        <v>1221</v>
      </c>
      <c r="I3374" s="144" t="inlineStr">
        <is>
          <t>COMMERCIAL</t>
        </is>
      </c>
    </row>
    <row r="3375" ht="18" customHeight="1" s="7">
      <c r="A3375" s="144" t="inlineStr">
        <is>
          <t>JAMES PARKER</t>
        </is>
      </c>
      <c r="B3375" s="144" t="inlineStr">
        <is>
          <t>6504684 AL</t>
        </is>
      </c>
      <c r="C3375" s="144" t="inlineStr">
        <is>
          <t>BOBCAT</t>
        </is>
      </c>
      <c r="D3375" s="144" t="n">
        <v>3347911561</v>
      </c>
      <c r="E3375" s="144" t="inlineStr">
        <is>
          <t>PU</t>
        </is>
      </c>
      <c r="F3375" s="144" t="inlineStr">
        <is>
          <t>PPNC1237 OH</t>
        </is>
      </c>
      <c r="G3375" s="144" t="inlineStr">
        <is>
          <t>WHITE CHEVY</t>
        </is>
      </c>
      <c r="H3375" s="144" t="inlineStr">
        <is>
          <t>BASEWIDE</t>
        </is>
      </c>
      <c r="I3375" s="144" t="inlineStr">
        <is>
          <t>CONTRACTOR</t>
        </is>
      </c>
    </row>
    <row r="3376" ht="18" customHeight="1" s="7">
      <c r="A3376" s="144" t="inlineStr">
        <is>
          <t>HENRY ROMERO</t>
        </is>
      </c>
      <c r="B3376" s="144" t="inlineStr">
        <is>
          <t>R56638002180 FL</t>
        </is>
      </c>
      <c r="C3376" s="144" t="inlineStr">
        <is>
          <t>BH TRANS</t>
        </is>
      </c>
      <c r="D3376" s="144" t="n">
        <v>7866036699</v>
      </c>
      <c r="E3376" s="144" t="inlineStr">
        <is>
          <t>FLAT</t>
        </is>
      </c>
      <c r="F3376" s="144" t="inlineStr">
        <is>
          <t>P1312864 IL</t>
        </is>
      </c>
      <c r="G3376" s="144" t="inlineStr">
        <is>
          <t>GRAY FREIGHTLINER</t>
        </is>
      </c>
      <c r="H3376" s="144" t="n">
        <v>1221</v>
      </c>
      <c r="I3376" s="144" t="inlineStr">
        <is>
          <t>COMMERICAL</t>
        </is>
      </c>
    </row>
    <row r="3377" ht="18" customHeight="1" s="7">
      <c r="A3377" s="144" t="inlineStr">
        <is>
          <t>ILKHOM MUZAFFAROV</t>
        </is>
      </c>
      <c r="B3377" s="144" t="inlineStr">
        <is>
          <t>A61202493 VA</t>
        </is>
      </c>
      <c r="C3377" s="144" t="inlineStr">
        <is>
          <t>IMPERIAL EXPRESS</t>
        </is>
      </c>
      <c r="D3377" s="144" t="n">
        <v>431405308</v>
      </c>
      <c r="E3377" s="144" t="inlineStr">
        <is>
          <t>FLAT</t>
        </is>
      </c>
      <c r="F3377" s="144" t="inlineStr">
        <is>
          <t>191350 VA</t>
        </is>
      </c>
      <c r="G3377" s="144" t="inlineStr">
        <is>
          <t>WHITE VOLVO</t>
        </is>
      </c>
      <c r="H3377" s="144" t="n">
        <v>1221</v>
      </c>
      <c r="I3377" s="144" t="inlineStr">
        <is>
          <t>COMMERICAL</t>
        </is>
      </c>
    </row>
    <row r="3378" ht="18" customHeight="1" s="7">
      <c r="A3378" s="144" t="inlineStr">
        <is>
          <t>IURIE ALEXANDRU</t>
        </is>
      </c>
      <c r="B3378" s="144" t="inlineStr">
        <is>
          <t>A05312023 KY</t>
        </is>
      </c>
      <c r="C3378" s="144" t="inlineStr">
        <is>
          <t>ALEXANDRU EXP</t>
        </is>
      </c>
      <c r="D3378" s="144" t="n">
        <v>5028890237</v>
      </c>
      <c r="E3378" s="144" t="inlineStr">
        <is>
          <t>BOX</t>
        </is>
      </c>
      <c r="F3378" s="144" t="inlineStr">
        <is>
          <t>A91809 KY</t>
        </is>
      </c>
      <c r="G3378" s="144" t="inlineStr">
        <is>
          <t>BLUE VOLVO</t>
        </is>
      </c>
      <c r="H3378" s="144" t="n">
        <v>1221</v>
      </c>
      <c r="I3378" s="144" t="inlineStr">
        <is>
          <t>COMMERICAL</t>
        </is>
      </c>
    </row>
    <row r="3379" ht="18" customHeight="1" s="7">
      <c r="A3379" s="144" t="inlineStr">
        <is>
          <t>REUBEN DAVENPORT</t>
        </is>
      </c>
      <c r="B3379" s="144" t="inlineStr">
        <is>
          <t>050951997 GA</t>
        </is>
      </c>
      <c r="C3379" s="144" t="inlineStr">
        <is>
          <t>JOHNSON CONTROL</t>
        </is>
      </c>
      <c r="D3379" s="144" t="n">
        <v>4705749257</v>
      </c>
      <c r="E3379" s="144" t="inlineStr">
        <is>
          <t>VAN</t>
        </is>
      </c>
      <c r="F3379" s="144" t="inlineStr">
        <is>
          <t>CWF3416 GA</t>
        </is>
      </c>
      <c r="G3379" s="144" t="inlineStr">
        <is>
          <t>WHITE FORD</t>
        </is>
      </c>
      <c r="H3379" s="144" t="n">
        <v>7130</v>
      </c>
      <c r="I3379" s="144" t="inlineStr">
        <is>
          <t>CONTRACTOR</t>
        </is>
      </c>
    </row>
    <row r="3380" ht="18" customHeight="1" s="7">
      <c r="A3380" s="144" t="inlineStr">
        <is>
          <t>ALAN JACKSON</t>
        </is>
      </c>
      <c r="B3380" s="144" t="inlineStr">
        <is>
          <t>000006058437 NC</t>
        </is>
      </c>
      <c r="C3380" s="144" t="inlineStr">
        <is>
          <t>MERCER TRANS</t>
        </is>
      </c>
      <c r="D3380" s="144" t="n">
        <v>8288171130</v>
      </c>
      <c r="E3380" s="144" t="inlineStr">
        <is>
          <t>FLAT</t>
        </is>
      </c>
      <c r="F3380" s="144" t="inlineStr">
        <is>
          <t>3009591 IN</t>
        </is>
      </c>
      <c r="G3380" s="144" t="inlineStr">
        <is>
          <t>SILVER KENWORTH</t>
        </is>
      </c>
      <c r="H3380" s="144" t="n">
        <v>1221</v>
      </c>
      <c r="I3380" s="144" t="inlineStr">
        <is>
          <t>COMMERICAL</t>
        </is>
      </c>
    </row>
    <row r="3381" ht="18" customHeight="1" s="7">
      <c r="A3381" s="144" t="inlineStr">
        <is>
          <t>WADE WILLIAMS</t>
        </is>
      </c>
      <c r="B3381" s="144" t="inlineStr">
        <is>
          <t>12841824 TX</t>
        </is>
      </c>
      <c r="C3381" s="144" t="inlineStr">
        <is>
          <t>MERCER TRANS</t>
        </is>
      </c>
      <c r="D3381" s="144" t="n">
        <v>9032356346</v>
      </c>
      <c r="E3381" s="144" t="inlineStr">
        <is>
          <t>FLAT</t>
        </is>
      </c>
      <c r="F3381" s="144" t="inlineStr">
        <is>
          <t>3009196 IN</t>
        </is>
      </c>
      <c r="G3381" s="144" t="inlineStr">
        <is>
          <t>WHITE VOLVO</t>
        </is>
      </c>
      <c r="H3381" s="144" t="n">
        <v>1221</v>
      </c>
      <c r="I3381" s="144" t="inlineStr">
        <is>
          <t>COMMERICAL</t>
        </is>
      </c>
    </row>
    <row r="3382" ht="18" customHeight="1" s="7">
      <c r="A3382" s="144" t="inlineStr">
        <is>
          <t>JEFFERY TIGAR</t>
        </is>
      </c>
      <c r="B3382" s="144" t="inlineStr">
        <is>
          <t>T61773445 VA</t>
        </is>
      </c>
      <c r="C3382" s="144" t="inlineStr">
        <is>
          <t>D&amp;A EXP</t>
        </is>
      </c>
      <c r="D3382" s="144" t="n">
        <v>7578766156</v>
      </c>
      <c r="E3382" s="144" t="inlineStr">
        <is>
          <t>BOX</t>
        </is>
      </c>
      <c r="F3382" s="144" t="inlineStr">
        <is>
          <t>39231PZ VA</t>
        </is>
      </c>
      <c r="G3382" s="144" t="inlineStr">
        <is>
          <t>WHITE VOLVO</t>
        </is>
      </c>
      <c r="H3382" s="144" t="n">
        <v>1221</v>
      </c>
      <c r="I3382" s="144" t="inlineStr">
        <is>
          <t>COMMERICAL</t>
        </is>
      </c>
    </row>
    <row r="3383" ht="18" customHeight="1" s="7">
      <c r="A3383" s="144" t="inlineStr">
        <is>
          <t>JOHANNA PETERSON</t>
        </is>
      </c>
      <c r="B3383" s="144" t="inlineStr">
        <is>
          <t>W26538223 AZ</t>
        </is>
      </c>
      <c r="C3383" s="144" t="inlineStr">
        <is>
          <t>MERCER TRANS</t>
        </is>
      </c>
      <c r="D3383" s="144" t="n">
        <v>4253508528</v>
      </c>
      <c r="E3383" s="144" t="inlineStr">
        <is>
          <t>FLAT</t>
        </is>
      </c>
      <c r="F3383" s="144" t="inlineStr">
        <is>
          <t>3011794 IN</t>
        </is>
      </c>
      <c r="G3383" s="144" t="inlineStr">
        <is>
          <t>WHITE WESTERN STAR</t>
        </is>
      </c>
      <c r="H3383" s="144" t="n">
        <v>1221</v>
      </c>
      <c r="I3383" s="144" t="inlineStr">
        <is>
          <t>COMMERICAL</t>
        </is>
      </c>
    </row>
    <row r="3384" ht="18" customHeight="1" s="7">
      <c r="A3384" s="144" t="inlineStr">
        <is>
          <t>NICU ALEXANDRU</t>
        </is>
      </c>
      <c r="B3384" s="144" t="inlineStr">
        <is>
          <t>A07544078 KY</t>
        </is>
      </c>
      <c r="C3384" s="144" t="inlineStr">
        <is>
          <t>ALEXA EXPRESS</t>
        </is>
      </c>
      <c r="D3384" s="144" t="n">
        <v>5024390098</v>
      </c>
      <c r="E3384" s="144" t="inlineStr">
        <is>
          <t>BOX</t>
        </is>
      </c>
      <c r="F3384" s="144" t="inlineStr">
        <is>
          <t>A93524 KY</t>
        </is>
      </c>
      <c r="G3384" s="144" t="inlineStr">
        <is>
          <t>WHITE FREIGHTLINER</t>
        </is>
      </c>
      <c r="H3384" s="144" t="n">
        <v>1221</v>
      </c>
      <c r="I3384" s="144" t="inlineStr">
        <is>
          <t>COMMERICAL</t>
        </is>
      </c>
    </row>
    <row r="3385" ht="18" customHeight="1" s="7">
      <c r="A3385" s="144" t="inlineStr">
        <is>
          <t>RYAN SMITH</t>
        </is>
      </c>
      <c r="B3385" s="144" t="inlineStr">
        <is>
          <t>7871070 AL</t>
        </is>
      </c>
      <c r="C3385" s="144" t="inlineStr">
        <is>
          <t>PEPIFOOD</t>
        </is>
      </c>
      <c r="D3385" s="144" t="n">
        <v>8003564068</v>
      </c>
      <c r="E3385" s="144" t="inlineStr">
        <is>
          <t>VAN</t>
        </is>
      </c>
      <c r="F3385" s="144" t="inlineStr">
        <is>
          <t>38A2UH3 GA</t>
        </is>
      </c>
      <c r="G3385" s="144" t="inlineStr">
        <is>
          <t>BLUE FORD</t>
        </is>
      </c>
      <c r="H3385" s="144" t="inlineStr">
        <is>
          <t>BASEWIDE</t>
        </is>
      </c>
      <c r="I3385" s="144" t="inlineStr">
        <is>
          <t>CONTRACTOR</t>
        </is>
      </c>
    </row>
    <row r="3386" ht="18" customHeight="1" s="7">
      <c r="A3386" s="144" t="inlineStr">
        <is>
          <t>CHAD MCKINNEY</t>
        </is>
      </c>
      <c r="B3386" s="144" t="inlineStr">
        <is>
          <t>10115993 AL</t>
        </is>
      </c>
      <c r="C3386" s="144" t="inlineStr">
        <is>
          <t>THE PEPI</t>
        </is>
      </c>
      <c r="D3386" s="144" t="n">
        <v>4064912197</v>
      </c>
      <c r="E3386" s="144" t="inlineStr">
        <is>
          <t>VAN</t>
        </is>
      </c>
      <c r="F3386" s="144" t="inlineStr">
        <is>
          <t>38A6WOE GA</t>
        </is>
      </c>
      <c r="G3386" s="144" t="inlineStr">
        <is>
          <t>BLUE HENZO</t>
        </is>
      </c>
      <c r="H3386" s="144" t="inlineStr">
        <is>
          <t>BASEWIDE</t>
        </is>
      </c>
      <c r="I3386" s="144" t="inlineStr">
        <is>
          <t>CONTRACTOR</t>
        </is>
      </c>
    </row>
    <row r="3387" ht="18" customHeight="1" s="7">
      <c r="A3387" s="144" t="inlineStr">
        <is>
          <t>CREDERICK BROWN</t>
        </is>
      </c>
      <c r="B3387" s="144" t="inlineStr">
        <is>
          <t>B650118704580 FL</t>
        </is>
      </c>
      <c r="C3387" s="144" t="inlineStr">
        <is>
          <t>FEDEX</t>
        </is>
      </c>
      <c r="D3387" s="144" t="n">
        <v>8509730419</v>
      </c>
      <c r="E3387" s="144" t="inlineStr">
        <is>
          <t>VAN</t>
        </is>
      </c>
      <c r="F3387" s="144" t="inlineStr">
        <is>
          <t>AK606KN FL</t>
        </is>
      </c>
      <c r="G3387" s="144" t="inlineStr">
        <is>
          <t>WHITE DODGE</t>
        </is>
      </c>
      <c r="H3387" s="144" t="n">
        <v>1221</v>
      </c>
      <c r="I3387" s="144" t="inlineStr">
        <is>
          <t>CONTRACTOR</t>
        </is>
      </c>
    </row>
    <row r="3388" ht="18" customHeight="1" s="7">
      <c r="A3388" s="144" t="inlineStr">
        <is>
          <t>ANTONIO JONES</t>
        </is>
      </c>
      <c r="B3388" s="144" t="inlineStr">
        <is>
          <t>6408358 AL</t>
        </is>
      </c>
      <c r="C3388" s="144" t="inlineStr">
        <is>
          <t>MCLANE</t>
        </is>
      </c>
      <c r="D3388" s="144" t="n">
        <v>3342585229</v>
      </c>
      <c r="E3388" s="144" t="inlineStr">
        <is>
          <t>BOX</t>
        </is>
      </c>
      <c r="F3388" s="144" t="inlineStr">
        <is>
          <t>P1154012 IL</t>
        </is>
      </c>
      <c r="G3388" s="144" t="inlineStr">
        <is>
          <t>WHITE VOLVO</t>
        </is>
      </c>
      <c r="H3388" s="144" t="n">
        <v>7501</v>
      </c>
      <c r="I3388" s="144" t="inlineStr">
        <is>
          <t>COMMERICAL</t>
        </is>
      </c>
    </row>
    <row r="3389" ht="18" customHeight="1" s="7">
      <c r="A3389" s="144" t="inlineStr">
        <is>
          <t>JEFFREY JERRIS</t>
        </is>
      </c>
      <c r="B3389" s="144" t="inlineStr">
        <is>
          <t>G650390402062 MI</t>
        </is>
      </c>
      <c r="C3389" s="144" t="inlineStr">
        <is>
          <t>MERCER TRANS</t>
        </is>
      </c>
      <c r="D3389" s="144" t="n">
        <v>9893509886</v>
      </c>
      <c r="E3389" s="144" t="inlineStr">
        <is>
          <t>FLAT</t>
        </is>
      </c>
      <c r="F3389" s="144" t="inlineStr">
        <is>
          <t xml:space="preserve">3009504 IN </t>
        </is>
      </c>
      <c r="G3389" s="144" t="inlineStr">
        <is>
          <t>WHITE KENWORTH</t>
        </is>
      </c>
      <c r="H3389" s="144" t="n">
        <v>1221</v>
      </c>
      <c r="I3389" s="144" t="inlineStr">
        <is>
          <t>COMMERICAL</t>
        </is>
      </c>
    </row>
    <row r="3390" ht="18" customHeight="1" s="7">
      <c r="A3390" s="144" t="inlineStr">
        <is>
          <t>JONATHAN FREEMAN</t>
        </is>
      </c>
      <c r="B3390" s="144" t="inlineStr">
        <is>
          <t>013304662 LA</t>
        </is>
      </c>
      <c r="C3390" s="144" t="inlineStr">
        <is>
          <t>SLOW ROLLING</t>
        </is>
      </c>
      <c r="D3390" s="144" t="n">
        <v>5019405792</v>
      </c>
      <c r="E3390" s="144" t="inlineStr">
        <is>
          <t>BOX</t>
        </is>
      </c>
      <c r="F3390" s="144" t="inlineStr">
        <is>
          <t>C117531 AK</t>
        </is>
      </c>
      <c r="G3390" s="144" t="inlineStr">
        <is>
          <t>WHITE INTERNATIONAL</t>
        </is>
      </c>
      <c r="H3390" s="144" t="n">
        <v>1221</v>
      </c>
      <c r="I3390" s="144" t="inlineStr">
        <is>
          <t>COMMERICAL</t>
        </is>
      </c>
    </row>
    <row r="3391" ht="18" customHeight="1" s="7">
      <c r="A3391" s="144" t="inlineStr">
        <is>
          <t xml:space="preserve">SHURIE MOHAMUD </t>
        </is>
      </c>
      <c r="B3391" s="144" t="inlineStr">
        <is>
          <t>S60055381001 IL</t>
        </is>
      </c>
      <c r="C3391" s="144" t="inlineStr">
        <is>
          <t>ZULEM EXPRESS</t>
        </is>
      </c>
      <c r="D3391" s="144" t="n">
        <v>3129186152</v>
      </c>
      <c r="E3391" s="144" t="inlineStr">
        <is>
          <t>BOX</t>
        </is>
      </c>
      <c r="F3391" s="144" t="inlineStr">
        <is>
          <t>PXB0338 OH</t>
        </is>
      </c>
      <c r="G3391" s="144" t="inlineStr">
        <is>
          <t>RED FREIGHTLINER</t>
        </is>
      </c>
      <c r="H3391" s="144" t="n">
        <v>1221</v>
      </c>
      <c r="I3391" s="144" t="inlineStr">
        <is>
          <t>COMMERICAL</t>
        </is>
      </c>
    </row>
    <row r="3392" ht="18" customHeight="1" s="7">
      <c r="A3392" s="144" t="inlineStr">
        <is>
          <t>NDEREYIMANA PACIFIQUE</t>
        </is>
      </c>
      <c r="B3392" s="144" t="inlineStr">
        <is>
          <t>P10997687 KY</t>
        </is>
      </c>
      <c r="C3392" s="144" t="inlineStr">
        <is>
          <t>WISE LOGISTICS</t>
        </is>
      </c>
      <c r="D3392" s="144" t="n">
        <v>5025658025</v>
      </c>
      <c r="E3392" s="144" t="inlineStr">
        <is>
          <t>BOX</t>
        </is>
      </c>
      <c r="F3392" s="144" t="inlineStr">
        <is>
          <t>A85037 KY</t>
        </is>
      </c>
      <c r="G3392" s="144" t="inlineStr">
        <is>
          <t>TAN FREIGHTLINER</t>
        </is>
      </c>
      <c r="H3392" s="144" t="n">
        <v>1221</v>
      </c>
      <c r="I3392" s="144" t="inlineStr">
        <is>
          <t>COMMERICAL</t>
        </is>
      </c>
    </row>
    <row r="3393" ht="18" customHeight="1" s="7">
      <c r="A3393" s="144" t="inlineStr">
        <is>
          <t>BRETT COCHRAN</t>
        </is>
      </c>
      <c r="B3393" s="144" t="inlineStr">
        <is>
          <t>051795605 GA</t>
        </is>
      </c>
      <c r="C3393" s="144" t="inlineStr">
        <is>
          <t>GA POWER</t>
        </is>
      </c>
      <c r="D3393" s="144" t="n">
        <v>2293446537</v>
      </c>
      <c r="E3393" s="144" t="inlineStr">
        <is>
          <t>VAN</t>
        </is>
      </c>
      <c r="F3393" s="144" t="inlineStr">
        <is>
          <t>RTE6235 GA</t>
        </is>
      </c>
      <c r="G3393" s="144" t="inlineStr">
        <is>
          <t>WHITE NISSAN</t>
        </is>
      </c>
      <c r="H3393" s="144" t="inlineStr">
        <is>
          <t>SUBSTATION</t>
        </is>
      </c>
      <c r="I3393" s="144" t="inlineStr">
        <is>
          <t>CONTRACTOR</t>
        </is>
      </c>
    </row>
    <row r="3394" ht="18" customHeight="1" s="7">
      <c r="A3394" s="144" t="inlineStr">
        <is>
          <t>VELASQUEZ JOSE</t>
        </is>
      </c>
      <c r="B3394" s="144" t="inlineStr">
        <is>
          <t>*01925908 TX</t>
        </is>
      </c>
      <c r="C3394" s="144" t="inlineStr">
        <is>
          <t>J WOLF</t>
        </is>
      </c>
      <c r="D3394" s="144" t="n">
        <v>9566508519</v>
      </c>
      <c r="E3394" s="144" t="inlineStr">
        <is>
          <t>BOX</t>
        </is>
      </c>
      <c r="F3394" s="144" t="inlineStr">
        <is>
          <t>R80884 TX</t>
        </is>
      </c>
      <c r="G3394" s="144" t="inlineStr">
        <is>
          <t>WHITE INTER</t>
        </is>
      </c>
      <c r="H3394" s="144" t="n">
        <v>1221</v>
      </c>
      <c r="I3394" s="144" t="inlineStr">
        <is>
          <t>COMMERCIAL</t>
        </is>
      </c>
    </row>
    <row r="3395" ht="18" customHeight="1" s="7">
      <c r="A3395" s="144" t="inlineStr">
        <is>
          <t>WHITT JAMES</t>
        </is>
      </c>
      <c r="B3395" s="144" t="inlineStr">
        <is>
          <t>*000005176381 NC</t>
        </is>
      </c>
      <c r="C3395" s="144" t="inlineStr">
        <is>
          <t>LANDSTAR</t>
        </is>
      </c>
      <c r="D3395" s="144" t="n">
        <v>8283102157</v>
      </c>
      <c r="E3395" s="144" t="inlineStr">
        <is>
          <t>BOX</t>
        </is>
      </c>
      <c r="F3395" s="144" t="inlineStr">
        <is>
          <t>3411069 IN</t>
        </is>
      </c>
      <c r="G3395" s="144" t="inlineStr">
        <is>
          <t>WHITE FREIGHTLINER</t>
        </is>
      </c>
      <c r="H3395" s="144" t="n">
        <v>1221</v>
      </c>
      <c r="I3395" s="144" t="inlineStr">
        <is>
          <t>COMMERCIAL</t>
        </is>
      </c>
    </row>
    <row r="3396" ht="18" customHeight="1" s="7">
      <c r="A3396" s="144" t="inlineStr">
        <is>
          <t>RIMAL NETRA</t>
        </is>
      </c>
      <c r="B3396" s="144" t="inlineStr">
        <is>
          <t>UP172504 OH</t>
        </is>
      </c>
      <c r="C3396" s="144" t="inlineStr">
        <is>
          <t>RIMAL</t>
        </is>
      </c>
      <c r="D3396" s="144" t="n">
        <v>4129696961</v>
      </c>
      <c r="E3396" s="144" t="inlineStr">
        <is>
          <t>BOX</t>
        </is>
      </c>
      <c r="F3396" s="144" t="inlineStr">
        <is>
          <t>PWY2244 OH</t>
        </is>
      </c>
      <c r="G3396" s="144" t="inlineStr">
        <is>
          <t>WHITE FREIGHTLINER</t>
        </is>
      </c>
      <c r="H3396" s="144" t="n">
        <v>1221</v>
      </c>
      <c r="I3396" s="144" t="inlineStr">
        <is>
          <t>COMMERCIAL</t>
        </is>
      </c>
    </row>
    <row r="3397" ht="18" customHeight="1" s="7">
      <c r="A3397" s="144" t="inlineStr">
        <is>
          <t>BRUCE RONALD</t>
        </is>
      </c>
      <c r="B3397" s="144" t="inlineStr">
        <is>
          <t>*000049722103 NC</t>
        </is>
      </c>
      <c r="C3397" s="144" t="inlineStr">
        <is>
          <t>MGR</t>
        </is>
      </c>
      <c r="D3397" s="144" t="n">
        <v>2024871770</v>
      </c>
      <c r="E3397" s="144" t="inlineStr">
        <is>
          <t>BOX</t>
        </is>
      </c>
      <c r="F3397" s="144" t="inlineStr">
        <is>
          <t>P1312782 IL</t>
        </is>
      </c>
      <c r="G3397" s="144" t="inlineStr">
        <is>
          <t>WHITE FREIGHTLINER</t>
        </is>
      </c>
      <c r="H3397" s="144" t="n">
        <v>1221</v>
      </c>
      <c r="I3397" s="144" t="inlineStr">
        <is>
          <t>COMMERCIAL</t>
        </is>
      </c>
    </row>
    <row r="3398" ht="18" customHeight="1" s="7">
      <c r="A3398" s="144" t="inlineStr">
        <is>
          <t>JOY OKORONKWO</t>
        </is>
      </c>
      <c r="B3398" s="144" t="inlineStr">
        <is>
          <t>O49244137663932 NJ</t>
        </is>
      </c>
      <c r="C3398" s="144" t="inlineStr">
        <is>
          <t>FAST LANE CARRIERS</t>
        </is>
      </c>
      <c r="D3398" s="144" t="n">
        <v>9087596632</v>
      </c>
      <c r="E3398" s="144" t="inlineStr">
        <is>
          <t>BOX</t>
        </is>
      </c>
      <c r="F3398" s="144" t="inlineStr">
        <is>
          <t>RC46622 MI</t>
        </is>
      </c>
      <c r="G3398" s="144" t="inlineStr">
        <is>
          <t>WHITE INTER</t>
        </is>
      </c>
      <c r="H3398" s="144" t="n">
        <v>1221</v>
      </c>
      <c r="I3398" s="144" t="inlineStr">
        <is>
          <t>COMMERCIAL</t>
        </is>
      </c>
    </row>
    <row r="3399" ht="18" customHeight="1" s="7">
      <c r="A3399" s="144" t="inlineStr">
        <is>
          <t>CHRISTOPHER WEEKLEY</t>
        </is>
      </c>
      <c r="B3399" s="144" t="inlineStr">
        <is>
          <t>*054282502 GA</t>
        </is>
      </c>
      <c r="C3399" s="144" t="inlineStr">
        <is>
          <t xml:space="preserve">SOUTHEASTERN </t>
        </is>
      </c>
      <c r="D3399" s="144" t="n">
        <v>2299035227</v>
      </c>
      <c r="E3399" s="144" t="inlineStr">
        <is>
          <t>BOX</t>
        </is>
      </c>
      <c r="F3399" s="144" t="inlineStr">
        <is>
          <t>K6592HY TN</t>
        </is>
      </c>
      <c r="G3399" s="144" t="inlineStr">
        <is>
          <t>RED KENWORTH</t>
        </is>
      </c>
      <c r="H3399" s="144" t="n">
        <v>1221</v>
      </c>
      <c r="I3399" s="144" t="inlineStr">
        <is>
          <t>COMMERCIAL</t>
        </is>
      </c>
    </row>
    <row r="3400" ht="18" customHeight="1" s="7">
      <c r="A3400" s="144" t="inlineStr">
        <is>
          <t>MCCRAE WILLIAM JR</t>
        </is>
      </c>
      <c r="B3400" s="144" t="inlineStr">
        <is>
          <t>*008743853 SC</t>
        </is>
      </c>
      <c r="C3400" s="144" t="inlineStr">
        <is>
          <t>AMERICAN TRANS</t>
        </is>
      </c>
      <c r="D3400" s="144" t="n">
        <v>8432602258</v>
      </c>
      <c r="E3400" s="144" t="inlineStr">
        <is>
          <t>FLAT</t>
        </is>
      </c>
      <c r="F3400" s="144" t="inlineStr">
        <is>
          <t>P959374 IL</t>
        </is>
      </c>
      <c r="G3400" s="144" t="inlineStr">
        <is>
          <t>BLUE KENWORTH</t>
        </is>
      </c>
      <c r="H3400" s="144" t="n">
        <v>1221</v>
      </c>
      <c r="I3400" s="144" t="inlineStr">
        <is>
          <t>COMMERCIAL</t>
        </is>
      </c>
    </row>
    <row r="3401" ht="18" customHeight="1" s="7">
      <c r="A3401" s="144" t="inlineStr">
        <is>
          <t>BRUCE KAYDENCE</t>
        </is>
      </c>
      <c r="B3401" s="144" t="inlineStr">
        <is>
          <t>G084155010 OK</t>
        </is>
      </c>
      <c r="C3401" s="144" t="inlineStr">
        <is>
          <t>Z&amp;K</t>
        </is>
      </c>
      <c r="D3401" s="144" t="n">
        <v>9039852509</v>
      </c>
      <c r="E3401" s="144" t="inlineStr">
        <is>
          <t>PU</t>
        </is>
      </c>
      <c r="F3401" s="144" t="inlineStr">
        <is>
          <t>VZG7954 TX</t>
        </is>
      </c>
      <c r="G3401" s="144" t="inlineStr">
        <is>
          <t>WHITE FORD</t>
        </is>
      </c>
      <c r="H3401" s="144" t="n">
        <v>1221</v>
      </c>
      <c r="I3401" s="144" t="inlineStr">
        <is>
          <t>CONTRACTOR</t>
        </is>
      </c>
    </row>
    <row r="3402" ht="18" customHeight="1" s="7">
      <c r="A3402" s="144" t="inlineStr">
        <is>
          <t>RICKY WILLIAMS</t>
        </is>
      </c>
      <c r="B3402" s="144" t="inlineStr">
        <is>
          <t>*053038151 GA</t>
        </is>
      </c>
      <c r="C3402" s="144" t="inlineStr">
        <is>
          <t>RAW TRANS</t>
        </is>
      </c>
      <c r="D3402" s="144" t="n">
        <v>4704486256</v>
      </c>
      <c r="E3402" s="144" t="inlineStr">
        <is>
          <t>PU</t>
        </is>
      </c>
      <c r="F3402" s="144" t="inlineStr">
        <is>
          <t>SJJ5709 GA</t>
        </is>
      </c>
      <c r="G3402" s="144" t="inlineStr">
        <is>
          <t>WHITE FORD</t>
        </is>
      </c>
      <c r="H3402" s="144" t="n">
        <v>1221</v>
      </c>
      <c r="I3402" s="144" t="inlineStr">
        <is>
          <t>CONTRACTOR</t>
        </is>
      </c>
    </row>
    <row r="3403" ht="18" customHeight="1" s="7">
      <c r="A3403" s="144" t="inlineStr">
        <is>
          <t>KRAVCHUK VALERY</t>
        </is>
      </c>
      <c r="B3403" s="144" t="inlineStr">
        <is>
          <t>B5720494 CAL</t>
        </is>
      </c>
      <c r="C3403" s="144" t="inlineStr">
        <is>
          <t>12 TRANS</t>
        </is>
      </c>
      <c r="D3403" s="144" t="n">
        <v>9168427836</v>
      </c>
      <c r="E3403" s="144" t="inlineStr">
        <is>
          <t>BOX</t>
        </is>
      </c>
      <c r="F3403" s="144" t="inlineStr">
        <is>
          <t>P1279123 IL</t>
        </is>
      </c>
      <c r="G3403" s="144" t="inlineStr">
        <is>
          <t>WHITE FREIGHTLINER</t>
        </is>
      </c>
      <c r="H3403" s="144" t="n">
        <v>1221</v>
      </c>
      <c r="I3403" s="144" t="inlineStr">
        <is>
          <t>COMMERCIAL</t>
        </is>
      </c>
    </row>
    <row r="3404" ht="18" customHeight="1" s="7">
      <c r="A3404" s="144" t="inlineStr">
        <is>
          <t>FRANCISCO DEHARO</t>
        </is>
      </c>
      <c r="B3404" s="144" t="inlineStr">
        <is>
          <t>*051600683 GA</t>
        </is>
      </c>
      <c r="C3404" s="144" t="inlineStr">
        <is>
          <t>HARO</t>
        </is>
      </c>
      <c r="D3404" s="144" t="n">
        <v>7622091949</v>
      </c>
      <c r="E3404" s="144" t="inlineStr">
        <is>
          <t>BOX</t>
        </is>
      </c>
      <c r="F3404" s="144" t="inlineStr">
        <is>
          <t>C700CZ GA</t>
        </is>
      </c>
      <c r="G3404" s="144" t="inlineStr">
        <is>
          <t>WHITE INTERNATIONAL</t>
        </is>
      </c>
      <c r="H3404" s="144" t="n">
        <v>1221</v>
      </c>
      <c r="I3404" s="144" t="inlineStr">
        <is>
          <t>COMMERCIAL</t>
        </is>
      </c>
    </row>
    <row r="3405" ht="18" customHeight="1" s="7">
      <c r="A3405" s="144" t="inlineStr">
        <is>
          <t>BIZNIC COSTON</t>
        </is>
      </c>
      <c r="B3405" s="144" t="inlineStr">
        <is>
          <t>927946631 AR</t>
        </is>
      </c>
      <c r="C3405" s="144" t="inlineStr">
        <is>
          <t>PROSPORT EXPRESS</t>
        </is>
      </c>
      <c r="D3405" s="144" t="n">
        <v>5016133001</v>
      </c>
      <c r="E3405" s="144" t="inlineStr">
        <is>
          <t>BOX</t>
        </is>
      </c>
      <c r="F3405" s="144" t="inlineStr">
        <is>
          <t>P976756 IL</t>
        </is>
      </c>
      <c r="G3405" s="144" t="inlineStr">
        <is>
          <t>BLUE KENWORTH</t>
        </is>
      </c>
      <c r="H3405" s="144" t="n">
        <v>1221</v>
      </c>
      <c r="I3405" s="144" t="inlineStr">
        <is>
          <t>COMMERCIAL</t>
        </is>
      </c>
    </row>
    <row r="3406" ht="18" customHeight="1" s="7">
      <c r="A3406" s="144" t="inlineStr">
        <is>
          <t>LAWSON DOMINIC</t>
        </is>
      </c>
      <c r="B3406" s="144" t="inlineStr">
        <is>
          <t>L250172893410 FL</t>
        </is>
      </c>
      <c r="C3406" s="144" t="inlineStr">
        <is>
          <t>TRANSFARMERS</t>
        </is>
      </c>
      <c r="D3406" s="144" t="n">
        <v>9047290513</v>
      </c>
      <c r="E3406" s="144" t="inlineStr">
        <is>
          <t>BOX</t>
        </is>
      </c>
      <c r="F3406" s="144" t="inlineStr">
        <is>
          <t>PLC535633 IL</t>
        </is>
      </c>
      <c r="G3406" s="144" t="inlineStr">
        <is>
          <t>YELLOW KENWORTH</t>
        </is>
      </c>
      <c r="H3406" s="144" t="n">
        <v>1221</v>
      </c>
      <c r="I3406" s="144" t="inlineStr">
        <is>
          <t>COMMERCIAL</t>
        </is>
      </c>
    </row>
    <row r="3407" ht="18" customHeight="1" s="7">
      <c r="A3407" s="144" t="inlineStr">
        <is>
          <t xml:space="preserve">ZIMMERMAN TIMOTHY </t>
        </is>
      </c>
      <c r="B3407" s="144" t="inlineStr">
        <is>
          <t>Z565338700631 FL</t>
        </is>
      </c>
      <c r="C3407" s="144" t="inlineStr">
        <is>
          <t>WRIGHT EXPRESS</t>
        </is>
      </c>
      <c r="D3407" s="144" t="n">
        <v>7175159799</v>
      </c>
      <c r="E3407" s="144" t="inlineStr">
        <is>
          <t>BOX</t>
        </is>
      </c>
      <c r="F3407" s="144" t="inlineStr">
        <is>
          <t>AG75273 PA</t>
        </is>
      </c>
      <c r="G3407" s="144" t="inlineStr">
        <is>
          <t>GREY VOLVO</t>
        </is>
      </c>
      <c r="H3407" s="144" t="n">
        <v>1221</v>
      </c>
      <c r="I3407" s="144" t="inlineStr">
        <is>
          <t>COMMERCIAL</t>
        </is>
      </c>
    </row>
    <row r="3408" ht="18" customHeight="1" s="7">
      <c r="A3408" s="144" t="inlineStr">
        <is>
          <t>SMITH BRYAN</t>
        </is>
      </c>
      <c r="B3408" s="144" t="inlineStr">
        <is>
          <t>S530073723410 FL</t>
        </is>
      </c>
      <c r="C3408" s="144" t="inlineStr">
        <is>
          <t>SMITH FARMS</t>
        </is>
      </c>
      <c r="D3408" s="144" t="n">
        <v>8505459455</v>
      </c>
      <c r="E3408" s="144" t="inlineStr">
        <is>
          <t>FLAT</t>
        </is>
      </c>
      <c r="F3408" s="144" t="inlineStr">
        <is>
          <t>XE118Q FL</t>
        </is>
      </c>
      <c r="G3408" s="144" t="inlineStr">
        <is>
          <t>WHITE KENWORTH</t>
        </is>
      </c>
      <c r="H3408" s="144" t="n">
        <v>1221</v>
      </c>
      <c r="I3408" s="144" t="inlineStr">
        <is>
          <t>COMMERCIAL</t>
        </is>
      </c>
    </row>
    <row r="3409" ht="18" customHeight="1" s="7">
      <c r="A3409" s="144" t="inlineStr">
        <is>
          <t>CAREY JATAVEEAN</t>
        </is>
      </c>
      <c r="B3409" s="144" t="inlineStr">
        <is>
          <t>C600435920680 FL</t>
        </is>
      </c>
      <c r="C3409" s="144" t="inlineStr">
        <is>
          <t>YK EXPRESS</t>
        </is>
      </c>
      <c r="D3409" s="144" t="n">
        <v>3528952408</v>
      </c>
      <c r="E3409" s="144" t="inlineStr">
        <is>
          <t>FLAT</t>
        </is>
      </c>
      <c r="F3409" s="144" t="inlineStr">
        <is>
          <t>XE434V FL</t>
        </is>
      </c>
      <c r="G3409" s="144" t="inlineStr">
        <is>
          <t>RED FREIGHTLINER</t>
        </is>
      </c>
      <c r="H3409" s="144" t="n">
        <v>1221</v>
      </c>
      <c r="I3409" s="144" t="inlineStr">
        <is>
          <t>COMMERCIAL</t>
        </is>
      </c>
    </row>
    <row r="3410" ht="15.5" customHeight="1" s="7">
      <c r="A3410" s="144" t="inlineStr">
        <is>
          <t>QUENTON JAMES</t>
        </is>
      </c>
      <c r="B3410" s="144" t="inlineStr">
        <is>
          <t>*0513371437 GA</t>
        </is>
      </c>
      <c r="C3410" s="144" t="inlineStr">
        <is>
          <t>CITY OF ALBANY</t>
        </is>
      </c>
      <c r="D3410" s="144" t="n">
        <v>2293440646</v>
      </c>
      <c r="E3410" s="144" t="inlineStr">
        <is>
          <t>BOX</t>
        </is>
      </c>
      <c r="F3410" s="144" t="inlineStr">
        <is>
          <t>GV3974U GA</t>
        </is>
      </c>
      <c r="G3410" s="144" t="inlineStr">
        <is>
          <t>WHITE FORD</t>
        </is>
      </c>
      <c r="H3410" s="144" t="inlineStr">
        <is>
          <t>BASE WIDE</t>
        </is>
      </c>
      <c r="I3410" s="144" t="inlineStr">
        <is>
          <t>CONTRACTOR</t>
        </is>
      </c>
    </row>
    <row r="3411" ht="18" customHeight="1" s="7">
      <c r="A3411" s="144" t="inlineStr">
        <is>
          <t>LOZINSCHI DORIN</t>
        </is>
      </c>
      <c r="B3411" s="144" t="inlineStr">
        <is>
          <t>L233460984000</t>
        </is>
      </c>
      <c r="C3411" s="144" t="inlineStr">
        <is>
          <t>DL EXPRESS</t>
        </is>
      </c>
      <c r="D3411" s="144" t="n">
        <v>3054331453</v>
      </c>
      <c r="E3411" s="144" t="inlineStr">
        <is>
          <t>FLAT</t>
        </is>
      </c>
      <c r="F3411" s="144" t="inlineStr">
        <is>
          <t>74189RP WAS</t>
        </is>
      </c>
      <c r="G3411" s="144" t="inlineStr">
        <is>
          <t>GREY VOLVO</t>
        </is>
      </c>
      <c r="H3411" s="144" t="n">
        <v>1221</v>
      </c>
      <c r="I3411" s="144" t="inlineStr">
        <is>
          <t>COMMERCIAL</t>
        </is>
      </c>
    </row>
    <row r="3412" ht="18" customHeight="1" s="7">
      <c r="A3412" s="144" t="inlineStr">
        <is>
          <t>ANDRA TIFT</t>
        </is>
      </c>
      <c r="B3412" s="144" t="inlineStr">
        <is>
          <t>*055301696 GA</t>
        </is>
      </c>
      <c r="C3412" s="144" t="inlineStr">
        <is>
          <t>TIFT TRANS</t>
        </is>
      </c>
      <c r="D3412" s="144" t="n">
        <v>2292569293</v>
      </c>
      <c r="E3412" s="144" t="inlineStr">
        <is>
          <t>PU</t>
        </is>
      </c>
      <c r="F3412" s="144" t="inlineStr">
        <is>
          <t>C049AE GA</t>
        </is>
      </c>
      <c r="G3412" s="144" t="inlineStr">
        <is>
          <t>WHITE RAM</t>
        </is>
      </c>
      <c r="H3412" s="144" t="n">
        <v>1221</v>
      </c>
      <c r="I3412" s="144" t="inlineStr">
        <is>
          <t>CONTRACTOR</t>
        </is>
      </c>
    </row>
    <row r="3413" ht="18" customHeight="1" s="7">
      <c r="A3413" s="144" t="inlineStr">
        <is>
          <t>TOMA ANDREI</t>
        </is>
      </c>
      <c r="B3413" s="144" t="inlineStr">
        <is>
          <t>T50000089142 IL</t>
        </is>
      </c>
      <c r="C3413" s="144" t="inlineStr">
        <is>
          <t>TOMA TRANS</t>
        </is>
      </c>
      <c r="D3413" s="144" t="n">
        <v>6307439355</v>
      </c>
      <c r="E3413" s="144" t="inlineStr">
        <is>
          <t>FLAT</t>
        </is>
      </c>
      <c r="F3413" s="144" t="inlineStr">
        <is>
          <t>P1230094 IL</t>
        </is>
      </c>
      <c r="G3413" s="144" t="inlineStr">
        <is>
          <t>WHITE FREIGHTLINER</t>
        </is>
      </c>
      <c r="H3413" s="144" t="n">
        <v>1221</v>
      </c>
      <c r="I3413" s="144" t="inlineStr">
        <is>
          <t>COMMERCIAL</t>
        </is>
      </c>
    </row>
    <row r="3414" ht="18" customHeight="1" s="7">
      <c r="A3414" s="144" t="inlineStr">
        <is>
          <t>SAUERWEIN DONNIE</t>
        </is>
      </c>
      <c r="B3414" s="144" t="inlineStr">
        <is>
          <t>RQ282249 OH</t>
        </is>
      </c>
      <c r="C3414" s="144" t="inlineStr">
        <is>
          <t>DOUG DAVDISON</t>
        </is>
      </c>
      <c r="D3414" s="144" t="n">
        <v>3307170547</v>
      </c>
      <c r="E3414" s="144" t="inlineStr">
        <is>
          <t>FLAT</t>
        </is>
      </c>
      <c r="F3414" s="144" t="inlineStr">
        <is>
          <t>PXA2067 OH</t>
        </is>
      </c>
      <c r="G3414" s="144" t="inlineStr">
        <is>
          <t>GREEN KENWORTH</t>
        </is>
      </c>
      <c r="H3414" s="144" t="n">
        <v>1221</v>
      </c>
      <c r="I3414" s="144" t="inlineStr">
        <is>
          <t>COMMERCIAL</t>
        </is>
      </c>
    </row>
    <row r="3415" ht="18" customHeight="1" s="7">
      <c r="A3415" s="144" t="inlineStr">
        <is>
          <t>GOLUB VLADISLAV</t>
        </is>
      </c>
      <c r="B3415" s="144" t="inlineStr">
        <is>
          <t>VD910163 OH</t>
        </is>
      </c>
      <c r="C3415" s="144" t="inlineStr">
        <is>
          <t>A&amp;Z</t>
        </is>
      </c>
      <c r="D3415" s="144" t="n">
        <v>8435914862</v>
      </c>
      <c r="E3415" s="144" t="inlineStr">
        <is>
          <t>FLAT</t>
        </is>
      </c>
      <c r="F3415" s="144" t="inlineStr">
        <is>
          <t>A95397 OH</t>
        </is>
      </c>
      <c r="G3415" s="144" t="inlineStr">
        <is>
          <t>BLUE PETERBILT</t>
        </is>
      </c>
      <c r="H3415" s="144" t="n">
        <v>1221</v>
      </c>
      <c r="I3415" s="144" t="inlineStr">
        <is>
          <t>COMMERCIAL</t>
        </is>
      </c>
    </row>
    <row r="3416" ht="18" customHeight="1" s="7">
      <c r="A3416" s="144" t="inlineStr">
        <is>
          <t>KING DANIEL</t>
        </is>
      </c>
      <c r="B3416" s="144" t="inlineStr">
        <is>
          <t>*008761867 LA</t>
        </is>
      </c>
      <c r="C3416" s="144" t="inlineStr">
        <is>
          <t>RIVER WOOD</t>
        </is>
      </c>
      <c r="D3416" s="144" t="n">
        <v>3182434134</v>
      </c>
      <c r="E3416" s="144" t="inlineStr">
        <is>
          <t>FLAT</t>
        </is>
      </c>
      <c r="F3416" s="144" t="inlineStr">
        <is>
          <t>Z001900 UT</t>
        </is>
      </c>
      <c r="G3416" s="144" t="inlineStr">
        <is>
          <t>GRAY PETERBILT</t>
        </is>
      </c>
      <c r="H3416" s="144" t="n">
        <v>1221</v>
      </c>
      <c r="I3416" s="144" t="inlineStr">
        <is>
          <t>COMMERCIAL</t>
        </is>
      </c>
    </row>
    <row r="3417" ht="18" customHeight="1" s="7">
      <c r="A3417" s="144" t="inlineStr">
        <is>
          <t>KATBAYEV GALYMZHAN</t>
        </is>
      </c>
      <c r="B3417" s="144" t="inlineStr">
        <is>
          <t>WDL74R7DF13B WA</t>
        </is>
      </c>
      <c r="C3417" s="144" t="inlineStr">
        <is>
          <t>WWH</t>
        </is>
      </c>
      <c r="D3417" s="144" t="n">
        <v>3475364551</v>
      </c>
      <c r="E3417" s="144" t="inlineStr">
        <is>
          <t>PU</t>
        </is>
      </c>
      <c r="F3417" s="144" t="inlineStr">
        <is>
          <t>205327 IL</t>
        </is>
      </c>
      <c r="G3417" s="144" t="inlineStr">
        <is>
          <t>WHITE FORD</t>
        </is>
      </c>
      <c r="H3417" s="144" t="n">
        <v>1330</v>
      </c>
      <c r="I3417" s="144" t="inlineStr">
        <is>
          <t>CONTRACTOR</t>
        </is>
      </c>
    </row>
    <row r="3418" ht="18" customHeight="1" s="7">
      <c r="A3418" s="144" t="inlineStr">
        <is>
          <t>WALKER LUIS</t>
        </is>
      </c>
      <c r="B3418" s="144" t="inlineStr">
        <is>
          <t>W426527804160 FL</t>
        </is>
      </c>
      <c r="C3418" s="144" t="inlineStr">
        <is>
          <t>MEDIACOM</t>
        </is>
      </c>
      <c r="D3418" s="144" t="n">
        <v>3057751161</v>
      </c>
      <c r="E3418" s="144" t="inlineStr">
        <is>
          <t>VAN</t>
        </is>
      </c>
      <c r="F3418" s="144" t="inlineStr">
        <is>
          <t>CLA9657 GA</t>
        </is>
      </c>
      <c r="G3418" s="144" t="inlineStr">
        <is>
          <t>WHITE FORD</t>
        </is>
      </c>
      <c r="H3418" s="144" t="n">
        <v>3500</v>
      </c>
      <c r="I3418" s="144" t="inlineStr">
        <is>
          <t>CONTRACTOR</t>
        </is>
      </c>
    </row>
    <row r="3419" ht="18" customHeight="1" s="7">
      <c r="A3419" s="144" t="inlineStr">
        <is>
          <t>SINGH KULWINDER</t>
        </is>
      </c>
      <c r="B3419" s="144" t="inlineStr">
        <is>
          <t>W1658155 CA</t>
        </is>
      </c>
      <c r="C3419" s="144" t="inlineStr">
        <is>
          <t>SIGNATURE FLEET</t>
        </is>
      </c>
      <c r="D3419" s="144" t="n">
        <v>2095354987</v>
      </c>
      <c r="E3419" s="144" t="inlineStr">
        <is>
          <t>BOX</t>
        </is>
      </c>
      <c r="F3419" s="144" t="inlineStr">
        <is>
          <t>ZP48264 CA</t>
        </is>
      </c>
      <c r="G3419" s="144" t="inlineStr">
        <is>
          <t>WHITE FRAIGHTLINE</t>
        </is>
      </c>
      <c r="H3419" s="144" t="n">
        <v>1221</v>
      </c>
      <c r="I3419" s="144" t="inlineStr">
        <is>
          <t>COMMERCIAL</t>
        </is>
      </c>
    </row>
    <row r="3420" ht="18" customHeight="1" s="7">
      <c r="A3420" s="144" t="inlineStr">
        <is>
          <t>NAHIRNIAK VALENTYN</t>
        </is>
      </c>
      <c r="B3420" s="144" t="inlineStr">
        <is>
          <t>*000047864263 NC</t>
        </is>
      </c>
      <c r="C3420" s="144" t="inlineStr">
        <is>
          <t>STRATAN INC</t>
        </is>
      </c>
      <c r="D3420" s="144" t="n">
        <v>7049198460</v>
      </c>
      <c r="E3420" s="144" t="inlineStr">
        <is>
          <t>FLAT</t>
        </is>
      </c>
      <c r="F3420" s="144" t="inlineStr">
        <is>
          <t>WV8978 NC</t>
        </is>
      </c>
      <c r="G3420" s="144" t="inlineStr">
        <is>
          <t>WHITE VOLVO</t>
        </is>
      </c>
      <c r="H3420" s="144" t="n">
        <v>1221</v>
      </c>
      <c r="I3420" s="144" t="inlineStr">
        <is>
          <t>COMMERCIAL</t>
        </is>
      </c>
    </row>
    <row r="3421" ht="18" customHeight="1" s="7">
      <c r="A3421" s="144" t="inlineStr">
        <is>
          <t>LARSEN LEIF</t>
        </is>
      </c>
      <c r="B3421" s="144" t="inlineStr">
        <is>
          <t>L625212781420 FL</t>
        </is>
      </c>
      <c r="C3421" s="144" t="inlineStr">
        <is>
          <t>CLE TRANS</t>
        </is>
      </c>
      <c r="D3421" s="144" t="n">
        <v>9549131998</v>
      </c>
      <c r="E3421" s="144" t="inlineStr">
        <is>
          <t>BOX</t>
        </is>
      </c>
      <c r="F3421" s="144" t="inlineStr">
        <is>
          <t>PWP4908 OH</t>
        </is>
      </c>
      <c r="G3421" s="144" t="inlineStr">
        <is>
          <t>BLACK MACK</t>
        </is>
      </c>
      <c r="H3421" s="144" t="n">
        <v>1221</v>
      </c>
      <c r="I3421" s="144" t="inlineStr">
        <is>
          <t>COMMERCIAL</t>
        </is>
      </c>
    </row>
    <row r="3422" ht="18" customHeight="1" s="7">
      <c r="A3422" s="144" t="inlineStr">
        <is>
          <t>DONALD MAMPEL</t>
        </is>
      </c>
      <c r="B3422" s="144" t="inlineStr">
        <is>
          <t>*053973849 GA</t>
        </is>
      </c>
      <c r="C3422" s="144" t="inlineStr">
        <is>
          <t>LAND STAR</t>
        </is>
      </c>
      <c r="D3422" s="144" t="n">
        <v>4043953252</v>
      </c>
      <c r="E3422" s="144" t="inlineStr">
        <is>
          <t>BOX</t>
        </is>
      </c>
      <c r="F3422" s="144" t="inlineStr">
        <is>
          <t>3557502 IN</t>
        </is>
      </c>
      <c r="G3422" s="144" t="inlineStr">
        <is>
          <t>RED FREIGHTLINER</t>
        </is>
      </c>
      <c r="H3422" s="144" t="n">
        <v>1221</v>
      </c>
      <c r="I3422" s="144" t="inlineStr">
        <is>
          <t>COMMERCIAL</t>
        </is>
      </c>
    </row>
    <row r="3423" ht="18" customHeight="1" s="7">
      <c r="A3423" s="144" t="inlineStr">
        <is>
          <t>JARED GIBSON</t>
        </is>
      </c>
      <c r="B3423" s="144" t="inlineStr">
        <is>
          <t>*059735617</t>
        </is>
      </c>
      <c r="C3423" s="144" t="inlineStr">
        <is>
          <t>FOURSTAR</t>
        </is>
      </c>
      <c r="D3423" s="144" t="n">
        <v>2292558781</v>
      </c>
      <c r="E3423" s="144" t="inlineStr">
        <is>
          <t>PU</t>
        </is>
      </c>
      <c r="F3423" s="144" t="inlineStr">
        <is>
          <t>38A4W4P AL</t>
        </is>
      </c>
      <c r="G3423" s="144" t="inlineStr">
        <is>
          <t>WHITE FORD</t>
        </is>
      </c>
      <c r="H3423" s="144" t="n">
        <v>1330</v>
      </c>
      <c r="I3423" s="144" t="inlineStr">
        <is>
          <t>CONTRACTOR</t>
        </is>
      </c>
    </row>
    <row r="3424" ht="18" customHeight="1" s="7">
      <c r="A3424" s="144" t="inlineStr">
        <is>
          <t>MADATOV BEKZOD</t>
        </is>
      </c>
      <c r="B3424" s="144" t="inlineStr">
        <is>
          <t>VR145708 OH</t>
        </is>
      </c>
      <c r="C3424" s="144" t="inlineStr">
        <is>
          <t>UZLAND LLC</t>
        </is>
      </c>
      <c r="D3424" s="144" t="n">
        <v>33076314400</v>
      </c>
      <c r="E3424" s="144" t="inlineStr">
        <is>
          <t>BOX</t>
        </is>
      </c>
      <c r="F3424" s="144" t="inlineStr">
        <is>
          <t>PXD1026 OHIO</t>
        </is>
      </c>
      <c r="G3424" s="144" t="inlineStr">
        <is>
          <t>WHITE VOVO</t>
        </is>
      </c>
      <c r="H3424" s="144" t="n">
        <v>1221</v>
      </c>
      <c r="I3424" s="144" t="inlineStr">
        <is>
          <t>COMMERCIAL</t>
        </is>
      </c>
    </row>
    <row r="3425" ht="18" customHeight="1" s="7">
      <c r="A3425" s="144" t="inlineStr">
        <is>
          <t>RONDELL WILSON</t>
        </is>
      </c>
      <c r="B3425" s="144" t="inlineStr">
        <is>
          <t>*056095367 GA</t>
        </is>
      </c>
      <c r="C3425" s="144" t="inlineStr">
        <is>
          <t>BOLT EXPRESS</t>
        </is>
      </c>
      <c r="D3425" s="144" t="n">
        <v>6784344996</v>
      </c>
      <c r="E3425" s="144" t="inlineStr">
        <is>
          <t>VAN</t>
        </is>
      </c>
      <c r="F3425" s="144" t="inlineStr">
        <is>
          <t>CXR3323 GA</t>
        </is>
      </c>
      <c r="G3425" s="144" t="inlineStr">
        <is>
          <t>WHITE DODGE</t>
        </is>
      </c>
      <c r="H3425" s="144" t="n">
        <v>7501</v>
      </c>
      <c r="I3425" s="144" t="inlineStr">
        <is>
          <t>CONTRACTOR</t>
        </is>
      </c>
    </row>
    <row r="3426" ht="18" customHeight="1" s="7">
      <c r="A3426" s="144" t="inlineStr">
        <is>
          <t>HURLEY MICHAEL</t>
        </is>
      </c>
      <c r="B3426" s="144" t="inlineStr">
        <is>
          <t>T63451123 VA</t>
        </is>
      </c>
      <c r="C3426" s="144" t="inlineStr">
        <is>
          <t>ABEL CON</t>
        </is>
      </c>
      <c r="D3426" s="144" t="n">
        <v>5403605046</v>
      </c>
      <c r="E3426" s="144" t="inlineStr">
        <is>
          <t>PU</t>
        </is>
      </c>
      <c r="F3426" s="144" t="inlineStr">
        <is>
          <t>TMN3183 VA</t>
        </is>
      </c>
      <c r="G3426" s="144" t="inlineStr">
        <is>
          <t>GREY CHEVY</t>
        </is>
      </c>
      <c r="H3426" s="144" t="inlineStr">
        <is>
          <t>HOUSING</t>
        </is>
      </c>
      <c r="I3426" s="144" t="inlineStr">
        <is>
          <t>CONTRACTOR</t>
        </is>
      </c>
    </row>
    <row r="3427" ht="18" customHeight="1" s="7">
      <c r="A3427" s="144" t="inlineStr">
        <is>
          <t>DRUMMONDS SAMUEL</t>
        </is>
      </c>
      <c r="B3427" s="144" t="inlineStr">
        <is>
          <t>800822851 MS</t>
        </is>
      </c>
      <c r="C3427" s="144" t="inlineStr">
        <is>
          <t xml:space="preserve">EFS </t>
        </is>
      </c>
      <c r="D3427" s="144" t="n">
        <v>6017170989</v>
      </c>
      <c r="E3427" s="144" t="inlineStr">
        <is>
          <t>BOX</t>
        </is>
      </c>
      <c r="F3427" s="144" t="inlineStr">
        <is>
          <t>A525096 MS</t>
        </is>
      </c>
      <c r="G3427" s="144" t="inlineStr">
        <is>
          <t>WHITE FREIGHTLINER</t>
        </is>
      </c>
      <c r="H3427" s="144" t="n">
        <v>1221</v>
      </c>
      <c r="I3427" s="144" t="inlineStr">
        <is>
          <t>COMMERCIAL</t>
        </is>
      </c>
    </row>
    <row r="3428" ht="18" customHeight="1" s="7">
      <c r="A3428" s="144" t="inlineStr">
        <is>
          <t>TIRINARD DIAZ</t>
        </is>
      </c>
      <c r="B3428" s="144" t="inlineStr">
        <is>
          <t>*055929331 GA</t>
        </is>
      </c>
      <c r="C3428" s="144" t="inlineStr">
        <is>
          <t>MOMO LOG</t>
        </is>
      </c>
      <c r="D3428" s="144" t="n">
        <v>4709492273</v>
      </c>
      <c r="E3428" s="144" t="inlineStr">
        <is>
          <t>BOX</t>
        </is>
      </c>
      <c r="F3428" s="144" t="inlineStr">
        <is>
          <t>P1302445 IL</t>
        </is>
      </c>
      <c r="G3428" s="144" t="inlineStr">
        <is>
          <t>WHITE VOLVO</t>
        </is>
      </c>
      <c r="H3428" s="144" t="n">
        <v>1221</v>
      </c>
      <c r="I3428" s="144" t="inlineStr">
        <is>
          <t>COMMERCIAL</t>
        </is>
      </c>
    </row>
    <row r="3429" ht="18" customHeight="1" s="7">
      <c r="A3429" s="144" t="inlineStr">
        <is>
          <t>SANTOYA WILLIAM</t>
        </is>
      </c>
      <c r="B3429" s="144" t="inlineStr">
        <is>
          <t>*00623614 TX</t>
        </is>
      </c>
      <c r="C3429" s="144" t="inlineStr">
        <is>
          <t>F2F TRANS</t>
        </is>
      </c>
      <c r="D3429" s="144" t="n">
        <v>2549311603</v>
      </c>
      <c r="E3429" s="144" t="inlineStr">
        <is>
          <t>BOX</t>
        </is>
      </c>
      <c r="F3429" s="144" t="inlineStr">
        <is>
          <t>R679691 TX</t>
        </is>
      </c>
      <c r="G3429" s="144" t="inlineStr">
        <is>
          <t>BLUE INTERNATIONAL</t>
        </is>
      </c>
      <c r="H3429" s="144" t="n">
        <v>1221</v>
      </c>
      <c r="I3429" s="144" t="inlineStr">
        <is>
          <t>COMMERCIAL</t>
        </is>
      </c>
    </row>
    <row r="3430" ht="18" customHeight="1" s="7">
      <c r="A3430" s="144" t="inlineStr">
        <is>
          <t>GREENE JOHN</t>
        </is>
      </c>
      <c r="B3430" s="144" t="inlineStr">
        <is>
          <t>*035773585 GA</t>
        </is>
      </c>
      <c r="C3430" s="144" t="inlineStr">
        <is>
          <t xml:space="preserve">EXPRESS </t>
        </is>
      </c>
      <c r="D3430" s="144" t="n">
        <v>2293524300</v>
      </c>
      <c r="E3430" s="144" t="inlineStr">
        <is>
          <t>DUMP</t>
        </is>
      </c>
      <c r="F3430" s="144" t="inlineStr">
        <is>
          <t>EPQ815 GA</t>
        </is>
      </c>
      <c r="G3430" s="144" t="inlineStr">
        <is>
          <t>GREEN PETERBILT</t>
        </is>
      </c>
      <c r="H3430" s="144" t="inlineStr">
        <is>
          <t>BASE</t>
        </is>
      </c>
      <c r="I3430" s="144" t="inlineStr">
        <is>
          <t>COMMERCIAL</t>
        </is>
      </c>
    </row>
    <row r="3431" ht="18" customHeight="1" s="7">
      <c r="A3431" s="144" t="inlineStr">
        <is>
          <t>SERAPHIN JUNIOR</t>
        </is>
      </c>
      <c r="B3431" s="144" t="inlineStr">
        <is>
          <t>S615420850890 IL</t>
        </is>
      </c>
      <c r="C3431" s="144" t="inlineStr">
        <is>
          <t>1ST CLASS EXPRESS</t>
        </is>
      </c>
      <c r="D3431" s="144" t="n">
        <v>4074859453</v>
      </c>
      <c r="E3431" s="144" t="inlineStr">
        <is>
          <t>BOX</t>
        </is>
      </c>
      <c r="F3431" s="144" t="inlineStr">
        <is>
          <t>P1255911 IL</t>
        </is>
      </c>
      <c r="G3431" s="144" t="inlineStr">
        <is>
          <t>BLUE FREIGHTLINER</t>
        </is>
      </c>
      <c r="H3431" s="144" t="n">
        <v>1221</v>
      </c>
      <c r="I3431" s="144" t="inlineStr">
        <is>
          <t>COMMERCIAL</t>
        </is>
      </c>
    </row>
    <row r="3432" ht="18" customHeight="1" s="7">
      <c r="A3432" s="144" t="inlineStr">
        <is>
          <t>KHALIMOV MIROTABEK</t>
        </is>
      </c>
      <c r="B3432" s="144" t="inlineStr">
        <is>
          <t>977429960 NY</t>
        </is>
      </c>
      <c r="C3432" s="144" t="inlineStr">
        <is>
          <t>UNITED LANE</t>
        </is>
      </c>
      <c r="D3432" s="144" t="n">
        <v>3056195975</v>
      </c>
      <c r="E3432" s="144" t="inlineStr">
        <is>
          <t>BOX</t>
        </is>
      </c>
      <c r="F3432" s="144" t="inlineStr">
        <is>
          <t>P1321156 IL</t>
        </is>
      </c>
      <c r="G3432" s="144" t="inlineStr">
        <is>
          <t>WHITE FREIGHTLINER</t>
        </is>
      </c>
      <c r="H3432" s="144" t="n">
        <v>1221</v>
      </c>
      <c r="I3432" s="144" t="inlineStr">
        <is>
          <t>COMMERCIAL</t>
        </is>
      </c>
    </row>
    <row r="3433" ht="18" customHeight="1" s="7">
      <c r="A3433" s="144" t="inlineStr">
        <is>
          <t>DAVID PATRICK</t>
        </is>
      </c>
      <c r="B3433" s="144" t="inlineStr">
        <is>
          <t>*029981631 GA</t>
        </is>
      </c>
      <c r="C3433" s="144" t="inlineStr">
        <is>
          <t>CHEROKEE FIBER</t>
        </is>
      </c>
      <c r="D3433" s="144" t="n">
        <v>4705596760</v>
      </c>
      <c r="E3433" s="144" t="inlineStr">
        <is>
          <t>SUV</t>
        </is>
      </c>
      <c r="F3433" s="144" t="inlineStr">
        <is>
          <t>CYT7821 GA</t>
        </is>
      </c>
      <c r="G3433" s="144" t="inlineStr">
        <is>
          <t>WHITE FORD</t>
        </is>
      </c>
      <c r="H3433" s="144" t="inlineStr">
        <is>
          <t>GATE 15</t>
        </is>
      </c>
      <c r="I3433" s="144" t="inlineStr">
        <is>
          <t>CONTRACTOR</t>
        </is>
      </c>
    </row>
    <row r="3434" ht="18" customHeight="1" s="7">
      <c r="A3434" s="144" t="inlineStr">
        <is>
          <t>ZERU YONATAN</t>
        </is>
      </c>
      <c r="B3434" s="144" t="inlineStr">
        <is>
          <t>51307629 TX</t>
        </is>
      </c>
      <c r="C3434" s="144" t="inlineStr">
        <is>
          <t>BRUK TRUCKING LLC</t>
        </is>
      </c>
      <c r="D3434" s="144" t="n">
        <v>5104888655</v>
      </c>
      <c r="E3434" s="144" t="inlineStr">
        <is>
          <t>BOX</t>
        </is>
      </c>
      <c r="F3434" s="144" t="inlineStr">
        <is>
          <t>XP9256 CA</t>
        </is>
      </c>
      <c r="G3434" s="144" t="inlineStr">
        <is>
          <t>GOLD FREIGHTLINER</t>
        </is>
      </c>
      <c r="H3434" s="144" t="n">
        <v>1221</v>
      </c>
      <c r="I3434" s="144" t="inlineStr">
        <is>
          <t>COMMERCIAL</t>
        </is>
      </c>
    </row>
    <row r="3435" ht="18" customHeight="1" s="7">
      <c r="A3435" s="144" t="inlineStr">
        <is>
          <t>MALENCHAN VASILIY</t>
        </is>
      </c>
      <c r="B3435" s="144" t="inlineStr">
        <is>
          <t>WDL60R50473B WA</t>
        </is>
      </c>
      <c r="C3435" s="144" t="inlineStr">
        <is>
          <t>MY ALPINE LLC</t>
        </is>
      </c>
      <c r="D3435" s="144" t="n">
        <v>5039364281</v>
      </c>
      <c r="E3435" s="144" t="inlineStr">
        <is>
          <t>BOX</t>
        </is>
      </c>
      <c r="F3435" s="144" t="inlineStr">
        <is>
          <t>RP16946 WA</t>
        </is>
      </c>
      <c r="G3435" s="144" t="inlineStr">
        <is>
          <t>WHITE VOLVO</t>
        </is>
      </c>
      <c r="H3435" s="144" t="n">
        <v>1221</v>
      </c>
      <c r="I3435" s="144" t="inlineStr">
        <is>
          <t>COMMERCIAL</t>
        </is>
      </c>
    </row>
    <row r="3436" ht="18" customHeight="1" s="7">
      <c r="A3436" s="144" t="inlineStr">
        <is>
          <t>VICTOR MANAGES</t>
        </is>
      </c>
      <c r="B3436" s="144" t="inlineStr">
        <is>
          <t>*071576514 GA</t>
        </is>
      </c>
      <c r="C3436" s="144" t="inlineStr">
        <is>
          <t>CBSI</t>
        </is>
      </c>
      <c r="D3436" s="144" t="n">
        <v>8487021627</v>
      </c>
      <c r="E3436" s="144" t="inlineStr">
        <is>
          <t>PU</t>
        </is>
      </c>
      <c r="F3436" s="144" t="inlineStr">
        <is>
          <t>CYK3685 GA</t>
        </is>
      </c>
      <c r="G3436" s="144" t="inlineStr">
        <is>
          <t>WHITE NISSAN</t>
        </is>
      </c>
      <c r="H3436" s="144" t="n">
        <v>7501</v>
      </c>
      <c r="I3436" s="144" t="inlineStr">
        <is>
          <t>CONTRACTOR</t>
        </is>
      </c>
    </row>
    <row r="3437" ht="18" customHeight="1" s="7">
      <c r="A3437" s="144" t="inlineStr">
        <is>
          <t>ERIC DITCHKOFF</t>
        </is>
      </c>
      <c r="B3437" s="144" t="inlineStr">
        <is>
          <t>*058896123 GA</t>
        </is>
      </c>
      <c r="C3437" s="144" t="inlineStr">
        <is>
          <t>CHASE</t>
        </is>
      </c>
      <c r="D3437" s="144" t="n">
        <v>4047894732</v>
      </c>
      <c r="E3437" s="144" t="inlineStr">
        <is>
          <t>PU</t>
        </is>
      </c>
      <c r="F3437" s="144" t="inlineStr">
        <is>
          <t>DAI7748 GA</t>
        </is>
      </c>
      <c r="G3437" s="144" t="inlineStr">
        <is>
          <t>WHITE CHEVY</t>
        </is>
      </c>
      <c r="H3437" s="144" t="n">
        <v>3600</v>
      </c>
      <c r="I3437" s="144" t="inlineStr">
        <is>
          <t>CONTRACTOR</t>
        </is>
      </c>
    </row>
    <row r="3438" ht="18" customHeight="1" s="7">
      <c r="A3438" s="144" t="inlineStr">
        <is>
          <t>FLOYD THOMAS</t>
        </is>
      </c>
      <c r="B3438" s="144" t="inlineStr">
        <is>
          <t>*053436957 GA</t>
        </is>
      </c>
      <c r="C3438" s="144" t="inlineStr">
        <is>
          <t>ABIBERIA</t>
        </is>
      </c>
      <c r="D3438" s="144" t="n">
        <v>4784614469</v>
      </c>
      <c r="E3438" s="144" t="inlineStr">
        <is>
          <t>BOX</t>
        </is>
      </c>
      <c r="F3438" s="144" t="inlineStr">
        <is>
          <t>P1256914 IL</t>
        </is>
      </c>
      <c r="G3438" s="144" t="inlineStr">
        <is>
          <t>WHITE FREIGHTLINER</t>
        </is>
      </c>
      <c r="H3438" s="144" t="n">
        <v>1221</v>
      </c>
      <c r="I3438" s="144" t="inlineStr">
        <is>
          <t>COMMERCIAL</t>
        </is>
      </c>
    </row>
    <row r="3439" ht="18" customHeight="1" s="7">
      <c r="A3439" s="144" t="inlineStr">
        <is>
          <t>AYYASH AHMAD</t>
        </is>
      </c>
      <c r="B3439" s="144" t="inlineStr">
        <is>
          <t>D092160001 MI</t>
        </is>
      </c>
      <c r="C3439" s="144" t="inlineStr">
        <is>
          <t>TRUCK TRANS</t>
        </is>
      </c>
      <c r="D3439" s="144" t="n">
        <v>3143495666</v>
      </c>
      <c r="E3439" s="144" t="inlineStr">
        <is>
          <t>BOX</t>
        </is>
      </c>
      <c r="F3439" s="144" t="inlineStr">
        <is>
          <t>19KT6V MI</t>
        </is>
      </c>
      <c r="G3439" s="144" t="inlineStr">
        <is>
          <t>BLUE FREIGHTLINER</t>
        </is>
      </c>
      <c r="H3439" s="144" t="n">
        <v>1221</v>
      </c>
      <c r="I3439" s="144" t="inlineStr">
        <is>
          <t>COMMERICAL</t>
        </is>
      </c>
    </row>
    <row r="3440" ht="18" customHeight="1" s="7">
      <c r="A3440" s="144" t="inlineStr">
        <is>
          <t>ANGEL GUTIERREZ-MORAN</t>
        </is>
      </c>
      <c r="B3440" s="144" t="inlineStr">
        <is>
          <t>061461407 GA</t>
        </is>
      </c>
      <c r="C3440" s="144" t="inlineStr">
        <is>
          <t>IOVEM LOGISTICS</t>
        </is>
      </c>
      <c r="D3440" s="144" t="n">
        <v>6787732310</v>
      </c>
      <c r="E3440" s="144" t="inlineStr">
        <is>
          <t>FLAT</t>
        </is>
      </c>
      <c r="F3440" s="144" t="inlineStr">
        <is>
          <t>C548FC GA</t>
        </is>
      </c>
      <c r="G3440" s="144" t="inlineStr">
        <is>
          <t>RED MACK</t>
        </is>
      </c>
      <c r="H3440" s="144" t="n">
        <v>1221</v>
      </c>
      <c r="I3440" s="144" t="inlineStr">
        <is>
          <t>COMMERICAL</t>
        </is>
      </c>
    </row>
    <row r="3441" ht="18" customHeight="1" s="7">
      <c r="A3441" s="144" t="inlineStr">
        <is>
          <t>IBRAHIM ADEN</t>
        </is>
      </c>
      <c r="B3441" s="144" t="inlineStr">
        <is>
          <t>VD542515 OH</t>
        </is>
      </c>
      <c r="C3441" s="144" t="inlineStr">
        <is>
          <t>GELLE TRUCKING</t>
        </is>
      </c>
      <c r="D3441" s="144" t="n">
        <v>3802096734</v>
      </c>
      <c r="E3441" s="144" t="inlineStr">
        <is>
          <t>BOX</t>
        </is>
      </c>
      <c r="F3441" s="144" t="inlineStr">
        <is>
          <t>PWZ5481 OH</t>
        </is>
      </c>
      <c r="G3441" s="144" t="inlineStr">
        <is>
          <t>BLUE FREIGHTLINER</t>
        </is>
      </c>
      <c r="H3441" s="144" t="n">
        <v>1221</v>
      </c>
      <c r="I3441" s="144" t="inlineStr">
        <is>
          <t>COMMERICAL</t>
        </is>
      </c>
    </row>
    <row r="3442" ht="18" customHeight="1" s="7">
      <c r="A3442" s="144" t="inlineStr">
        <is>
          <t>FUNGAROHO BUTERA</t>
        </is>
      </c>
      <c r="B3442" s="144" t="inlineStr">
        <is>
          <t>52434777 TX</t>
        </is>
      </c>
      <c r="C3442" s="144" t="inlineStr">
        <is>
          <t>JDM</t>
        </is>
      </c>
      <c r="D3442" s="144" t="n">
        <v>4056690173</v>
      </c>
      <c r="E3442" s="144" t="inlineStr">
        <is>
          <t>BOX</t>
        </is>
      </c>
      <c r="F3442" s="144" t="inlineStr">
        <is>
          <t>P1157904 IL</t>
        </is>
      </c>
      <c r="G3442" s="144" t="inlineStr">
        <is>
          <t>WHITE FREIGHTLINER</t>
        </is>
      </c>
      <c r="H3442" s="144" t="n">
        <v>1221</v>
      </c>
      <c r="I3442" s="144" t="inlineStr">
        <is>
          <t>COMMERICAL</t>
        </is>
      </c>
    </row>
    <row r="3443" ht="18" customHeight="1" s="7">
      <c r="A3443" s="144" t="inlineStr">
        <is>
          <t>HUESKEN EDWARD</t>
        </is>
      </c>
      <c r="B3443" s="144" t="inlineStr">
        <is>
          <t>H250232862630 IL</t>
        </is>
      </c>
      <c r="C3443" s="144" t="inlineStr">
        <is>
          <t>TRILOGY TRUCKING</t>
        </is>
      </c>
      <c r="D3443" s="144" t="n">
        <v>9342221619</v>
      </c>
      <c r="E3443" s="144" t="inlineStr">
        <is>
          <t>BOX</t>
        </is>
      </c>
      <c r="F3443" s="144" t="inlineStr">
        <is>
          <t>P1155471 IL</t>
        </is>
      </c>
      <c r="G3443" s="144" t="inlineStr">
        <is>
          <t>GREEN VOLVO</t>
        </is>
      </c>
      <c r="H3443" s="144" t="n">
        <v>1221</v>
      </c>
      <c r="I3443" s="144" t="inlineStr">
        <is>
          <t>COMMERCIAL</t>
        </is>
      </c>
    </row>
    <row r="3444" ht="18" customHeight="1" s="7">
      <c r="A3444" s="144" t="inlineStr">
        <is>
          <t>JOSEPH CROSS</t>
        </is>
      </c>
      <c r="B3444" s="144" t="inlineStr">
        <is>
          <t>*058369178 GA</t>
        </is>
      </c>
      <c r="C3444" s="144" t="inlineStr">
        <is>
          <t>PEPI FOOD SERVICE</t>
        </is>
      </c>
      <c r="D3444" s="144" t="n">
        <v>2294002567</v>
      </c>
      <c r="E3444" s="144" t="inlineStr">
        <is>
          <t>BOX</t>
        </is>
      </c>
      <c r="F3444" s="144" t="inlineStr">
        <is>
          <t>38A2UH8 AL</t>
        </is>
      </c>
      <c r="G3444" s="144" t="inlineStr">
        <is>
          <t>BLUE ISUZU</t>
        </is>
      </c>
      <c r="H3444" s="144" t="inlineStr">
        <is>
          <t>BASEWIDE</t>
        </is>
      </c>
      <c r="I3444" s="144" t="inlineStr">
        <is>
          <t>CONTRACTOR</t>
        </is>
      </c>
    </row>
    <row r="3445" ht="18" customHeight="1" s="7">
      <c r="A3445" s="144" t="inlineStr">
        <is>
          <t>ANTHONY BLOUNT</t>
        </is>
      </c>
      <c r="B3445" s="144" t="inlineStr">
        <is>
          <t>10330441 AL</t>
        </is>
      </c>
      <c r="C3445" s="144" t="inlineStr">
        <is>
          <t>CLE TRANS</t>
        </is>
      </c>
      <c r="D3445" s="144" t="n">
        <v>3343432518</v>
      </c>
      <c r="E3445" s="144" t="inlineStr">
        <is>
          <t>BOX</t>
        </is>
      </c>
      <c r="F3445" s="144" t="inlineStr">
        <is>
          <t>PWW3150 OH</t>
        </is>
      </c>
      <c r="G3445" s="144" t="inlineStr">
        <is>
          <t>WHITE MACK</t>
        </is>
      </c>
      <c r="H3445" s="144" t="n">
        <v>1221</v>
      </c>
      <c r="I3445" s="144" t="inlineStr">
        <is>
          <t>COMMERCIAL</t>
        </is>
      </c>
    </row>
    <row r="3446" ht="18" customHeight="1" s="7">
      <c r="A3446" s="144" t="inlineStr">
        <is>
          <t>JOHNNNY MCCRAY</t>
        </is>
      </c>
      <c r="B3446" s="144" t="inlineStr">
        <is>
          <t>053807479 GA</t>
        </is>
      </c>
      <c r="C3446" s="144" t="inlineStr">
        <is>
          <t>CONCRETE ENTERP</t>
        </is>
      </c>
      <c r="D3446" s="144" t="n">
        <v>2298881904</v>
      </c>
      <c r="E3446" s="144" t="inlineStr">
        <is>
          <t>CRANE</t>
        </is>
      </c>
      <c r="F3446" s="144" t="inlineStr">
        <is>
          <t>EKH999 GA</t>
        </is>
      </c>
      <c r="G3446" s="144" t="inlineStr">
        <is>
          <t>WHITE FREIGHTLINER</t>
        </is>
      </c>
      <c r="H3446" s="144" t="inlineStr">
        <is>
          <t>BASEWIDE</t>
        </is>
      </c>
      <c r="I3446" s="144" t="inlineStr">
        <is>
          <t>COMMERICAL</t>
        </is>
      </c>
    </row>
    <row r="3447" ht="18" customHeight="1" s="7">
      <c r="A3447" s="144" t="inlineStr">
        <is>
          <t>JASON MOREY</t>
        </is>
      </c>
      <c r="B3447" s="144" t="inlineStr">
        <is>
          <t>055391496 GA</t>
        </is>
      </c>
      <c r="C3447" s="144" t="inlineStr">
        <is>
          <t>WIREGRASS</t>
        </is>
      </c>
      <c r="D3447" s="144" t="n">
        <v>2298945216</v>
      </c>
      <c r="E3447" s="144" t="inlineStr">
        <is>
          <t>PU</t>
        </is>
      </c>
      <c r="F3447" s="144" t="inlineStr">
        <is>
          <t>SAE3819 GA</t>
        </is>
      </c>
      <c r="G3447" s="144" t="inlineStr">
        <is>
          <t>WHITE FORD</t>
        </is>
      </c>
      <c r="H3447" s="144" t="n">
        <v>7360</v>
      </c>
      <c r="I3447" s="144" t="inlineStr">
        <is>
          <t>CONTRACTOR</t>
        </is>
      </c>
    </row>
    <row r="3448" ht="18" customHeight="1" s="7">
      <c r="A3448" s="144" t="inlineStr">
        <is>
          <t>MALIK THOMAS</t>
        </is>
      </c>
      <c r="B3448" s="144" t="inlineStr">
        <is>
          <t>T239871718000 FL</t>
        </is>
      </c>
      <c r="C3448" s="144" t="inlineStr">
        <is>
          <t xml:space="preserve">ERVIN SAILOR </t>
        </is>
      </c>
      <c r="D3448" s="144" t="n">
        <v>8505081844</v>
      </c>
      <c r="E3448" s="144" t="inlineStr">
        <is>
          <t>BOX</t>
        </is>
      </c>
      <c r="F3448" s="144" t="inlineStr">
        <is>
          <t>XE493Y FL</t>
        </is>
      </c>
      <c r="G3448" s="144" t="inlineStr">
        <is>
          <t>BLACK FREIGHTLINER</t>
        </is>
      </c>
      <c r="H3448" s="144" t="n">
        <v>7501</v>
      </c>
      <c r="I3448" s="144" t="inlineStr">
        <is>
          <t>COMMERICAL</t>
        </is>
      </c>
    </row>
    <row r="3449" ht="18" customHeight="1" s="7">
      <c r="A3449" s="144" t="inlineStr">
        <is>
          <t>JOHN LOMBARDO</t>
        </is>
      </c>
      <c r="B3449" s="144" t="inlineStr">
        <is>
          <t>000026625253 NC</t>
        </is>
      </c>
      <c r="C3449" s="144" t="inlineStr">
        <is>
          <t>AMERICITY TRANS</t>
        </is>
      </c>
      <c r="D3449" s="144" t="n">
        <v>3362508414</v>
      </c>
      <c r="E3449" s="144" t="inlineStr">
        <is>
          <t>FLAT</t>
        </is>
      </c>
      <c r="F3449" s="144" t="inlineStr">
        <is>
          <t>VW9258 IL</t>
        </is>
      </c>
      <c r="G3449" s="144" t="inlineStr">
        <is>
          <t>WHITE FREIGHTLINER</t>
        </is>
      </c>
      <c r="H3449" s="144" t="n">
        <v>1221</v>
      </c>
      <c r="I3449" s="144" t="inlineStr">
        <is>
          <t>COMMERICAL</t>
        </is>
      </c>
    </row>
    <row r="3450" ht="18" customHeight="1" s="7">
      <c r="A3450" s="144" t="inlineStr">
        <is>
          <t>JAMES KROM</t>
        </is>
      </c>
      <c r="B3450" s="144" t="inlineStr">
        <is>
          <t>1506662717 NV</t>
        </is>
      </c>
      <c r="C3450" s="144" t="inlineStr">
        <is>
          <t>LAND STAR</t>
        </is>
      </c>
      <c r="D3450" s="144" t="n">
        <v>5415560842</v>
      </c>
      <c r="E3450" s="144" t="inlineStr">
        <is>
          <t>FLAT</t>
        </is>
      </c>
      <c r="F3450" s="144" t="inlineStr">
        <is>
          <t>3068773 IN</t>
        </is>
      </c>
      <c r="G3450" s="144" t="inlineStr">
        <is>
          <t>BLACK KENWORTH</t>
        </is>
      </c>
      <c r="H3450" s="144" t="n">
        <v>1221</v>
      </c>
      <c r="I3450" s="144" t="inlineStr">
        <is>
          <t>COMMERICAL</t>
        </is>
      </c>
    </row>
    <row r="3451" ht="18" customHeight="1" s="7">
      <c r="A3451" s="144" t="inlineStr">
        <is>
          <t>SUMIC ERMIN</t>
        </is>
      </c>
      <c r="B3451" s="144" t="inlineStr">
        <is>
          <t>S21474035 KY</t>
        </is>
      </c>
      <c r="C3451" s="144" t="inlineStr">
        <is>
          <t>FLEET ONE</t>
        </is>
      </c>
      <c r="D3451" s="144" t="n">
        <v>6167172823</v>
      </c>
      <c r="E3451" s="144" t="inlineStr">
        <is>
          <t>BOX</t>
        </is>
      </c>
      <c r="F3451" s="144" t="inlineStr">
        <is>
          <t>A85503 KY</t>
        </is>
      </c>
      <c r="G3451" s="144" t="inlineStr">
        <is>
          <t>WHITE VOLVO</t>
        </is>
      </c>
      <c r="H3451" s="144" t="n">
        <v>1221</v>
      </c>
      <c r="I3451" s="144" t="inlineStr">
        <is>
          <t>COMMERICAL</t>
        </is>
      </c>
    </row>
    <row r="3452" ht="18" customHeight="1" s="7">
      <c r="A3452" s="144" t="inlineStr">
        <is>
          <t>JASON CULPEPPER</t>
        </is>
      </c>
      <c r="B3452" s="144" t="inlineStr">
        <is>
          <t>032655335 GA</t>
        </is>
      </c>
      <c r="C3452" s="144" t="inlineStr">
        <is>
          <t>TIFT AREA</t>
        </is>
      </c>
      <c r="D3452" s="144" t="n">
        <v>2293883352</v>
      </c>
      <c r="E3452" s="144" t="inlineStr">
        <is>
          <t>PU</t>
        </is>
      </c>
      <c r="F3452" s="144" t="inlineStr">
        <is>
          <t>SHE2241 GA</t>
        </is>
      </c>
      <c r="G3452" s="144" t="inlineStr">
        <is>
          <t>WHITE CHEV</t>
        </is>
      </c>
      <c r="H3452" s="144" t="inlineStr">
        <is>
          <t>OUTDOOR</t>
        </is>
      </c>
      <c r="I3452" s="144" t="inlineStr">
        <is>
          <t>CONTRACTOR</t>
        </is>
      </c>
    </row>
    <row r="3453" ht="18" customHeight="1" s="7">
      <c r="A3453" s="144" t="inlineStr">
        <is>
          <t>FRANKIE MONTALVO</t>
        </is>
      </c>
      <c r="B3453" s="144" t="inlineStr">
        <is>
          <t>M534240780910 FL</t>
        </is>
      </c>
      <c r="C3453" s="144" t="inlineStr">
        <is>
          <t>FEDEX</t>
        </is>
      </c>
      <c r="D3453" s="144" t="n">
        <v>9548924623</v>
      </c>
      <c r="E3453" s="144" t="inlineStr">
        <is>
          <t>BOX</t>
        </is>
      </c>
      <c r="F3453" s="144" t="inlineStr">
        <is>
          <t>DF34GA FL</t>
        </is>
      </c>
      <c r="G3453" s="144" t="inlineStr">
        <is>
          <t>BLUE VOLVO</t>
        </is>
      </c>
      <c r="H3453" s="144" t="n">
        <v>1221</v>
      </c>
      <c r="I3453" s="144" t="inlineStr">
        <is>
          <t>COMMERICAL</t>
        </is>
      </c>
    </row>
    <row r="3454" ht="18" customHeight="1" s="7">
      <c r="A3454" s="144" t="inlineStr">
        <is>
          <t>SYEDALI SYED</t>
        </is>
      </c>
      <c r="B3454" s="144" t="inlineStr">
        <is>
          <t>060408435 GA</t>
        </is>
      </c>
      <c r="C3454" s="144" t="inlineStr">
        <is>
          <t>AC&amp;DC</t>
        </is>
      </c>
      <c r="D3454" s="144" t="n">
        <v>4704095772</v>
      </c>
      <c r="E3454" s="144" t="inlineStr">
        <is>
          <t>VAN</t>
        </is>
      </c>
      <c r="F3454" s="144" t="inlineStr">
        <is>
          <t>TCY3351 GA</t>
        </is>
      </c>
      <c r="G3454" s="144" t="inlineStr">
        <is>
          <t>WHITE RAM</t>
        </is>
      </c>
      <c r="H3454" s="144" t="n">
        <v>3600</v>
      </c>
      <c r="I3454" s="144" t="inlineStr">
        <is>
          <t>CONTRACTOR</t>
        </is>
      </c>
    </row>
    <row r="3455" ht="18" customHeight="1" s="7">
      <c r="A3455" s="144" t="inlineStr">
        <is>
          <t>LESTER LASSITER</t>
        </is>
      </c>
      <c r="B3455" s="144" t="inlineStr">
        <is>
          <t>053042084 GA</t>
        </is>
      </c>
      <c r="C3455" s="144" t="inlineStr">
        <is>
          <t>FEDEX</t>
        </is>
      </c>
      <c r="D3455" s="144" t="n">
        <v>2293440183</v>
      </c>
      <c r="E3455" s="144" t="inlineStr">
        <is>
          <t>BOX</t>
        </is>
      </c>
      <c r="F3455" s="144" t="inlineStr">
        <is>
          <t>2501223 IN</t>
        </is>
      </c>
      <c r="G3455" s="144" t="inlineStr">
        <is>
          <t>WHITE FREIGHTLINER</t>
        </is>
      </c>
      <c r="H3455" s="144" t="n">
        <v>1330</v>
      </c>
      <c r="I3455" s="144" t="inlineStr">
        <is>
          <t>COMMERICAL</t>
        </is>
      </c>
    </row>
    <row r="3456" ht="18" customHeight="1" s="7">
      <c r="A3456" s="144" t="inlineStr">
        <is>
          <t xml:space="preserve">RISHAUD SIMMONS </t>
        </is>
      </c>
      <c r="B3456" s="144" t="inlineStr">
        <is>
          <t>802446752 MI</t>
        </is>
      </c>
      <c r="C3456" s="144" t="inlineStr">
        <is>
          <t>CHC FREIGHT</t>
        </is>
      </c>
      <c r="D3456" s="144" t="n">
        <v>2282745948</v>
      </c>
      <c r="E3456" s="144" t="inlineStr">
        <is>
          <t>BOX</t>
        </is>
      </c>
      <c r="F3456" s="144" t="inlineStr">
        <is>
          <t>P1277306 IL</t>
        </is>
      </c>
      <c r="G3456" s="144" t="inlineStr">
        <is>
          <t>RED FREIGHTLINER</t>
        </is>
      </c>
      <c r="H3456" s="144" t="n">
        <v>1221</v>
      </c>
      <c r="I3456" s="144" t="inlineStr">
        <is>
          <t>COMMERCIAL</t>
        </is>
      </c>
    </row>
    <row r="3457" ht="18" customHeight="1" s="7">
      <c r="A3457" s="144" t="inlineStr">
        <is>
          <t>CASEY BUREK</t>
        </is>
      </c>
      <c r="B3457" s="144" t="inlineStr">
        <is>
          <t>B620110861870 FL</t>
        </is>
      </c>
      <c r="C3457" s="144" t="inlineStr">
        <is>
          <t>SPECIAL OPS</t>
        </is>
      </c>
      <c r="D3457" s="144" t="n">
        <v>9549319476</v>
      </c>
      <c r="E3457" s="144" t="inlineStr">
        <is>
          <t>PU</t>
        </is>
      </c>
      <c r="F3457" s="144" t="inlineStr">
        <is>
          <t>DD20GJ FL</t>
        </is>
      </c>
      <c r="G3457" s="144" t="inlineStr">
        <is>
          <t>WHITE FORD</t>
        </is>
      </c>
      <c r="H3457" s="144" t="n">
        <v>1221</v>
      </c>
      <c r="I3457" s="144" t="inlineStr">
        <is>
          <t>CONTRACTOR</t>
        </is>
      </c>
    </row>
    <row r="3458" ht="18" customHeight="1" s="7">
      <c r="A3458" s="144" t="inlineStr">
        <is>
          <t>CHRISTIAN LUPU</t>
        </is>
      </c>
      <c r="B3458" s="144" t="inlineStr">
        <is>
          <t>L10010096018 IL</t>
        </is>
      </c>
      <c r="C3458" s="144" t="inlineStr">
        <is>
          <t>MM BROTHERS</t>
        </is>
      </c>
      <c r="D3458" s="144" t="n">
        <v>3125605495</v>
      </c>
      <c r="E3458" s="144" t="inlineStr">
        <is>
          <t>FLAT</t>
        </is>
      </c>
      <c r="F3458" s="144" t="inlineStr">
        <is>
          <t>P1302784 IL</t>
        </is>
      </c>
      <c r="G3458" s="144" t="inlineStr">
        <is>
          <t>GRAY FREIGHTLINER</t>
        </is>
      </c>
      <c r="H3458" s="144" t="n">
        <v>1221</v>
      </c>
      <c r="I3458" s="144" t="inlineStr">
        <is>
          <t>COMMERICAL</t>
        </is>
      </c>
    </row>
    <row r="3459" ht="18" customHeight="1" s="7">
      <c r="A3459" s="144" t="inlineStr">
        <is>
          <t>AGUADO NORGE</t>
        </is>
      </c>
      <c r="B3459" s="144" t="inlineStr">
        <is>
          <t>A231620673030 FL</t>
        </is>
      </c>
      <c r="C3459" s="144" t="inlineStr">
        <is>
          <t>N&amp;M HOUSTON</t>
        </is>
      </c>
      <c r="D3459" s="144" t="n">
        <v>7863265459</v>
      </c>
      <c r="E3459" s="144" t="inlineStr">
        <is>
          <t>FLAT</t>
        </is>
      </c>
      <c r="F3459" s="144" t="inlineStr">
        <is>
          <t>XE703D FL</t>
        </is>
      </c>
      <c r="G3459" s="144" t="inlineStr">
        <is>
          <t>BAIGE FREIGHTLINER</t>
        </is>
      </c>
      <c r="H3459" s="144" t="n">
        <v>1221</v>
      </c>
      <c r="I3459" s="144" t="inlineStr">
        <is>
          <t>COMMERICAL</t>
        </is>
      </c>
    </row>
    <row r="3460" ht="18" customHeight="1" s="7">
      <c r="A3460" s="144" t="inlineStr">
        <is>
          <t>DARYL JOHNSON</t>
        </is>
      </c>
      <c r="B3460" s="144" t="inlineStr">
        <is>
          <t>050903791 GA</t>
        </is>
      </c>
      <c r="C3460" s="144" t="inlineStr">
        <is>
          <t xml:space="preserve">EMPIRE </t>
        </is>
      </c>
      <c r="D3460" s="144" t="n">
        <v>2293388508</v>
      </c>
      <c r="E3460" s="144" t="inlineStr">
        <is>
          <t>VAN</t>
        </is>
      </c>
      <c r="F3460" s="144" t="inlineStr">
        <is>
          <t>SLR8494 GA</t>
        </is>
      </c>
      <c r="G3460" s="144" t="inlineStr">
        <is>
          <t>WHITE DODGE</t>
        </is>
      </c>
      <c r="H3460" s="144" t="n">
        <v>1221</v>
      </c>
      <c r="I3460" s="144" t="inlineStr">
        <is>
          <t>CONTRACTOR</t>
        </is>
      </c>
    </row>
    <row r="3461" ht="18" customHeight="1" s="7">
      <c r="A3461" s="144" t="inlineStr">
        <is>
          <t>RONALDO BRUSAMARELLO</t>
        </is>
      </c>
      <c r="B3461" s="144" t="inlineStr">
        <is>
          <t>B238086714000 FL</t>
        </is>
      </c>
      <c r="C3461" s="144" t="inlineStr">
        <is>
          <t>BRUSA</t>
        </is>
      </c>
      <c r="D3461" s="144" t="n">
        <v>7723019656</v>
      </c>
      <c r="E3461" s="144" t="inlineStr">
        <is>
          <t>FLAT</t>
        </is>
      </c>
      <c r="F3461" s="144" t="inlineStr">
        <is>
          <t>DG97BF FL</t>
        </is>
      </c>
      <c r="G3461" s="144" t="inlineStr">
        <is>
          <t>GREEN KENWORTH</t>
        </is>
      </c>
      <c r="H3461" s="144" t="n">
        <v>1221</v>
      </c>
      <c r="I3461" s="144" t="inlineStr">
        <is>
          <t>COMMERICAL</t>
        </is>
      </c>
    </row>
    <row r="3462" ht="18" customHeight="1" s="7">
      <c r="A3462" s="144" t="inlineStr">
        <is>
          <t>ELDAR BILALOV</t>
        </is>
      </c>
      <c r="B3462" s="144" t="inlineStr">
        <is>
          <t>058748325 GA</t>
        </is>
      </c>
      <c r="C3462" s="144" t="inlineStr">
        <is>
          <t>ECHO EXPRESS</t>
        </is>
      </c>
      <c r="D3462" s="144" t="n">
        <v>4705059307</v>
      </c>
      <c r="E3462" s="144" t="inlineStr">
        <is>
          <t>VAN</t>
        </is>
      </c>
      <c r="F3462" s="144" t="inlineStr">
        <is>
          <t>RZU5941 GA</t>
        </is>
      </c>
      <c r="G3462" s="144" t="inlineStr">
        <is>
          <t>WHITE DODGE</t>
        </is>
      </c>
      <c r="H3462" s="144" t="n">
        <v>1221</v>
      </c>
      <c r="I3462" s="144" t="inlineStr">
        <is>
          <t>CONTRACTOR</t>
        </is>
      </c>
    </row>
    <row r="3463" ht="18" customHeight="1" s="7">
      <c r="A3463" s="144" t="inlineStr">
        <is>
          <t>TRAVIS GAINER</t>
        </is>
      </c>
      <c r="B3463" s="144" t="inlineStr">
        <is>
          <t>0575589908 GA</t>
        </is>
      </c>
      <c r="C3463" s="144" t="inlineStr">
        <is>
          <t>MIGHTY MOVERS</t>
        </is>
      </c>
      <c r="D3463" s="144" t="n">
        <v>2292912657</v>
      </c>
      <c r="E3463" s="144" t="inlineStr">
        <is>
          <t>VAN</t>
        </is>
      </c>
      <c r="F3463" s="144" t="inlineStr">
        <is>
          <t>AL9852 AZ</t>
        </is>
      </c>
      <c r="G3463" s="144" t="inlineStr">
        <is>
          <t>WHITE FORD</t>
        </is>
      </c>
      <c r="H3463" s="144" t="n">
        <v>1221</v>
      </c>
      <c r="I3463" s="144" t="inlineStr">
        <is>
          <t>CONTRACTOR</t>
        </is>
      </c>
    </row>
    <row r="3464" ht="18" customHeight="1" s="7">
      <c r="A3464" s="144" t="inlineStr">
        <is>
          <t>JONATHAN SMITH</t>
        </is>
      </c>
      <c r="B3464" s="144" t="inlineStr">
        <is>
          <t>071634316 GA</t>
        </is>
      </c>
      <c r="C3464" s="144" t="inlineStr">
        <is>
          <t>BLUE DIAMOND TRANS</t>
        </is>
      </c>
      <c r="D3464" s="144" t="n">
        <v>6787946833</v>
      </c>
      <c r="E3464" s="144" t="inlineStr">
        <is>
          <t>FLAT</t>
        </is>
      </c>
      <c r="F3464" s="144" t="inlineStr">
        <is>
          <t>PXD3573 OH</t>
        </is>
      </c>
      <c r="G3464" s="144" t="inlineStr">
        <is>
          <t>BLACK FREIGHTLINER</t>
        </is>
      </c>
      <c r="H3464" s="144" t="n">
        <v>1221</v>
      </c>
      <c r="I3464" s="144" t="inlineStr">
        <is>
          <t>COMMERICAL</t>
        </is>
      </c>
    </row>
    <row r="3465" ht="18" customHeight="1" s="7">
      <c r="A3465" s="144" t="inlineStr">
        <is>
          <t>ZHI HUANG</t>
        </is>
      </c>
      <c r="B3465" s="144" t="inlineStr">
        <is>
          <t>UK049949 OH</t>
        </is>
      </c>
      <c r="C3465" s="144" t="inlineStr">
        <is>
          <t>JIMMY TRUCKING</t>
        </is>
      </c>
      <c r="D3465" s="144" t="n">
        <v>6149710266</v>
      </c>
      <c r="E3465" s="144" t="inlineStr">
        <is>
          <t>BOX</t>
        </is>
      </c>
      <c r="F3465" s="144" t="inlineStr">
        <is>
          <t>PWN7441 OH</t>
        </is>
      </c>
      <c r="G3465" s="144" t="inlineStr">
        <is>
          <t>WHITE KENWORTH</t>
        </is>
      </c>
      <c r="H3465" s="144" t="n">
        <v>1221</v>
      </c>
      <c r="I3465" s="144" t="inlineStr">
        <is>
          <t>COMMERICAL</t>
        </is>
      </c>
    </row>
    <row r="3466" ht="18" customHeight="1" s="7">
      <c r="A3466" s="144" t="inlineStr">
        <is>
          <t>ALEKSEVYCH OREST</t>
        </is>
      </c>
      <c r="B3466" s="144" t="inlineStr">
        <is>
          <t>A42164199290 IL</t>
        </is>
      </c>
      <c r="C3466" s="144" t="inlineStr">
        <is>
          <t>XPATH TRUCKING</t>
        </is>
      </c>
      <c r="D3466" s="144" t="n">
        <v>3122927121</v>
      </c>
      <c r="E3466" s="144" t="inlineStr">
        <is>
          <t>FLAT</t>
        </is>
      </c>
      <c r="F3466" s="144" t="inlineStr">
        <is>
          <t>P1169855 IL</t>
        </is>
      </c>
      <c r="G3466" s="144" t="inlineStr">
        <is>
          <t>RED VOLVO</t>
        </is>
      </c>
      <c r="H3466" s="144" t="n">
        <v>1221</v>
      </c>
      <c r="I3466" s="144" t="inlineStr">
        <is>
          <t>COMMERCIAL</t>
        </is>
      </c>
    </row>
    <row r="3467" ht="18" customHeight="1" s="7">
      <c r="A3467" s="144" t="inlineStr">
        <is>
          <t>ALI JLASSI</t>
        </is>
      </c>
      <c r="B3467" s="144" t="inlineStr">
        <is>
          <t>J420000804290 FL</t>
        </is>
      </c>
      <c r="C3467" s="144" t="inlineStr">
        <is>
          <t>I FREIGHT SOLUTIONS</t>
        </is>
      </c>
      <c r="D3467" s="144" t="n">
        <v>8634093486</v>
      </c>
      <c r="E3467" s="144" t="inlineStr">
        <is>
          <t>FLAT</t>
        </is>
      </c>
      <c r="F3467" s="144" t="inlineStr">
        <is>
          <t>DF45GG FL</t>
        </is>
      </c>
      <c r="G3467" s="144" t="inlineStr">
        <is>
          <t>RED VOLVO</t>
        </is>
      </c>
      <c r="H3467" s="144" t="n">
        <v>1221</v>
      </c>
      <c r="I3467" s="144" t="inlineStr">
        <is>
          <t>COMMERCIAL</t>
        </is>
      </c>
    </row>
    <row r="3468" ht="18" customHeight="1" s="7">
      <c r="A3468" s="144" t="inlineStr">
        <is>
          <t>FATHI ESSBOUI</t>
        </is>
      </c>
      <c r="B3468" s="144" t="inlineStr">
        <is>
          <t>E204692423000 FL</t>
        </is>
      </c>
      <c r="C3468" s="144" t="inlineStr">
        <is>
          <t>I FREIGHT SOLUTIONS</t>
        </is>
      </c>
      <c r="D3468" s="144" t="n">
        <v>4079141607</v>
      </c>
      <c r="E3468" s="144" t="inlineStr">
        <is>
          <t>FLAT</t>
        </is>
      </c>
      <c r="F3468" s="144" t="inlineStr">
        <is>
          <t>XD853W FL</t>
        </is>
      </c>
      <c r="G3468" s="144" t="inlineStr">
        <is>
          <t>BLUE FREIGHTLINGER</t>
        </is>
      </c>
      <c r="H3468" s="144" t="n">
        <v>1221</v>
      </c>
      <c r="I3468" s="144" t="inlineStr">
        <is>
          <t>COMMERCIAL</t>
        </is>
      </c>
    </row>
    <row r="3469" ht="18" customHeight="1" s="7">
      <c r="A3469" s="144" t="inlineStr">
        <is>
          <t>DAVID GAY</t>
        </is>
      </c>
      <c r="B3469" s="144" t="inlineStr">
        <is>
          <t>*055663717 GA</t>
        </is>
      </c>
      <c r="C3469" s="144" t="inlineStr">
        <is>
          <t>CROWN LIFT TRUCKS</t>
        </is>
      </c>
      <c r="D3469" s="144" t="n">
        <v>2293889500</v>
      </c>
      <c r="E3469" s="144" t="inlineStr">
        <is>
          <t>VAN</t>
        </is>
      </c>
      <c r="F3469" s="144" t="inlineStr">
        <is>
          <t>RNJ2094 GA</t>
        </is>
      </c>
      <c r="G3469" s="144" t="inlineStr">
        <is>
          <t>WHITE FORD</t>
        </is>
      </c>
      <c r="H3469" s="144" t="n">
        <v>1241</v>
      </c>
      <c r="I3469" s="144" t="inlineStr">
        <is>
          <t>CONTRACTOR</t>
        </is>
      </c>
    </row>
    <row r="3470" ht="18" customHeight="1" s="7">
      <c r="A3470" s="144" t="inlineStr">
        <is>
          <t>NIRMAL SINGH</t>
        </is>
      </c>
      <c r="B3470" s="144" t="inlineStr">
        <is>
          <t>*049477803 GA</t>
        </is>
      </c>
      <c r="C3470" s="144" t="inlineStr">
        <is>
          <t>GEORGIA POWERS</t>
        </is>
      </c>
      <c r="D3470" s="144" t="n">
        <v>2297026236</v>
      </c>
      <c r="E3470" s="144" t="inlineStr">
        <is>
          <t>PU</t>
        </is>
      </c>
      <c r="F3470" s="144" t="inlineStr">
        <is>
          <t>CWH1436 GA</t>
        </is>
      </c>
      <c r="G3470" s="144" t="inlineStr">
        <is>
          <t>WHITE DODGE</t>
        </is>
      </c>
      <c r="H3470" s="144" t="inlineStr">
        <is>
          <t>SOLAR FIELD</t>
        </is>
      </c>
      <c r="I3470" s="144" t="inlineStr">
        <is>
          <t>CONTRACTOR</t>
        </is>
      </c>
    </row>
    <row r="3471" ht="18" customHeight="1" s="7">
      <c r="A3471" s="144" t="inlineStr">
        <is>
          <t>NTEZIMANA</t>
        </is>
      </c>
      <c r="B3471" s="144" t="inlineStr">
        <is>
          <t>N08692919 KT</t>
        </is>
      </c>
      <c r="C3471" s="144" t="inlineStr">
        <is>
          <t>KAKANZA TRANS</t>
        </is>
      </c>
      <c r="D3471" s="144" t="n">
        <v>5024948791</v>
      </c>
      <c r="E3471" s="144" t="inlineStr">
        <is>
          <t>BOX</t>
        </is>
      </c>
      <c r="F3471" s="144" t="inlineStr">
        <is>
          <t>A90404 KT</t>
        </is>
      </c>
      <c r="G3471" s="144" t="inlineStr">
        <is>
          <t>RED FREIGHTLINER</t>
        </is>
      </c>
      <c r="H3471" s="144" t="n">
        <v>1221</v>
      </c>
      <c r="I3471" s="144" t="inlineStr">
        <is>
          <t>COMMERCIAL</t>
        </is>
      </c>
    </row>
    <row r="3472" ht="18" customHeight="1" s="7">
      <c r="A3472" s="144" t="inlineStr">
        <is>
          <t>JOHN SBAATINO</t>
        </is>
      </c>
      <c r="B3472" s="144" t="inlineStr">
        <is>
          <t>10734081 AL</t>
        </is>
      </c>
      <c r="C3472" s="144" t="inlineStr">
        <is>
          <t>RSV INC</t>
        </is>
      </c>
      <c r="D3472" s="144" t="n">
        <v>2516803209</v>
      </c>
      <c r="E3472" s="144" t="inlineStr">
        <is>
          <t>FLAT</t>
        </is>
      </c>
      <c r="F3472" s="144" t="inlineStr">
        <is>
          <t>XE72S FL</t>
        </is>
      </c>
      <c r="G3472" s="144" t="inlineStr">
        <is>
          <t>GREEN KENWORTH</t>
        </is>
      </c>
      <c r="H3472" s="144" t="n">
        <v>1221</v>
      </c>
      <c r="I3472" s="144" t="inlineStr">
        <is>
          <t>COMMERCIAL</t>
        </is>
      </c>
    </row>
    <row r="3473" ht="18" customHeight="1" s="7">
      <c r="A3473" s="144" t="inlineStr">
        <is>
          <t>CARL MOREY</t>
        </is>
      </c>
      <c r="B3473" s="144" t="inlineStr">
        <is>
          <t>*053558021 GA</t>
        </is>
      </c>
      <c r="C3473" s="144" t="inlineStr">
        <is>
          <t>WIRE GRASS</t>
        </is>
      </c>
      <c r="D3473" s="144" t="n">
        <v>2298869590</v>
      </c>
      <c r="E3473" s="144" t="inlineStr">
        <is>
          <t>PU</t>
        </is>
      </c>
      <c r="F3473" s="144" t="inlineStr">
        <is>
          <t>SAE3818 GA</t>
        </is>
      </c>
      <c r="G3473" s="144" t="inlineStr">
        <is>
          <t>SILVER FORD</t>
        </is>
      </c>
      <c r="H3473" s="144" t="inlineStr">
        <is>
          <t>GYM</t>
        </is>
      </c>
      <c r="I3473" s="144" t="inlineStr">
        <is>
          <t>CONTRACTOR</t>
        </is>
      </c>
    </row>
    <row r="3474" ht="18" customHeight="1" s="7">
      <c r="A3474" s="144" t="inlineStr">
        <is>
          <t>LAROLD DENT</t>
        </is>
      </c>
      <c r="B3474" s="144" t="inlineStr">
        <is>
          <t>*050253445 GA</t>
        </is>
      </c>
      <c r="C3474" s="144" t="inlineStr">
        <is>
          <t>LIFT1</t>
        </is>
      </c>
      <c r="D3474" s="144" t="n">
        <v>8555438663</v>
      </c>
      <c r="E3474" s="144" t="inlineStr">
        <is>
          <t>VAN</t>
        </is>
      </c>
      <c r="F3474" s="144" t="inlineStr">
        <is>
          <t>ZIC617 GA</t>
        </is>
      </c>
      <c r="G3474" s="144" t="inlineStr">
        <is>
          <t>WHITE FORD</t>
        </is>
      </c>
      <c r="H3474" s="144" t="n">
        <v>1241</v>
      </c>
      <c r="I3474" s="144" t="inlineStr">
        <is>
          <t>CONTRACTOR</t>
        </is>
      </c>
    </row>
    <row r="3475" ht="18" customHeight="1" s="7">
      <c r="A3475" s="144" t="inlineStr">
        <is>
          <t>HILLIARD LONDON</t>
        </is>
      </c>
      <c r="B3475" s="144" t="inlineStr">
        <is>
          <t>*057703177 GA</t>
        </is>
      </c>
      <c r="C3475" s="144" t="inlineStr">
        <is>
          <t>TAGGEE</t>
        </is>
      </c>
      <c r="D3475" s="144" t="n">
        <v>4705839384</v>
      </c>
      <c r="E3475" s="144" t="inlineStr">
        <is>
          <t>BOX</t>
        </is>
      </c>
      <c r="F3475" s="144" t="inlineStr">
        <is>
          <t>XE634M FL</t>
        </is>
      </c>
      <c r="G3475" s="144" t="inlineStr">
        <is>
          <t>BLUE PETERBUILT</t>
        </is>
      </c>
      <c r="H3475" s="144" t="n">
        <v>1221</v>
      </c>
      <c r="I3475" s="144" t="inlineStr">
        <is>
          <t>COMMERCIAL</t>
        </is>
      </c>
    </row>
    <row r="3476" ht="18" customHeight="1" s="7">
      <c r="A3476" s="144" t="inlineStr">
        <is>
          <t>MILTON CURTIS</t>
        </is>
      </c>
      <c r="B3476" s="144" t="inlineStr">
        <is>
          <t>M435107542870 FL</t>
        </is>
      </c>
      <c r="C3476" s="144" t="inlineStr">
        <is>
          <t xml:space="preserve">C&amp;S </t>
        </is>
      </c>
      <c r="D3476" s="144" t="n">
        <v>9045715576</v>
      </c>
      <c r="E3476" s="144" t="inlineStr">
        <is>
          <t>FLAT</t>
        </is>
      </c>
      <c r="F3476" s="144" t="inlineStr">
        <is>
          <t>XE517U FL</t>
        </is>
      </c>
      <c r="G3476" s="144" t="inlineStr">
        <is>
          <t>WHITE FORD</t>
        </is>
      </c>
      <c r="H3476" s="144" t="n">
        <v>1221</v>
      </c>
      <c r="I3476" s="144" t="inlineStr">
        <is>
          <t>COMMERCIAL</t>
        </is>
      </c>
    </row>
    <row r="3477" ht="18" customHeight="1" s="7">
      <c r="A3477" s="59" t="inlineStr">
        <is>
          <t>DANIEL MANCIL</t>
        </is>
      </c>
      <c r="B3477" s="59" t="inlineStr">
        <is>
          <t>M222622534000 FL</t>
        </is>
      </c>
      <c r="C3477" s="59" t="inlineStr">
        <is>
          <t>ATD</t>
        </is>
      </c>
      <c r="D3477" s="59" t="n">
        <v>9804392697</v>
      </c>
      <c r="E3477" s="59" t="inlineStr">
        <is>
          <t>BOX</t>
        </is>
      </c>
      <c r="F3477" s="59" t="inlineStr">
        <is>
          <t>99BIWP FL</t>
        </is>
      </c>
      <c r="G3477" s="59" t="inlineStr">
        <is>
          <t>WHITE INTERNATIONAL</t>
        </is>
      </c>
      <c r="H3477" s="59" t="inlineStr">
        <is>
          <t>MMCS</t>
        </is>
      </c>
      <c r="I3477" s="59" t="inlineStr">
        <is>
          <t>COMMERCIAL</t>
        </is>
      </c>
      <c r="J3477" s="59" t="n"/>
      <c r="K3477" s="59" t="n"/>
      <c r="L3477" s="59" t="n"/>
      <c r="M3477" s="59" t="n"/>
      <c r="N3477" s="59" t="n"/>
    </row>
    <row r="3478" ht="18" customHeight="1" s="7">
      <c r="A3478" s="144" t="inlineStr">
        <is>
          <t>KLUGE SHANNON</t>
        </is>
      </c>
      <c r="B3478" s="144" t="inlineStr">
        <is>
          <t>*007052725 SC</t>
        </is>
      </c>
      <c r="C3478" s="144" t="inlineStr">
        <is>
          <t>KLUGE TRANS</t>
        </is>
      </c>
      <c r="D3478" s="144" t="n">
        <v>8647047695</v>
      </c>
      <c r="E3478" s="144" t="inlineStr">
        <is>
          <t>FLAT</t>
        </is>
      </c>
      <c r="F3478" s="144" t="inlineStr">
        <is>
          <t>A001306 SC</t>
        </is>
      </c>
      <c r="G3478" s="144" t="inlineStr">
        <is>
          <t>RED KENWORTH</t>
        </is>
      </c>
      <c r="H3478" s="144" t="n">
        <v>1221</v>
      </c>
      <c r="I3478" s="144" t="inlineStr">
        <is>
          <t>COMMERCIAL</t>
        </is>
      </c>
    </row>
    <row r="3479" ht="18" customHeight="1" s="7">
      <c r="A3479" s="144" t="inlineStr">
        <is>
          <t>HALL CHAD</t>
        </is>
      </c>
      <c r="B3479" s="144" t="inlineStr">
        <is>
          <t>8960487350 IN</t>
        </is>
      </c>
      <c r="C3479" s="144" t="inlineStr">
        <is>
          <t>HB TRUCKING</t>
        </is>
      </c>
      <c r="D3479" s="144" t="n">
        <v>8122769895</v>
      </c>
      <c r="E3479" s="144" t="inlineStr">
        <is>
          <t>BOX</t>
        </is>
      </c>
      <c r="F3479" s="144" t="inlineStr">
        <is>
          <t>3514302 IN</t>
        </is>
      </c>
      <c r="G3479" s="144" t="inlineStr">
        <is>
          <t>WHITE INTER</t>
        </is>
      </c>
      <c r="H3479" s="144" t="n">
        <v>1221</v>
      </c>
      <c r="I3479" s="144" t="inlineStr">
        <is>
          <t>COMMERCIAL</t>
        </is>
      </c>
    </row>
    <row r="3480" ht="18" customHeight="1" s="7">
      <c r="A3480" s="144" t="inlineStr">
        <is>
          <t>SOTO RAMOS</t>
        </is>
      </c>
      <c r="B3480" s="144" t="inlineStr">
        <is>
          <t>S365000820270 FL</t>
        </is>
      </c>
      <c r="C3480" s="144" t="inlineStr">
        <is>
          <t>CRUISES</t>
        </is>
      </c>
      <c r="D3480" s="144" t="n">
        <v>4077939070</v>
      </c>
      <c r="E3480" s="144" t="inlineStr">
        <is>
          <t>FLAT</t>
        </is>
      </c>
      <c r="F3480" s="144" t="inlineStr">
        <is>
          <t>DF17GZ FL</t>
        </is>
      </c>
      <c r="G3480" s="144" t="inlineStr">
        <is>
          <t>WHITE FREIGHTLINER</t>
        </is>
      </c>
      <c r="H3480" s="144" t="n">
        <v>1261</v>
      </c>
      <c r="I3480" s="144" t="inlineStr">
        <is>
          <t>COMMERCIAL</t>
        </is>
      </c>
    </row>
    <row r="3481" ht="18" customHeight="1" s="7">
      <c r="A3481" s="144" t="inlineStr">
        <is>
          <t>MACHADO AMAURY</t>
        </is>
      </c>
      <c r="B3481" s="144" t="inlineStr">
        <is>
          <t>M230014721400 FL</t>
        </is>
      </c>
      <c r="C3481" s="144" t="inlineStr">
        <is>
          <t xml:space="preserve">JCM </t>
        </is>
      </c>
      <c r="D3481" s="144" t="n">
        <v>3213004996</v>
      </c>
      <c r="E3481" s="144" t="inlineStr">
        <is>
          <t>FLAT</t>
        </is>
      </c>
      <c r="F3481" s="144" t="inlineStr">
        <is>
          <t>DF01EY FL</t>
        </is>
      </c>
      <c r="G3481" s="144" t="inlineStr">
        <is>
          <t>YELLOW FREIGHTLINER</t>
        </is>
      </c>
      <c r="H3481" s="144" t="n">
        <v>1221</v>
      </c>
      <c r="I3481" s="144" t="inlineStr">
        <is>
          <t>COMMERCIAL</t>
        </is>
      </c>
    </row>
    <row r="3482" ht="18" customHeight="1" s="7">
      <c r="A3482" s="144" t="inlineStr">
        <is>
          <t>LITVINENKO ANATOLY</t>
        </is>
      </c>
      <c r="B3482" s="144" t="inlineStr">
        <is>
          <t>WDL45449D03B WA</t>
        </is>
      </c>
      <c r="C3482" s="144" t="inlineStr">
        <is>
          <t>ELITE 1 TRANS</t>
        </is>
      </c>
      <c r="D3482" s="144" t="n">
        <v>2068850585</v>
      </c>
      <c r="E3482" s="144" t="inlineStr">
        <is>
          <t>BOX</t>
        </is>
      </c>
      <c r="F3482" s="144" t="inlineStr">
        <is>
          <t>RP14947 WA</t>
        </is>
      </c>
      <c r="G3482" s="144" t="inlineStr">
        <is>
          <t>BLUE PETERBUILT</t>
        </is>
      </c>
      <c r="H3482" s="144" t="n">
        <v>1221</v>
      </c>
      <c r="I3482" s="144" t="inlineStr">
        <is>
          <t>COMMERCIAL</t>
        </is>
      </c>
    </row>
    <row r="3483" ht="13.5" customHeight="1" s="7">
      <c r="A3483" s="144" t="inlineStr">
        <is>
          <t>RICHARDS DEVON</t>
        </is>
      </c>
      <c r="B3483" s="144" t="inlineStr">
        <is>
          <t>R263179932850</t>
        </is>
      </c>
      <c r="C3483" s="144" t="inlineStr">
        <is>
          <t>D-STAR</t>
        </is>
      </c>
      <c r="D3483" s="144" t="n">
        <v>4043994261</v>
      </c>
      <c r="E3483" s="144" t="inlineStr">
        <is>
          <t>FLAT</t>
        </is>
      </c>
      <c r="F3483" s="144" t="inlineStr">
        <is>
          <t>DG24BD FL</t>
        </is>
      </c>
      <c r="G3483" s="144" t="inlineStr">
        <is>
          <t>WHITE FRAIGHTLINE</t>
        </is>
      </c>
      <c r="H3483" s="144" t="n">
        <v>1221</v>
      </c>
      <c r="I3483" s="144" t="inlineStr">
        <is>
          <t>COMMERCIAL</t>
        </is>
      </c>
    </row>
    <row r="3484" ht="18" customHeight="1" s="7">
      <c r="A3484" s="144" t="inlineStr">
        <is>
          <t>CORRET RAFAEL</t>
        </is>
      </c>
      <c r="B3484" s="144" t="inlineStr">
        <is>
          <t>C239191206000 FL</t>
        </is>
      </c>
      <c r="C3484" s="144" t="inlineStr">
        <is>
          <t>SLI EXPRESS</t>
        </is>
      </c>
      <c r="D3484" s="144" t="n">
        <v>4076766285</v>
      </c>
      <c r="E3484" s="144" t="inlineStr">
        <is>
          <t>FLAT</t>
        </is>
      </c>
      <c r="F3484" s="144" t="inlineStr">
        <is>
          <t>P1298000 IL</t>
        </is>
      </c>
      <c r="G3484" s="144" t="inlineStr">
        <is>
          <t>RED KENWORTH</t>
        </is>
      </c>
      <c r="H3484" s="144" t="n">
        <v>1221</v>
      </c>
      <c r="I3484" s="144" t="inlineStr">
        <is>
          <t>COMMERCIAL</t>
        </is>
      </c>
    </row>
    <row r="3485" ht="18" customHeight="1" s="7">
      <c r="A3485" s="144" t="inlineStr">
        <is>
          <t>OLARI ALEXANDER</t>
        </is>
      </c>
      <c r="B3485" s="144" t="inlineStr">
        <is>
          <t>O46000087190 FL</t>
        </is>
      </c>
      <c r="C3485" s="144" t="inlineStr">
        <is>
          <t>US FRAIGHTLINE</t>
        </is>
      </c>
      <c r="D3485" s="144" t="n">
        <v>3129097810</v>
      </c>
      <c r="E3485" s="144" t="inlineStr">
        <is>
          <t>FLAT</t>
        </is>
      </c>
      <c r="F3485" s="144" t="inlineStr">
        <is>
          <t>P1137872 IL</t>
        </is>
      </c>
      <c r="G3485" s="144" t="inlineStr">
        <is>
          <t>RED KENWORTH</t>
        </is>
      </c>
      <c r="H3485" s="144" t="n">
        <v>1221</v>
      </c>
      <c r="I3485" s="144" t="inlineStr">
        <is>
          <t>COMMERCIAL</t>
        </is>
      </c>
    </row>
    <row r="3486" ht="18" customHeight="1" s="7">
      <c r="A3486" s="144" t="inlineStr">
        <is>
          <t>MUHAMMAD STEBBINGS</t>
        </is>
      </c>
      <c r="B3486" s="144" t="inlineStr">
        <is>
          <t>M5307982880</t>
        </is>
      </c>
      <c r="C3486" s="144" t="inlineStr">
        <is>
          <t>TRANSFORMS</t>
        </is>
      </c>
      <c r="D3486" s="144" t="n">
        <v>6893120678</v>
      </c>
      <c r="E3486" s="144" t="inlineStr">
        <is>
          <t>FLAT</t>
        </is>
      </c>
      <c r="F3486" s="144" t="inlineStr">
        <is>
          <t>PA1273353 IL</t>
        </is>
      </c>
      <c r="G3486" s="144" t="inlineStr">
        <is>
          <t>BLK FREIGHTLINER</t>
        </is>
      </c>
      <c r="H3486" s="144" t="n">
        <v>1221</v>
      </c>
      <c r="I3486" s="144" t="inlineStr">
        <is>
          <t>COMMERCIAL</t>
        </is>
      </c>
    </row>
    <row r="3487" ht="18" customHeight="1" s="7">
      <c r="A3487" s="144" t="inlineStr">
        <is>
          <t>STEVEN PUTNEL</t>
        </is>
      </c>
      <c r="B3487" s="144" t="inlineStr">
        <is>
          <t>14358725 TX</t>
        </is>
      </c>
      <c r="C3487" s="144" t="inlineStr">
        <is>
          <t>FAST TRANSP.</t>
        </is>
      </c>
      <c r="D3487" s="144" t="n">
        <v>6825532089</v>
      </c>
      <c r="E3487" s="144" t="inlineStr">
        <is>
          <t>FLAT</t>
        </is>
      </c>
      <c r="F3487" s="144" t="inlineStr">
        <is>
          <t>R763030 TX</t>
        </is>
      </c>
      <c r="G3487" s="144" t="inlineStr">
        <is>
          <t>TAN PETERBILT</t>
        </is>
      </c>
      <c r="H3487" s="144" t="n">
        <v>1221</v>
      </c>
      <c r="I3487" s="144" t="inlineStr">
        <is>
          <t>COMMERICAL</t>
        </is>
      </c>
    </row>
    <row r="3488" ht="18" customHeight="1" s="7">
      <c r="A3488" s="144" t="inlineStr">
        <is>
          <t>HUNTER TERRY</t>
        </is>
      </c>
      <c r="B3488" s="144" t="inlineStr">
        <is>
          <t>072568817 GA</t>
        </is>
      </c>
      <c r="C3488" s="144" t="inlineStr">
        <is>
          <t>BAKER ROOFING</t>
        </is>
      </c>
      <c r="D3488" s="144" t="n">
        <v>3369183108</v>
      </c>
      <c r="E3488" s="144" t="inlineStr">
        <is>
          <t>PU</t>
        </is>
      </c>
      <c r="F3488" s="144" t="inlineStr">
        <is>
          <t>P681050 SC</t>
        </is>
      </c>
      <c r="G3488" s="144" t="inlineStr">
        <is>
          <t>WHITE CHEV</t>
        </is>
      </c>
      <c r="H3488" s="144" t="n">
        <v>7501</v>
      </c>
      <c r="I3488" s="144" t="inlineStr">
        <is>
          <t>CONTRACTOR</t>
        </is>
      </c>
    </row>
    <row r="3489" ht="18" customHeight="1" s="7">
      <c r="A3489" s="144" t="inlineStr">
        <is>
          <t>RANDY GRAY</t>
        </is>
      </c>
      <c r="B3489" s="144" t="inlineStr">
        <is>
          <t>52003707 TX</t>
        </is>
      </c>
      <c r="C3489" s="144" t="inlineStr">
        <is>
          <t>GRAY TRUCKING</t>
        </is>
      </c>
      <c r="D3489" s="144" t="n">
        <v>3234892640</v>
      </c>
      <c r="E3489" s="144" t="inlineStr">
        <is>
          <t>BOX</t>
        </is>
      </c>
      <c r="F3489" s="144" t="inlineStr">
        <is>
          <t>99R38N TX</t>
        </is>
      </c>
      <c r="G3489" s="144" t="inlineStr">
        <is>
          <t>GREEN FREIGHTLINER</t>
        </is>
      </c>
      <c r="H3489" s="144" t="n">
        <v>1221</v>
      </c>
      <c r="I3489" s="144" t="inlineStr">
        <is>
          <t>COMMERICAL</t>
        </is>
      </c>
    </row>
    <row r="3490" ht="18" customHeight="1" s="7">
      <c r="A3490" s="144" t="inlineStr">
        <is>
          <t>DESMOND HALE</t>
        </is>
      </c>
      <c r="B3490" s="144" t="inlineStr">
        <is>
          <t>F906068443215 MN</t>
        </is>
      </c>
      <c r="C3490" s="144" t="inlineStr">
        <is>
          <t>DK TRANS</t>
        </is>
      </c>
      <c r="D3490" s="144" t="n">
        <v>5743039516</v>
      </c>
      <c r="E3490" s="144" t="inlineStr">
        <is>
          <t>PU</t>
        </is>
      </c>
      <c r="F3490" s="144" t="inlineStr">
        <is>
          <t>6872PRA MN</t>
        </is>
      </c>
      <c r="G3490" s="144" t="inlineStr">
        <is>
          <t>GRAY DODGE</t>
        </is>
      </c>
      <c r="H3490" s="144" t="n">
        <v>1221</v>
      </c>
      <c r="I3490" s="144" t="inlineStr">
        <is>
          <t>CONTRACTOR</t>
        </is>
      </c>
    </row>
    <row r="3491" ht="18" customHeight="1" s="7">
      <c r="A3491" s="144" t="inlineStr">
        <is>
          <t>EROKTAY OSMAN</t>
        </is>
      </c>
      <c r="B3491" s="144" t="inlineStr">
        <is>
          <t>13430453 TX</t>
        </is>
      </c>
      <c r="C3491" s="144" t="inlineStr">
        <is>
          <t>TURQUOISE FRIGHT</t>
        </is>
      </c>
      <c r="D3491" s="144" t="n">
        <v>7137326177</v>
      </c>
      <c r="E3491" s="144" t="inlineStr">
        <is>
          <t>BOX</t>
        </is>
      </c>
      <c r="F3491" s="144" t="inlineStr">
        <is>
          <t>R656298 TX</t>
        </is>
      </c>
      <c r="G3491" s="144" t="inlineStr">
        <is>
          <t>WHITE VOLVO</t>
        </is>
      </c>
      <c r="H3491" s="144" t="n">
        <v>1221</v>
      </c>
      <c r="I3491" s="144" t="inlineStr">
        <is>
          <t>COMMERICAL</t>
        </is>
      </c>
    </row>
    <row r="3492" ht="18" customHeight="1" s="7">
      <c r="A3492" s="144" t="inlineStr">
        <is>
          <t>FRANKLIN WILLIAMS</t>
        </is>
      </c>
      <c r="B3492" s="144" t="inlineStr">
        <is>
          <t>023958469 GA</t>
        </is>
      </c>
      <c r="C3492" s="144" t="inlineStr">
        <is>
          <t>MAG</t>
        </is>
      </c>
      <c r="D3492" s="144" t="n">
        <v>4047981791</v>
      </c>
      <c r="E3492" s="144" t="inlineStr">
        <is>
          <t>BOX</t>
        </is>
      </c>
      <c r="F3492" s="144" t="inlineStr">
        <is>
          <t>001948956 GA</t>
        </is>
      </c>
      <c r="G3492" s="144" t="inlineStr">
        <is>
          <t>WHITE INTERNATIONAL</t>
        </is>
      </c>
      <c r="H3492" s="144" t="n">
        <v>1221</v>
      </c>
      <c r="I3492" s="144" t="inlineStr">
        <is>
          <t>COMMERICAL</t>
        </is>
      </c>
    </row>
    <row r="3493" ht="18" customHeight="1" s="7">
      <c r="A3493" s="144" t="inlineStr">
        <is>
          <t>JORDAN FRANZONE</t>
        </is>
      </c>
      <c r="B3493" s="144" t="inlineStr">
        <is>
          <t>007440278 SC</t>
        </is>
      </c>
      <c r="C3493" s="144" t="inlineStr">
        <is>
          <t>JCB TRUCKING</t>
        </is>
      </c>
      <c r="D3493" s="144" t="n">
        <v>8435471997</v>
      </c>
      <c r="E3493" s="144" t="inlineStr">
        <is>
          <t>FLAT</t>
        </is>
      </c>
      <c r="F3493" s="144" t="inlineStr">
        <is>
          <t>PT69600 SC</t>
        </is>
      </c>
      <c r="G3493" s="144" t="inlineStr">
        <is>
          <t>GRAY KENWORTH</t>
        </is>
      </c>
      <c r="H3493" s="144" t="n">
        <v>1221</v>
      </c>
      <c r="I3493" s="144" t="inlineStr">
        <is>
          <t>COMMERICAL</t>
        </is>
      </c>
    </row>
    <row r="3494" ht="18" customHeight="1" s="7">
      <c r="A3494" s="144" t="inlineStr">
        <is>
          <t>RASHEID ATLAS</t>
        </is>
      </c>
      <c r="B3494" s="144" t="inlineStr">
        <is>
          <t>000043082852 NC</t>
        </is>
      </c>
      <c r="C3494" s="144" t="inlineStr">
        <is>
          <t>BRIGHTON TRANS</t>
        </is>
      </c>
      <c r="D3494" s="144" t="n">
        <v>6082170926</v>
      </c>
      <c r="E3494" s="144" t="inlineStr">
        <is>
          <t xml:space="preserve">BOX </t>
        </is>
      </c>
      <c r="F3494" s="144" t="inlineStr">
        <is>
          <t>VW2274 NC</t>
        </is>
      </c>
      <c r="G3494" s="144" t="inlineStr">
        <is>
          <t>WHITE FREIGHTLINER</t>
        </is>
      </c>
      <c r="H3494" s="144" t="n">
        <v>1221</v>
      </c>
      <c r="I3494" s="144" t="inlineStr">
        <is>
          <t>COMMERICAL</t>
        </is>
      </c>
    </row>
    <row r="3495" ht="18" customHeight="1" s="7">
      <c r="A3495" s="144" t="inlineStr">
        <is>
          <t>KENYATTA WALKER</t>
        </is>
      </c>
      <c r="B3495" s="144" t="inlineStr">
        <is>
          <t>*049201825 GA</t>
        </is>
      </c>
      <c r="C3495" s="144" t="inlineStr">
        <is>
          <t>WALKER BROS</t>
        </is>
      </c>
      <c r="D3495" s="144" t="n">
        <v>2298693310</v>
      </c>
      <c r="E3495" s="144" t="inlineStr">
        <is>
          <t>FLAT</t>
        </is>
      </c>
      <c r="F3495" s="144" t="inlineStr">
        <is>
          <t>P1298499 IL</t>
        </is>
      </c>
      <c r="G3495" s="144" t="inlineStr">
        <is>
          <t>WHITE FREIGHTLINER</t>
        </is>
      </c>
      <c r="H3495" s="144" t="n">
        <v>1221</v>
      </c>
      <c r="I3495" s="144" t="inlineStr">
        <is>
          <t>COMMERCIAL</t>
        </is>
      </c>
    </row>
    <row r="3496" ht="18" customHeight="1" s="7">
      <c r="A3496" s="144" t="inlineStr">
        <is>
          <t>SHIPLEY WILLIAM</t>
        </is>
      </c>
      <c r="B3496" s="144" t="inlineStr">
        <is>
          <t>*051234455 GA</t>
        </is>
      </c>
      <c r="C3496" s="144" t="inlineStr">
        <is>
          <t>METRO</t>
        </is>
      </c>
      <c r="D3496" s="144" t="n">
        <v>2293442648</v>
      </c>
      <c r="E3496" s="144" t="inlineStr">
        <is>
          <t>PU</t>
        </is>
      </c>
      <c r="F3496" s="144" t="inlineStr">
        <is>
          <t>RMP5627 GA</t>
        </is>
      </c>
      <c r="G3496" s="144" t="inlineStr">
        <is>
          <t>WHITE FORD</t>
        </is>
      </c>
      <c r="H3496" s="144" t="n">
        <v>7450</v>
      </c>
      <c r="I3496" s="144" t="inlineStr">
        <is>
          <t>CONTRACTOR</t>
        </is>
      </c>
    </row>
    <row r="3497" ht="18" customHeight="1" s="7">
      <c r="A3497" s="144" t="inlineStr">
        <is>
          <t>CHRISTIAN GRAVES</t>
        </is>
      </c>
      <c r="B3497" s="144" t="inlineStr">
        <is>
          <t>061177751 GA</t>
        </is>
      </c>
      <c r="C3497" s="144" t="inlineStr">
        <is>
          <t>WINSUPPLY</t>
        </is>
      </c>
      <c r="D3497" s="144" t="n">
        <v>2298888088</v>
      </c>
      <c r="E3497" s="144" t="inlineStr">
        <is>
          <t>FLAT</t>
        </is>
      </c>
      <c r="F3497" s="144" t="inlineStr">
        <is>
          <t>WEN535 GA</t>
        </is>
      </c>
      <c r="G3497" s="144" t="inlineStr">
        <is>
          <t>WHITE KENWORTH</t>
        </is>
      </c>
      <c r="H3497" s="144" t="n">
        <v>1330</v>
      </c>
      <c r="I3497" s="144" t="inlineStr">
        <is>
          <t>CONTRACTOR</t>
        </is>
      </c>
    </row>
    <row r="3498" ht="18" customHeight="1" s="7">
      <c r="A3498" s="144" t="inlineStr">
        <is>
          <t xml:space="preserve"> CANO ARMANDO</t>
        </is>
      </c>
      <c r="B3498" s="144" t="inlineStr">
        <is>
          <t>C230069730000</t>
        </is>
      </c>
      <c r="C3498" s="144" t="inlineStr">
        <is>
          <t>TRANSFORMERS</t>
        </is>
      </c>
      <c r="D3498" s="144" t="n">
        <v>9048474164</v>
      </c>
      <c r="E3498" s="144" t="inlineStr">
        <is>
          <t>FLAT</t>
        </is>
      </c>
      <c r="F3498" s="144" t="inlineStr">
        <is>
          <t>DP26BY FL</t>
        </is>
      </c>
      <c r="G3498" s="144" t="inlineStr">
        <is>
          <t>WHITE FREIGHTLINER</t>
        </is>
      </c>
      <c r="H3498" s="144" t="n">
        <v>1221</v>
      </c>
      <c r="I3498" s="144" t="inlineStr">
        <is>
          <t>COMMERICAL</t>
        </is>
      </c>
    </row>
    <row r="3499" ht="18" customHeight="1" s="7">
      <c r="A3499" s="144" t="inlineStr">
        <is>
          <t>KASSA TESFALIDET</t>
        </is>
      </c>
      <c r="B3499" s="144" t="inlineStr">
        <is>
          <t>B69688379 VA</t>
        </is>
      </c>
      <c r="C3499" s="144" t="inlineStr">
        <is>
          <t>HORA TRANS</t>
        </is>
      </c>
      <c r="D3499" s="144" t="n">
        <v>5713561931</v>
      </c>
      <c r="E3499" s="144" t="inlineStr">
        <is>
          <t>BOX</t>
        </is>
      </c>
      <c r="F3499" s="144" t="inlineStr">
        <is>
          <t>0116F9 MD</t>
        </is>
      </c>
      <c r="G3499" s="144" t="inlineStr">
        <is>
          <t>WHITE FREIGHTLINER</t>
        </is>
      </c>
      <c r="H3499" s="144" t="n">
        <v>1221</v>
      </c>
      <c r="I3499" s="144" t="inlineStr">
        <is>
          <t>COMMERICAL</t>
        </is>
      </c>
    </row>
    <row r="3500" ht="18" customHeight="1" s="7">
      <c r="A3500" s="144" t="inlineStr">
        <is>
          <t>RODRIQEUS MARIN</t>
        </is>
      </c>
      <c r="B3500" s="144" t="inlineStr">
        <is>
          <t>051655678 GA</t>
        </is>
      </c>
      <c r="C3500" s="144" t="inlineStr">
        <is>
          <t>FEDEX</t>
        </is>
      </c>
      <c r="D3500" s="144" t="n">
        <v>2298942146</v>
      </c>
      <c r="E3500" s="144" t="inlineStr">
        <is>
          <t>BOX</t>
        </is>
      </c>
      <c r="F3500" s="144" t="inlineStr">
        <is>
          <t>3745957 IN</t>
        </is>
      </c>
      <c r="G3500" s="144" t="inlineStr">
        <is>
          <t>WHITE FREIGHTLINER</t>
        </is>
      </c>
      <c r="H3500" s="144" t="inlineStr">
        <is>
          <t>BASEWIDE</t>
        </is>
      </c>
      <c r="I3500" s="144" t="inlineStr">
        <is>
          <t>COMMERICAL</t>
        </is>
      </c>
    </row>
    <row r="3501" ht="18" customHeight="1" s="7">
      <c r="A3501" s="144" t="inlineStr">
        <is>
          <t>GEORGE HARPER JR</t>
        </is>
      </c>
      <c r="B3501" s="144" t="inlineStr">
        <is>
          <t>*055569143 GA</t>
        </is>
      </c>
      <c r="C3501" s="144" t="inlineStr">
        <is>
          <t>HAPER PAINTING</t>
        </is>
      </c>
      <c r="D3501" s="144" t="n">
        <v>2298090364</v>
      </c>
      <c r="E3501" s="144" t="inlineStr">
        <is>
          <t>VAN</t>
        </is>
      </c>
      <c r="F3501" s="144" t="inlineStr">
        <is>
          <t>GPA3434 GA</t>
        </is>
      </c>
      <c r="G3501" s="144" t="inlineStr">
        <is>
          <t>WHITE FORD</t>
        </is>
      </c>
      <c r="H3501" s="144" t="inlineStr">
        <is>
          <t>BASEWIDE</t>
        </is>
      </c>
      <c r="I3501" s="144" t="inlineStr">
        <is>
          <t>CONTRACTOR</t>
        </is>
      </c>
    </row>
    <row r="3502" ht="18" customHeight="1" s="7">
      <c r="A3502" s="144" t="inlineStr">
        <is>
          <t>DENNIS MCGILL</t>
        </is>
      </c>
      <c r="B3502" s="144" t="inlineStr">
        <is>
          <t>*055595874 GA</t>
        </is>
      </c>
      <c r="C3502" s="144" t="inlineStr">
        <is>
          <t>GEORGIA CROWN</t>
        </is>
      </c>
      <c r="D3502" s="144" t="n">
        <v>18003422350</v>
      </c>
      <c r="E3502" s="144" t="inlineStr">
        <is>
          <t>PU</t>
        </is>
      </c>
      <c r="F3502" s="144" t="inlineStr">
        <is>
          <t>GAL275 GA</t>
        </is>
      </c>
      <c r="G3502" s="144" t="inlineStr">
        <is>
          <t>WHITE FORD</t>
        </is>
      </c>
      <c r="H3502" s="144" t="n">
        <v>7501</v>
      </c>
      <c r="I3502" s="144" t="inlineStr">
        <is>
          <t>COMMERCIAL</t>
        </is>
      </c>
    </row>
    <row r="3503" ht="18" customHeight="1" s="7">
      <c r="A3503" s="144" t="inlineStr">
        <is>
          <t>THOMPSON ANTHONY</t>
        </is>
      </c>
      <c r="B3503" s="144" t="inlineStr">
        <is>
          <t>T512004714630 FL</t>
        </is>
      </c>
      <c r="C3503" s="144" t="inlineStr">
        <is>
          <t>FEDEX</t>
        </is>
      </c>
      <c r="D3503" s="144" t="n">
        <v>8503215724</v>
      </c>
      <c r="E3503" s="144" t="inlineStr">
        <is>
          <t>BOX</t>
        </is>
      </c>
      <c r="F3503" s="144" t="inlineStr">
        <is>
          <t>K398HT TN</t>
        </is>
      </c>
      <c r="G3503" s="144" t="inlineStr">
        <is>
          <t>WHITE INTERNATIONAL</t>
        </is>
      </c>
      <c r="H3503" s="144" t="n">
        <v>1221</v>
      </c>
      <c r="I3503" s="144" t="inlineStr">
        <is>
          <t>COMMERCIAL</t>
        </is>
      </c>
    </row>
    <row r="3504" ht="18" customHeight="1" s="7">
      <c r="A3504" s="144" t="inlineStr">
        <is>
          <t>BRICE CAMERON J</t>
        </is>
      </c>
      <c r="B3504" s="144" t="inlineStr">
        <is>
          <t>47319548TX</t>
        </is>
      </c>
      <c r="C3504" s="144" t="inlineStr">
        <is>
          <t>PLAYHOUSE</t>
        </is>
      </c>
      <c r="D3504" s="144" t="n">
        <v>2544027905</v>
      </c>
      <c r="E3504" s="144" t="inlineStr">
        <is>
          <t>BOX</t>
        </is>
      </c>
      <c r="F3504" s="144" t="inlineStr">
        <is>
          <t>VCG6011 TX</t>
        </is>
      </c>
      <c r="G3504" s="144" t="inlineStr">
        <is>
          <t>WHITE HINO</t>
        </is>
      </c>
      <c r="H3504" s="144" t="n">
        <v>1221</v>
      </c>
      <c r="I3504" s="144" t="inlineStr">
        <is>
          <t>COMMERCIAL</t>
        </is>
      </c>
    </row>
    <row r="3505" ht="18" customHeight="1" s="7">
      <c r="A3505" s="144" t="inlineStr">
        <is>
          <t>PETERS SCOTT</t>
        </is>
      </c>
      <c r="B3505" s="144" t="inlineStr">
        <is>
          <t>000005942995 NC</t>
        </is>
      </c>
      <c r="C3505" s="144" t="inlineStr">
        <is>
          <t>JB HUNT</t>
        </is>
      </c>
      <c r="D3505" s="144" t="n">
        <v>3368164013</v>
      </c>
      <c r="E3505" s="144" t="inlineStr">
        <is>
          <t>BOX</t>
        </is>
      </c>
      <c r="F3505" s="144" t="inlineStr">
        <is>
          <t>3576158 IN</t>
        </is>
      </c>
      <c r="G3505" s="144" t="inlineStr">
        <is>
          <t>WHITE INTER</t>
        </is>
      </c>
      <c r="H3505" s="144" t="n">
        <v>1221</v>
      </c>
      <c r="I3505" s="144" t="inlineStr">
        <is>
          <t>COMMERCIAL</t>
        </is>
      </c>
    </row>
    <row r="3506" ht="18" customHeight="1" s="7">
      <c r="A3506" s="144" t="inlineStr">
        <is>
          <t>JOSEPH MOSES JR</t>
        </is>
      </c>
      <c r="B3506" s="144" t="inlineStr">
        <is>
          <t>*054772748 GA</t>
        </is>
      </c>
      <c r="C3506" s="144" t="inlineStr">
        <is>
          <t>JMJ</t>
        </is>
      </c>
      <c r="D3506" s="144" t="n">
        <v>7064645581</v>
      </c>
      <c r="E3506" s="144" t="inlineStr">
        <is>
          <t>BOX</t>
        </is>
      </c>
      <c r="F3506" s="144" t="inlineStr">
        <is>
          <t>C7222A GS</t>
        </is>
      </c>
      <c r="G3506" s="144" t="inlineStr">
        <is>
          <t>ORANGE KENWORTH</t>
        </is>
      </c>
      <c r="H3506" s="144" t="n">
        <v>1221</v>
      </c>
      <c r="I3506" s="144" t="inlineStr">
        <is>
          <t>COMMERCIAL</t>
        </is>
      </c>
    </row>
    <row r="3507" ht="18" customHeight="1" s="7">
      <c r="A3507" s="144" t="inlineStr">
        <is>
          <t>OMAR AUSTIN</t>
        </is>
      </c>
      <c r="B3507" s="144" t="inlineStr">
        <is>
          <t>*042813132 GA</t>
        </is>
      </c>
      <c r="C3507" s="144" t="inlineStr">
        <is>
          <t>AMA LOGISTICS</t>
        </is>
      </c>
      <c r="D3507" s="144" t="n">
        <v>4048224809</v>
      </c>
      <c r="E3507" s="144" t="inlineStr">
        <is>
          <t>BOX</t>
        </is>
      </c>
      <c r="F3507" s="144" t="inlineStr">
        <is>
          <t>A96168 KY</t>
        </is>
      </c>
      <c r="G3507" s="144" t="inlineStr">
        <is>
          <t>GREY VOLVO</t>
        </is>
      </c>
      <c r="H3507" s="144" t="n">
        <v>1221</v>
      </c>
      <c r="I3507" s="144" t="inlineStr">
        <is>
          <t>COMMERCIAL</t>
        </is>
      </c>
    </row>
    <row r="3508" ht="18" customHeight="1" s="7">
      <c r="A3508" s="144" t="inlineStr">
        <is>
          <t>ANTHONY STEWART</t>
        </is>
      </c>
      <c r="B3508" s="144" t="inlineStr">
        <is>
          <t>*008543402 SC</t>
        </is>
      </c>
      <c r="C3508" s="144" t="inlineStr">
        <is>
          <t>CAROLINA LOGISTIC</t>
        </is>
      </c>
      <c r="D3508" s="144" t="n">
        <v>8033617999</v>
      </c>
      <c r="E3508" s="144" t="inlineStr">
        <is>
          <t>BOX</t>
        </is>
      </c>
      <c r="F3508" s="144" t="inlineStr">
        <is>
          <t>VT9138 NC</t>
        </is>
      </c>
      <c r="G3508" s="144" t="inlineStr">
        <is>
          <t>RED VOLVO</t>
        </is>
      </c>
      <c r="H3508" s="144" t="n">
        <v>1221</v>
      </c>
      <c r="I3508" s="144" t="inlineStr">
        <is>
          <t>COMMERCIAL</t>
        </is>
      </c>
    </row>
    <row r="3509" ht="18" customHeight="1" s="7">
      <c r="A3509" s="144" t="inlineStr">
        <is>
          <t>WES GUS</t>
        </is>
      </c>
      <c r="B3509" s="144" t="inlineStr">
        <is>
          <t>*056091216 GA</t>
        </is>
      </c>
      <c r="C3509" s="144" t="inlineStr">
        <is>
          <t xml:space="preserve">FAST X </t>
        </is>
      </c>
      <c r="D3509" s="144" t="n">
        <v>7703559503</v>
      </c>
      <c r="E3509" s="144" t="inlineStr">
        <is>
          <t>BOX</t>
        </is>
      </c>
      <c r="F3509" s="144" t="inlineStr">
        <is>
          <t>P1288240 IL</t>
        </is>
      </c>
      <c r="G3509" s="144" t="inlineStr">
        <is>
          <t>WHITE VOLVO</t>
        </is>
      </c>
      <c r="H3509" s="144" t="n">
        <v>1221</v>
      </c>
      <c r="I3509" s="144" t="inlineStr">
        <is>
          <t>COMMERCIAL</t>
        </is>
      </c>
    </row>
    <row r="3510" ht="18" customHeight="1" s="7">
      <c r="A3510" s="144" t="inlineStr">
        <is>
          <t>HOOPER KOHLBY</t>
        </is>
      </c>
      <c r="B3510" s="144" t="inlineStr">
        <is>
          <t>*061164736 GA</t>
        </is>
      </c>
      <c r="C3510" s="144" t="inlineStr">
        <is>
          <t>HULL</t>
        </is>
      </c>
      <c r="D3510" s="144" t="n">
        <v>9124099119</v>
      </c>
      <c r="E3510" s="144" t="inlineStr">
        <is>
          <t>VAN</t>
        </is>
      </c>
      <c r="F3510" s="144" t="inlineStr">
        <is>
          <t>SJT8030 GA</t>
        </is>
      </c>
      <c r="G3510" s="144" t="inlineStr">
        <is>
          <t>WHITE FORD</t>
        </is>
      </c>
      <c r="H3510" s="144" t="n">
        <v>7500</v>
      </c>
      <c r="I3510" s="144" t="inlineStr">
        <is>
          <t>CONTRACTOR</t>
        </is>
      </c>
    </row>
    <row r="3511" ht="18" customHeight="1" s="7">
      <c r="A3511" s="144" t="inlineStr">
        <is>
          <t>BENEDYK IAROSLAV</t>
        </is>
      </c>
      <c r="B3511" s="144" t="inlineStr">
        <is>
          <t>*104629643 SC</t>
        </is>
      </c>
      <c r="C3511" s="144" t="inlineStr">
        <is>
          <t>UNTIED CARRIERS</t>
        </is>
      </c>
      <c r="D3511" s="144" t="n">
        <v>5859786394</v>
      </c>
      <c r="E3511" s="144" t="inlineStr">
        <is>
          <t>BOX</t>
        </is>
      </c>
      <c r="F3511" s="144" t="inlineStr">
        <is>
          <t>A011911 SC</t>
        </is>
      </c>
      <c r="G3511" s="144" t="inlineStr">
        <is>
          <t>WHITE FREIGHTLINER</t>
        </is>
      </c>
      <c r="H3511" s="144" t="n">
        <v>1221</v>
      </c>
      <c r="I3511" s="144" t="inlineStr">
        <is>
          <t>COMMERCIAL</t>
        </is>
      </c>
    </row>
    <row r="3512" ht="18" customHeight="1" s="7">
      <c r="A3512" s="144" t="inlineStr">
        <is>
          <t>BAILEY ALSHANE</t>
        </is>
      </c>
      <c r="B3512" s="144" t="inlineStr">
        <is>
          <t>B400003910090 FL</t>
        </is>
      </c>
      <c r="C3512" s="144" t="inlineStr">
        <is>
          <t>HIGHWAY EXPRESS</t>
        </is>
      </c>
      <c r="D3512" s="144" t="n">
        <v>4077528189</v>
      </c>
      <c r="E3512" s="144" t="inlineStr">
        <is>
          <t>BOX</t>
        </is>
      </c>
      <c r="F3512" s="144" t="inlineStr">
        <is>
          <t>M758496 OH</t>
        </is>
      </c>
      <c r="G3512" s="144" t="inlineStr">
        <is>
          <t>WHITE VOLVO</t>
        </is>
      </c>
      <c r="H3512" s="144" t="n">
        <v>1221</v>
      </c>
      <c r="I3512" s="144" t="inlineStr">
        <is>
          <t>COMMERCIAL</t>
        </is>
      </c>
    </row>
    <row r="3513" ht="18" customHeight="1" s="7">
      <c r="A3513" s="144" t="inlineStr">
        <is>
          <t>EASTON GLOVER</t>
        </is>
      </c>
      <c r="B3513" s="144" t="inlineStr">
        <is>
          <t>*052553718 GA</t>
        </is>
      </c>
      <c r="C3513" s="144" t="inlineStr">
        <is>
          <t>MIGHTY MOVERS</t>
        </is>
      </c>
      <c r="D3513" s="144" t="n">
        <v>2294073079</v>
      </c>
      <c r="E3513" s="144" t="inlineStr">
        <is>
          <t>BOX</t>
        </is>
      </c>
      <c r="F3513" s="144" t="inlineStr">
        <is>
          <t>EXH284 GA</t>
        </is>
      </c>
      <c r="G3513" s="144" t="inlineStr">
        <is>
          <t>YELLOW INTERNATIONAL</t>
        </is>
      </c>
      <c r="H3513" s="144" t="n">
        <v>3500</v>
      </c>
      <c r="I3513" s="144" t="inlineStr">
        <is>
          <t>COMMERCIAL</t>
        </is>
      </c>
    </row>
    <row r="3514" ht="18" customHeight="1" s="7">
      <c r="A3514" s="144" t="inlineStr">
        <is>
          <t>JOHN UTT</t>
        </is>
      </c>
      <c r="B3514" s="144" t="inlineStr">
        <is>
          <t>*000009840079 NC</t>
        </is>
      </c>
      <c r="C3514" s="144" t="inlineStr">
        <is>
          <t>FEDEX</t>
        </is>
      </c>
      <c r="D3514" s="144" t="n">
        <v>3362625509</v>
      </c>
      <c r="E3514" s="144" t="inlineStr">
        <is>
          <t>BOX</t>
        </is>
      </c>
      <c r="F3514" s="144" t="inlineStr">
        <is>
          <t>PWY0494 OH</t>
        </is>
      </c>
      <c r="G3514" s="144" t="inlineStr">
        <is>
          <t>WHITE FREIGHTLINER</t>
        </is>
      </c>
      <c r="H3514" s="144" t="n">
        <v>1221</v>
      </c>
      <c r="I3514" s="144" t="inlineStr">
        <is>
          <t>COMMERCIAL</t>
        </is>
      </c>
    </row>
    <row r="3515" ht="18" customHeight="1" s="7">
      <c r="A3515" s="144" t="inlineStr">
        <is>
          <t>JONATHAN SYNDER</t>
        </is>
      </c>
      <c r="B3515" s="144" t="inlineStr">
        <is>
          <t>S536435887325 MI</t>
        </is>
      </c>
      <c r="C3515" s="144" t="inlineStr">
        <is>
          <t>UTL</t>
        </is>
      </c>
      <c r="D3515" s="144" t="n">
        <v>7346720835</v>
      </c>
      <c r="E3515" s="144" t="inlineStr">
        <is>
          <t>FLAT</t>
        </is>
      </c>
      <c r="F3515" s="144" t="inlineStr">
        <is>
          <t>P1076986 IL</t>
        </is>
      </c>
      <c r="G3515" s="144" t="inlineStr">
        <is>
          <t>WHITE KW</t>
        </is>
      </c>
      <c r="H3515" s="144" t="n">
        <v>1221</v>
      </c>
      <c r="I3515" s="144" t="inlineStr">
        <is>
          <t>COMMERCIAL</t>
        </is>
      </c>
    </row>
    <row r="3516" ht="18" customHeight="1" s="7">
      <c r="A3516" s="144" t="inlineStr">
        <is>
          <t xml:space="preserve">SALINAS ANTHONY </t>
        </is>
      </c>
      <c r="B3516" s="144" t="inlineStr">
        <is>
          <t>S2091491863000 FL</t>
        </is>
      </c>
      <c r="C3516" s="144" t="inlineStr">
        <is>
          <t>FEDEX</t>
        </is>
      </c>
      <c r="D3516" s="144" t="n">
        <v>9045368882</v>
      </c>
      <c r="E3516" s="144" t="inlineStr">
        <is>
          <t>BOX</t>
        </is>
      </c>
      <c r="F3516" s="144" t="inlineStr">
        <is>
          <t>PWR4545 OH</t>
        </is>
      </c>
      <c r="G3516" s="144" t="inlineStr">
        <is>
          <t>WHITE FREIGHTLINER</t>
        </is>
      </c>
      <c r="H3516" s="144" t="n">
        <v>1221</v>
      </c>
      <c r="I3516" s="144" t="inlineStr">
        <is>
          <t>COMMERCIAL</t>
        </is>
      </c>
    </row>
    <row r="3517" ht="18" customHeight="1" s="7">
      <c r="A3517" s="144" t="inlineStr">
        <is>
          <t>RYZHKOU ANDREI</t>
        </is>
      </c>
      <c r="B3517" s="144" t="inlineStr">
        <is>
          <t>*00004655713 NC</t>
        </is>
      </c>
      <c r="C3517" s="144" t="inlineStr">
        <is>
          <t>ADK TRANS</t>
        </is>
      </c>
      <c r="D3517" s="144" t="n">
        <v>2672838057</v>
      </c>
      <c r="E3517" s="144" t="inlineStr">
        <is>
          <t>BOX</t>
        </is>
      </c>
      <c r="F3517" s="144" t="inlineStr">
        <is>
          <t>TE4695 NC</t>
        </is>
      </c>
      <c r="G3517" s="144" t="inlineStr">
        <is>
          <t>BLACK FREIGHTLINER</t>
        </is>
      </c>
      <c r="H3517" s="144" t="n">
        <v>2236</v>
      </c>
      <c r="I3517" s="144" t="inlineStr">
        <is>
          <t>COMMERCIAL</t>
        </is>
      </c>
    </row>
    <row r="3518" ht="18" customHeight="1" s="7">
      <c r="A3518" s="144" t="inlineStr">
        <is>
          <t>WILLIAM BROWN</t>
        </is>
      </c>
      <c r="B3518" s="144" t="inlineStr">
        <is>
          <t>*052160806 GA</t>
        </is>
      </c>
      <c r="C3518" s="144" t="inlineStr">
        <is>
          <t>JOHNSON ELEC</t>
        </is>
      </c>
      <c r="D3518" s="144" t="n">
        <v>2292738010</v>
      </c>
      <c r="E3518" s="144" t="inlineStr">
        <is>
          <t>VAN</t>
        </is>
      </c>
      <c r="F3518" s="144" t="inlineStr">
        <is>
          <t>JES10 GA</t>
        </is>
      </c>
      <c r="G3518" s="144" t="inlineStr">
        <is>
          <t>WHITE FORD</t>
        </is>
      </c>
      <c r="H3518" s="144" t="n">
        <v>7000</v>
      </c>
      <c r="I3518" s="144" t="inlineStr">
        <is>
          <t>CONTRACTOR</t>
        </is>
      </c>
    </row>
    <row r="3519" ht="18" customHeight="1" s="7">
      <c r="A3519" s="144" t="inlineStr">
        <is>
          <t>DAVID SWINSON</t>
        </is>
      </c>
      <c r="B3519" s="144" t="inlineStr">
        <is>
          <t>*056438542 GA</t>
        </is>
      </c>
      <c r="C3519" s="144" t="inlineStr">
        <is>
          <t>COCA COLA</t>
        </is>
      </c>
      <c r="D3519" s="144" t="n">
        <v>2298540839</v>
      </c>
      <c r="E3519" s="144" t="inlineStr">
        <is>
          <t>VAN</t>
        </is>
      </c>
      <c r="F3519" s="144" t="inlineStr">
        <is>
          <t>RVX1523 GA</t>
        </is>
      </c>
      <c r="G3519" s="144" t="inlineStr">
        <is>
          <t>RED FORD</t>
        </is>
      </c>
      <c r="H3519" s="144" t="n">
        <v>3700</v>
      </c>
      <c r="I3519" s="144" t="inlineStr">
        <is>
          <t>CONTRACTOR</t>
        </is>
      </c>
    </row>
    <row r="3520" ht="18" customHeight="1" s="7">
      <c r="A3520" s="144" t="inlineStr">
        <is>
          <t>ROZVODOVSKYI OLEKSANDR</t>
        </is>
      </c>
      <c r="B3520" s="144" t="inlineStr">
        <is>
          <t>107227373 SC</t>
        </is>
      </c>
      <c r="C3520" s="144" t="inlineStr">
        <is>
          <t>GLOBAL FREIGHT</t>
        </is>
      </c>
      <c r="D3520" s="144" t="n">
        <v>3124933340</v>
      </c>
      <c r="E3520" s="144" t="inlineStr">
        <is>
          <t>FLAT</t>
        </is>
      </c>
      <c r="F3520" s="144" t="inlineStr">
        <is>
          <t>P1206247 IL</t>
        </is>
      </c>
      <c r="G3520" s="144" t="inlineStr">
        <is>
          <t>WHITE INTERNATIONAL</t>
        </is>
      </c>
      <c r="H3520" s="144" t="n">
        <v>1221</v>
      </c>
      <c r="I3520" s="144" t="inlineStr">
        <is>
          <t>COMMERCIAL</t>
        </is>
      </c>
    </row>
    <row r="3521" ht="18" customHeight="1" s="7">
      <c r="A3521" s="144" t="inlineStr">
        <is>
          <t>NANCE JONATHAN</t>
        </is>
      </c>
      <c r="B3521" s="144" t="inlineStr">
        <is>
          <t>N520425710430 FL</t>
        </is>
      </c>
      <c r="C3521" s="144" t="inlineStr">
        <is>
          <t>FCI</t>
        </is>
      </c>
      <c r="D3521" s="144" t="n">
        <v>8635287635</v>
      </c>
      <c r="E3521" s="144" t="inlineStr">
        <is>
          <t>BOX</t>
        </is>
      </c>
      <c r="F3521" s="144" t="inlineStr">
        <is>
          <t>AZ956S NJ</t>
        </is>
      </c>
      <c r="G3521" s="144" t="inlineStr">
        <is>
          <t>RED PETERBILT</t>
        </is>
      </c>
      <c r="H3521" s="144" t="n">
        <v>1221</v>
      </c>
      <c r="I3521" s="144" t="inlineStr">
        <is>
          <t>COMMERCIAL</t>
        </is>
      </c>
    </row>
    <row r="3522" ht="18" customHeight="1" s="7">
      <c r="A3522" s="144" t="inlineStr">
        <is>
          <t>WARSAME OSMAN</t>
        </is>
      </c>
      <c r="B3522" s="144" t="inlineStr">
        <is>
          <t>UF471001 OH</t>
        </is>
      </c>
      <c r="C3522" s="144" t="inlineStr">
        <is>
          <t>BLUSTAR</t>
        </is>
      </c>
      <c r="D3522" s="144" t="n">
        <v>6146743818</v>
      </c>
      <c r="E3522" s="144" t="inlineStr">
        <is>
          <t>BOX</t>
        </is>
      </c>
      <c r="F3522" s="144" t="inlineStr">
        <is>
          <t>P1252848 IL</t>
        </is>
      </c>
      <c r="G3522" s="144" t="inlineStr">
        <is>
          <t>WHITE VOLVO</t>
        </is>
      </c>
      <c r="H3522" s="144" t="n">
        <v>1221</v>
      </c>
      <c r="I3522" s="144" t="inlineStr">
        <is>
          <t>COMMERCIAL</t>
        </is>
      </c>
    </row>
    <row r="3523" ht="18" customHeight="1" s="7">
      <c r="A3523" s="144" t="inlineStr">
        <is>
          <t>MARION THOMAS</t>
        </is>
      </c>
      <c r="B3523" s="144" t="inlineStr">
        <is>
          <t>*051761922 GA</t>
        </is>
      </c>
      <c r="C3523" s="144" t="inlineStr">
        <is>
          <t>ESG</t>
        </is>
      </c>
      <c r="D3523" s="144" t="n">
        <v>2298865471</v>
      </c>
      <c r="E3523" s="144" t="inlineStr">
        <is>
          <t>PU</t>
        </is>
      </c>
      <c r="F3523" s="144" t="inlineStr">
        <is>
          <t>RXL2346 GA</t>
        </is>
      </c>
      <c r="G3523" s="144" t="inlineStr">
        <is>
          <t>GREY FORD</t>
        </is>
      </c>
      <c r="H3523" s="144" t="n">
        <v>2200</v>
      </c>
      <c r="I3523" s="144" t="inlineStr">
        <is>
          <t>CONTRACTOR</t>
        </is>
      </c>
    </row>
    <row r="3524" ht="18" customHeight="1" s="7">
      <c r="A3524" s="144" t="inlineStr">
        <is>
          <t>SINGH CHAMKAUR</t>
        </is>
      </c>
      <c r="B3524" s="144" t="inlineStr">
        <is>
          <t>51968911 TX</t>
        </is>
      </c>
      <c r="C3524" s="144" t="inlineStr">
        <is>
          <t>DP EXPRESS</t>
        </is>
      </c>
      <c r="D3524" s="144" t="n">
        <v>7166282662</v>
      </c>
      <c r="E3524" s="144" t="inlineStr">
        <is>
          <t>BOX</t>
        </is>
      </c>
      <c r="F3524" s="144" t="inlineStr">
        <is>
          <t>R790109 TX</t>
        </is>
      </c>
      <c r="G3524" s="144" t="inlineStr">
        <is>
          <t>RED VOLVO</t>
        </is>
      </c>
      <c r="H3524" s="144" t="n">
        <v>1221</v>
      </c>
      <c r="I3524" s="144" t="inlineStr">
        <is>
          <t>COMMERCIAL</t>
        </is>
      </c>
    </row>
    <row r="3525" ht="18" customHeight="1" s="7">
      <c r="A3525" s="144" t="inlineStr">
        <is>
          <t>TORIANDO WOODS</t>
        </is>
      </c>
      <c r="B3525" s="144" t="inlineStr">
        <is>
          <t>7594237 AL</t>
        </is>
      </c>
      <c r="C3525" s="144" t="inlineStr">
        <is>
          <t>GO 2 HARD</t>
        </is>
      </c>
      <c r="D3525" s="144" t="n">
        <v>3344555416</v>
      </c>
      <c r="E3525" s="144" t="inlineStr">
        <is>
          <t>FLAT</t>
        </is>
      </c>
      <c r="F3525" s="144" t="inlineStr">
        <is>
          <t>TEMP</t>
        </is>
      </c>
      <c r="G3525" s="144" t="inlineStr">
        <is>
          <t>BLUE KENWORTH</t>
        </is>
      </c>
      <c r="H3525" s="144" t="n">
        <v>1221</v>
      </c>
      <c r="I3525" s="144" t="inlineStr">
        <is>
          <t>COMMERCIAL</t>
        </is>
      </c>
    </row>
    <row r="3526" ht="18" customHeight="1" s="7">
      <c r="A3526" s="144" t="inlineStr">
        <is>
          <t>STOEV MILADIN</t>
        </is>
      </c>
      <c r="B3526" s="144" t="inlineStr">
        <is>
          <t>S31054988227 IL</t>
        </is>
      </c>
      <c r="C3526" s="144" t="inlineStr">
        <is>
          <t>LOZAR INC</t>
        </is>
      </c>
      <c r="D3526" s="144" t="n">
        <v>6307464520</v>
      </c>
      <c r="E3526" s="144" t="inlineStr">
        <is>
          <t>BOX</t>
        </is>
      </c>
      <c r="F3526" s="144" t="inlineStr">
        <is>
          <t>P1063690 IL</t>
        </is>
      </c>
      <c r="G3526" s="144" t="inlineStr">
        <is>
          <t>WHITE VOLVO</t>
        </is>
      </c>
      <c r="H3526" s="144" t="n">
        <v>1221</v>
      </c>
      <c r="I3526" s="144" t="inlineStr">
        <is>
          <t>COMMERCIAL</t>
        </is>
      </c>
    </row>
    <row r="3527" ht="18" customHeight="1" s="7">
      <c r="A3527" s="144" t="inlineStr">
        <is>
          <t>VELA THOMAS</t>
        </is>
      </c>
      <c r="B3527" s="144" t="inlineStr">
        <is>
          <t>18971223 TX</t>
        </is>
      </c>
      <c r="C3527" s="144" t="inlineStr">
        <is>
          <t>AYN TRANS</t>
        </is>
      </c>
      <c r="D3527" s="144" t="n">
        <v>9562226168</v>
      </c>
      <c r="E3527" s="144" t="inlineStr">
        <is>
          <t>BOX</t>
        </is>
      </c>
      <c r="F3527" s="144" t="inlineStr">
        <is>
          <t>R550405 TX</t>
        </is>
      </c>
      <c r="G3527" s="144" t="inlineStr">
        <is>
          <t>WHITE KENWORTH</t>
        </is>
      </c>
      <c r="H3527" s="144" t="n">
        <v>1221</v>
      </c>
      <c r="I3527" s="144" t="inlineStr">
        <is>
          <t>COMMERCIAL</t>
        </is>
      </c>
    </row>
    <row r="3528" ht="18" customHeight="1" s="7">
      <c r="A3528" s="144" t="inlineStr">
        <is>
          <t>OSMAN MAGAMED</t>
        </is>
      </c>
      <c r="B3528" s="144" t="inlineStr">
        <is>
          <t>071871240 CL</t>
        </is>
      </c>
      <c r="C3528" s="144" t="inlineStr">
        <is>
          <t>MOR LLC</t>
        </is>
      </c>
      <c r="D3528" s="144" t="n">
        <v>7202208385</v>
      </c>
      <c r="E3528" s="144" t="inlineStr">
        <is>
          <t>BOX</t>
        </is>
      </c>
      <c r="F3528" s="144" t="inlineStr">
        <is>
          <t>DLK335 CL</t>
        </is>
      </c>
      <c r="G3528" s="144" t="inlineStr">
        <is>
          <t>WHITE FREIGHTLINER</t>
        </is>
      </c>
      <c r="H3528" s="144" t="n">
        <v>1221</v>
      </c>
      <c r="I3528" s="144" t="inlineStr">
        <is>
          <t>COMMERCIAL</t>
        </is>
      </c>
    </row>
    <row r="3529" ht="18" customHeight="1" s="7">
      <c r="A3529" s="144" t="inlineStr">
        <is>
          <t>ESTRADA OSVALDO</t>
        </is>
      </c>
      <c r="B3529" s="144" t="inlineStr">
        <is>
          <t>38802997 TX</t>
        </is>
      </c>
      <c r="C3529" s="144" t="inlineStr">
        <is>
          <t>SCOTT COOPER</t>
        </is>
      </c>
      <c r="D3529" s="144" t="n">
        <v>9033350460</v>
      </c>
      <c r="E3529" s="144" t="inlineStr">
        <is>
          <t>FLAT</t>
        </is>
      </c>
      <c r="F3529" s="144" t="inlineStr">
        <is>
          <t>68KSOP MA</t>
        </is>
      </c>
      <c r="G3529" s="144" t="inlineStr">
        <is>
          <t>RED KENWORTH</t>
        </is>
      </c>
      <c r="H3529" s="144" t="n">
        <v>1221</v>
      </c>
      <c r="I3529" s="144" t="inlineStr">
        <is>
          <t>COMMERCIAL</t>
        </is>
      </c>
    </row>
    <row r="3530" ht="18" customHeight="1" s="7">
      <c r="A3530" s="144" t="inlineStr">
        <is>
          <t>STONE LAMAR</t>
        </is>
      </c>
      <c r="B3530" s="144" t="inlineStr">
        <is>
          <t>913213500 AK</t>
        </is>
      </c>
      <c r="C3530" s="144" t="inlineStr">
        <is>
          <t>CR EXPRESS</t>
        </is>
      </c>
      <c r="D3530" s="144" t="n">
        <v>5014771438</v>
      </c>
      <c r="E3530" s="144" t="inlineStr">
        <is>
          <t>BOX</t>
        </is>
      </c>
      <c r="F3530" s="144" t="inlineStr">
        <is>
          <t>P1268918 IL</t>
        </is>
      </c>
      <c r="G3530" s="144" t="inlineStr">
        <is>
          <t>BLUE FREIGHTLINER</t>
        </is>
      </c>
      <c r="H3530" s="144" t="n">
        <v>1221</v>
      </c>
      <c r="I3530" s="144" t="inlineStr">
        <is>
          <t>COMMERCIAL</t>
        </is>
      </c>
    </row>
    <row r="3531" ht="18" customHeight="1" s="7">
      <c r="A3531" s="144" t="inlineStr">
        <is>
          <t>COLLINS ANDREW</t>
        </is>
      </c>
      <c r="B3531" s="144" t="inlineStr">
        <is>
          <t>105173585 SC</t>
        </is>
      </c>
      <c r="C3531" s="144" t="inlineStr">
        <is>
          <t>BENTOS</t>
        </is>
      </c>
      <c r="D3531" s="144" t="n">
        <v>8439995244</v>
      </c>
      <c r="E3531" s="144" t="inlineStr">
        <is>
          <t>BOX</t>
        </is>
      </c>
      <c r="F3531" s="144" t="inlineStr">
        <is>
          <t>P1225435 IL</t>
        </is>
      </c>
      <c r="G3531" s="144" t="inlineStr">
        <is>
          <t>BLUE FREIGHTLINER</t>
        </is>
      </c>
      <c r="H3531" s="144" t="n">
        <v>1221</v>
      </c>
      <c r="I3531" s="144" t="inlineStr">
        <is>
          <t>COMMERCIAL</t>
        </is>
      </c>
    </row>
    <row r="3532" ht="18" customHeight="1" s="7">
      <c r="A3532" s="144" t="inlineStr">
        <is>
          <t>DUNNAM SHERREL</t>
        </is>
      </c>
      <c r="B3532" s="144" t="inlineStr">
        <is>
          <t>D550217663800</t>
        </is>
      </c>
      <c r="C3532" s="144" t="inlineStr">
        <is>
          <t>3DEE</t>
        </is>
      </c>
      <c r="D3532" s="144" t="n">
        <v>9122209877</v>
      </c>
      <c r="E3532" s="144" t="inlineStr">
        <is>
          <t>FLAT</t>
        </is>
      </c>
      <c r="F3532" s="144" t="inlineStr">
        <is>
          <t>C066ES GA</t>
        </is>
      </c>
      <c r="G3532" s="144" t="inlineStr">
        <is>
          <t>WHITE KENWORTH</t>
        </is>
      </c>
      <c r="H3532" s="144" t="n">
        <v>1221</v>
      </c>
      <c r="I3532" s="144" t="inlineStr">
        <is>
          <t>COMMERCIAL</t>
        </is>
      </c>
    </row>
    <row r="3533" ht="18" customHeight="1" s="7">
      <c r="A3533" s="144" t="inlineStr">
        <is>
          <t>ERIC BASS</t>
        </is>
      </c>
      <c r="B3533" s="144" t="inlineStr">
        <is>
          <t>057023821 GA</t>
        </is>
      </c>
      <c r="C3533" s="144" t="inlineStr">
        <is>
          <t>UNIFIRST</t>
        </is>
      </c>
      <c r="D3533" s="144" t="n">
        <v>2296695757</v>
      </c>
      <c r="E3533" s="144" t="inlineStr">
        <is>
          <t>BOX</t>
        </is>
      </c>
      <c r="F3533" s="144" t="inlineStr">
        <is>
          <t>EJF362 GA</t>
        </is>
      </c>
      <c r="G3533" s="144" t="inlineStr">
        <is>
          <t>WHITE FREIGHTLINER</t>
        </is>
      </c>
      <c r="H3533" s="144" t="n">
        <v>2200</v>
      </c>
      <c r="I3533" s="144" t="inlineStr">
        <is>
          <t>COMMERCIAL</t>
        </is>
      </c>
    </row>
    <row r="3534" ht="18" customHeight="1" s="7">
      <c r="A3534" s="144" t="inlineStr">
        <is>
          <t>POPOTER ANTONIO</t>
        </is>
      </c>
      <c r="B3534" s="144" t="inlineStr">
        <is>
          <t>P13672169110 FL</t>
        </is>
      </c>
      <c r="C3534" s="144" t="inlineStr">
        <is>
          <t>POP TRANS</t>
        </is>
      </c>
      <c r="D3534" s="144" t="n">
        <v>7728343175</v>
      </c>
      <c r="E3534" s="144" t="inlineStr">
        <is>
          <t>FLAT</t>
        </is>
      </c>
      <c r="F3534" s="144" t="inlineStr">
        <is>
          <t>DG79BJ FL</t>
        </is>
      </c>
      <c r="G3534" s="144" t="inlineStr">
        <is>
          <t>WHITE INTERNATIONAL</t>
        </is>
      </c>
      <c r="H3534" s="144" t="n">
        <v>1221</v>
      </c>
      <c r="I3534" s="144" t="inlineStr">
        <is>
          <t>COMMERCIAL</t>
        </is>
      </c>
    </row>
    <row r="3535" ht="18" customHeight="1" s="7">
      <c r="A3535" s="144" t="inlineStr">
        <is>
          <t>KUMAR AMAN</t>
        </is>
      </c>
      <c r="B3535" s="144" t="inlineStr">
        <is>
          <t>W9011153 CA</t>
        </is>
      </c>
      <c r="C3535" s="144" t="inlineStr">
        <is>
          <t>GRAK</t>
        </is>
      </c>
      <c r="D3535" s="144" t="n">
        <v>5595731339</v>
      </c>
      <c r="E3535" s="144" t="inlineStr">
        <is>
          <t>BOX</t>
        </is>
      </c>
      <c r="F3535" s="144" t="inlineStr">
        <is>
          <t>ZP65759 CA</t>
        </is>
      </c>
      <c r="G3535" s="144" t="inlineStr">
        <is>
          <t>BLUE VOLVO</t>
        </is>
      </c>
      <c r="H3535" s="144" t="n">
        <v>1221</v>
      </c>
      <c r="I3535" s="144" t="inlineStr">
        <is>
          <t>COMMERCIAL</t>
        </is>
      </c>
    </row>
    <row r="3536" ht="18" customHeight="1" s="7">
      <c r="A3536" s="144" t="inlineStr">
        <is>
          <t>AZARYAH YISRAEL</t>
        </is>
      </c>
      <c r="B3536" s="144" t="inlineStr">
        <is>
          <t>*070361894 GA</t>
        </is>
      </c>
      <c r="C3536" s="144" t="inlineStr">
        <is>
          <t>BRIGA</t>
        </is>
      </c>
      <c r="D3536" s="144" t="n">
        <v>4704799656</v>
      </c>
      <c r="E3536" s="144" t="inlineStr">
        <is>
          <t>BOX</t>
        </is>
      </c>
      <c r="F3536" s="144" t="inlineStr">
        <is>
          <t>RC40290 MI</t>
        </is>
      </c>
      <c r="G3536" s="144" t="inlineStr">
        <is>
          <t>WHITE VOLVO</t>
        </is>
      </c>
      <c r="H3536" s="144" t="n">
        <v>1221</v>
      </c>
      <c r="I3536" s="144" t="inlineStr">
        <is>
          <t>COMMERCIAL</t>
        </is>
      </c>
    </row>
    <row r="3537" ht="18" customHeight="1" s="7">
      <c r="A3537" s="144" t="inlineStr">
        <is>
          <t>TOUSSAINT PATRICK</t>
        </is>
      </c>
      <c r="B3537" s="144" t="inlineStr">
        <is>
          <t>T253660920540 FL</t>
        </is>
      </c>
      <c r="C3537" s="144" t="inlineStr">
        <is>
          <t>CENTERAL EXPEDITED</t>
        </is>
      </c>
      <c r="D3537" s="144" t="n">
        <v>9147181668</v>
      </c>
      <c r="E3537" s="144" t="inlineStr">
        <is>
          <t>BOX</t>
        </is>
      </c>
      <c r="F3537" s="144" t="inlineStr">
        <is>
          <t>P1211326 IL</t>
        </is>
      </c>
      <c r="G3537" s="144" t="inlineStr">
        <is>
          <t>WHITE FREIGHTLINER</t>
        </is>
      </c>
      <c r="H3537" s="144" t="n">
        <v>1221</v>
      </c>
      <c r="I3537" s="144" t="inlineStr">
        <is>
          <t>COMMERCIAL</t>
        </is>
      </c>
    </row>
    <row r="3538" ht="18" customHeight="1" s="7">
      <c r="A3538" s="144" t="inlineStr">
        <is>
          <t>RUBIO HAROLD</t>
        </is>
      </c>
      <c r="B3538" s="144" t="inlineStr">
        <is>
          <t>D10221151 AZ</t>
        </is>
      </c>
      <c r="C3538" s="144" t="inlineStr">
        <is>
          <t>MMD TRANS</t>
        </is>
      </c>
      <c r="D3538" s="144" t="n">
        <v>6236802829</v>
      </c>
      <c r="E3538" s="144" t="inlineStr">
        <is>
          <t>BOX</t>
        </is>
      </c>
      <c r="F3538" s="144" t="inlineStr">
        <is>
          <t>AM59281 AZ</t>
        </is>
      </c>
      <c r="G3538" s="144" t="inlineStr">
        <is>
          <t>WHITE VOLVO</t>
        </is>
      </c>
      <c r="H3538" s="144" t="n">
        <v>1600</v>
      </c>
      <c r="I3538" s="144" t="inlineStr">
        <is>
          <t>COMMERCIAL</t>
        </is>
      </c>
    </row>
    <row r="3539" ht="18" customHeight="1" s="7">
      <c r="A3539" s="144" t="inlineStr">
        <is>
          <t>RODGER GRAHAM JR</t>
        </is>
      </c>
      <c r="B3539" s="144" t="inlineStr">
        <is>
          <t>T67533442  VI</t>
        </is>
      </c>
      <c r="C3539" s="144" t="inlineStr">
        <is>
          <t>BLUE STAR LLC</t>
        </is>
      </c>
      <c r="D3539" s="144" t="n">
        <v>4346039804</v>
      </c>
      <c r="E3539" s="144" t="inlineStr">
        <is>
          <t>BOX</t>
        </is>
      </c>
      <c r="F3539" s="144" t="inlineStr">
        <is>
          <t>P855089 IL</t>
        </is>
      </c>
      <c r="G3539" s="144" t="inlineStr">
        <is>
          <t>WHITE VOLVO</t>
        </is>
      </c>
      <c r="H3539" s="144" t="n">
        <v>1221</v>
      </c>
      <c r="I3539" s="144" t="inlineStr">
        <is>
          <t>COMMERCIAL</t>
        </is>
      </c>
    </row>
    <row r="3540" ht="18" customHeight="1" s="7">
      <c r="A3540" s="144" t="inlineStr">
        <is>
          <t>SPENCER TAYLOR</t>
        </is>
      </c>
      <c r="B3540" s="144" t="inlineStr">
        <is>
          <t>T460783702990 FL</t>
        </is>
      </c>
      <c r="C3540" s="144" t="inlineStr">
        <is>
          <t>BILLOR</t>
        </is>
      </c>
      <c r="D3540" s="144" t="n">
        <v>8159080638</v>
      </c>
      <c r="E3540" s="144" t="inlineStr">
        <is>
          <t>BOX</t>
        </is>
      </c>
      <c r="F3540" s="144" t="inlineStr">
        <is>
          <t>VW4092 NC</t>
        </is>
      </c>
      <c r="G3540" s="144" t="inlineStr">
        <is>
          <t>GREY FREIGHTLINER</t>
        </is>
      </c>
      <c r="H3540" s="144" t="n">
        <v>1221</v>
      </c>
      <c r="I3540" s="144" t="inlineStr">
        <is>
          <t>COMMERCIAL</t>
        </is>
      </c>
    </row>
    <row r="3541" ht="18" customHeight="1" s="7">
      <c r="A3541" s="144" t="inlineStr">
        <is>
          <t>LESLIE BEAUMONT</t>
        </is>
      </c>
      <c r="B3541" s="144" t="inlineStr">
        <is>
          <t>B553536540980 FL</t>
        </is>
      </c>
      <c r="C3541" s="144" t="inlineStr">
        <is>
          <t xml:space="preserve">BENNETT </t>
        </is>
      </c>
      <c r="D3541" s="144" t="n">
        <v>3474370660</v>
      </c>
      <c r="E3541" s="144" t="inlineStr">
        <is>
          <t>FLAT</t>
        </is>
      </c>
      <c r="F3541" s="144" t="inlineStr">
        <is>
          <t>DF30LI FL</t>
        </is>
      </c>
      <c r="G3541" s="144" t="inlineStr">
        <is>
          <t>WHITE FREIGHTLINER</t>
        </is>
      </c>
      <c r="H3541" s="144" t="n">
        <v>1221</v>
      </c>
      <c r="I3541" s="144" t="inlineStr">
        <is>
          <t>COMMERICAL</t>
        </is>
      </c>
    </row>
    <row r="3542" ht="18" customHeight="1" s="7">
      <c r="A3542" s="144" t="inlineStr">
        <is>
          <t>ELHADJI SECK</t>
        </is>
      </c>
      <c r="B3542" s="144" t="inlineStr">
        <is>
          <t>45918272 TX</t>
        </is>
      </c>
      <c r="C3542" s="144" t="inlineStr">
        <is>
          <t>AL BOORAH</t>
        </is>
      </c>
      <c r="D3542" s="144" t="n">
        <v>8507419475</v>
      </c>
      <c r="E3542" s="144" t="inlineStr">
        <is>
          <t>FLAT</t>
        </is>
      </c>
      <c r="F3542" s="144" t="inlineStr">
        <is>
          <t>R722914 TX</t>
        </is>
      </c>
      <c r="G3542" s="144" t="inlineStr">
        <is>
          <t>RED PETERBILT</t>
        </is>
      </c>
      <c r="H3542" s="144" t="n">
        <v>1221</v>
      </c>
      <c r="I3542" s="144" t="inlineStr">
        <is>
          <t>COMMERICAL</t>
        </is>
      </c>
    </row>
    <row r="3543" ht="18" customHeight="1" s="7">
      <c r="A3543" s="144" t="inlineStr">
        <is>
          <t>ERNEST LOWE III</t>
        </is>
      </c>
      <c r="B3543" s="144" t="inlineStr">
        <is>
          <t>000008868153 NC</t>
        </is>
      </c>
      <c r="C3543" s="144" t="inlineStr">
        <is>
          <t>DUNMOOR TRANS</t>
        </is>
      </c>
      <c r="D3543" s="144" t="n">
        <v>2526764238</v>
      </c>
      <c r="E3543" s="144" t="inlineStr">
        <is>
          <t>FLAT</t>
        </is>
      </c>
      <c r="F3543" s="144" t="inlineStr">
        <is>
          <t>VW6778 NC</t>
        </is>
      </c>
      <c r="G3543" s="144" t="inlineStr">
        <is>
          <t>BLUE PETERBILT</t>
        </is>
      </c>
      <c r="H3543" s="144" t="n">
        <v>1221</v>
      </c>
      <c r="I3543" s="144" t="inlineStr">
        <is>
          <t>COMMERICAL</t>
        </is>
      </c>
    </row>
    <row r="3544" ht="18" customHeight="1" s="7">
      <c r="A3544" s="144" t="inlineStr">
        <is>
          <t>ZURAB MODEBADZE</t>
        </is>
      </c>
      <c r="B3544" s="144" t="inlineStr">
        <is>
          <t>M60757970007732 NJ</t>
        </is>
      </c>
      <c r="C3544" s="144" t="inlineStr">
        <is>
          <t>MILLENIUM EXPRESS</t>
        </is>
      </c>
      <c r="D3544" s="144" t="n">
        <v>9739011143</v>
      </c>
      <c r="E3544" s="144" t="inlineStr">
        <is>
          <t>BOX</t>
        </is>
      </c>
      <c r="F3544" s="144" t="inlineStr">
        <is>
          <t>AX402S NJ</t>
        </is>
      </c>
      <c r="G3544" s="144" t="inlineStr">
        <is>
          <t>MAROON KENWORTH</t>
        </is>
      </c>
      <c r="H3544" s="144" t="n">
        <v>1221</v>
      </c>
      <c r="I3544" s="144" t="inlineStr">
        <is>
          <t>COMMERICAL</t>
        </is>
      </c>
    </row>
    <row r="3545" ht="18" customHeight="1" s="7">
      <c r="A3545" s="144" t="inlineStr">
        <is>
          <t>DANNY MCHAN</t>
        </is>
      </c>
      <c r="B3545" s="144" t="inlineStr">
        <is>
          <t>052325606 GA</t>
        </is>
      </c>
      <c r="C3545" s="144" t="inlineStr">
        <is>
          <t xml:space="preserve">ACE </t>
        </is>
      </c>
      <c r="D3545" s="144" t="n">
        <v>2292258504</v>
      </c>
      <c r="E3545" s="144" t="inlineStr">
        <is>
          <t>PU</t>
        </is>
      </c>
      <c r="F3545" s="144" t="inlineStr">
        <is>
          <t>SEH9284 FL</t>
        </is>
      </c>
      <c r="G3545" s="144" t="inlineStr">
        <is>
          <t>WHITE DODGE</t>
        </is>
      </c>
      <c r="H3545" s="144" t="n">
        <v>2200</v>
      </c>
      <c r="I3545" s="144" t="inlineStr">
        <is>
          <t>CONTRACTOR</t>
        </is>
      </c>
    </row>
    <row r="3546" ht="18" customHeight="1" s="7">
      <c r="A3546" s="144" t="inlineStr">
        <is>
          <t>DEVIN BRADY</t>
        </is>
      </c>
      <c r="B3546" s="144" t="inlineStr">
        <is>
          <t>056955468 GA</t>
        </is>
      </c>
      <c r="C3546" s="144" t="inlineStr">
        <is>
          <t xml:space="preserve">ACE </t>
        </is>
      </c>
      <c r="D3546" s="144" t="n">
        <v>2292256947</v>
      </c>
      <c r="E3546" s="144" t="inlineStr">
        <is>
          <t>PU</t>
        </is>
      </c>
      <c r="F3546" s="144" t="inlineStr">
        <is>
          <t>GMT111 GA</t>
        </is>
      </c>
      <c r="G3546" s="144" t="inlineStr">
        <is>
          <t>WHITE RAM</t>
        </is>
      </c>
      <c r="H3546" s="144" t="n">
        <v>2200</v>
      </c>
      <c r="I3546" s="144" t="inlineStr">
        <is>
          <t>CONTRACTOR</t>
        </is>
      </c>
    </row>
    <row r="3547" ht="18" customHeight="1" s="7">
      <c r="A3547" s="144" t="inlineStr">
        <is>
          <t>CALVIN SIDERS</t>
        </is>
      </c>
      <c r="B3547" s="144" t="inlineStr">
        <is>
          <t>10106652 AL</t>
        </is>
      </c>
      <c r="C3547" s="144" t="inlineStr">
        <is>
          <t>SPARTAN NASH</t>
        </is>
      </c>
      <c r="D3547" s="144" t="n">
        <v>7063263613</v>
      </c>
      <c r="E3547" s="144" t="inlineStr">
        <is>
          <t>BOX</t>
        </is>
      </c>
      <c r="F3547" s="144" t="inlineStr">
        <is>
          <t>RC54980 MI</t>
        </is>
      </c>
      <c r="G3547" s="144" t="inlineStr">
        <is>
          <t>WHITE INTERNATIONAL</t>
        </is>
      </c>
      <c r="H3547" s="144" t="n">
        <v>7501</v>
      </c>
      <c r="I3547" s="144" t="inlineStr">
        <is>
          <t>COMMERICAL</t>
        </is>
      </c>
    </row>
    <row r="3548" ht="18" customHeight="1" s="7">
      <c r="A3548" s="144" t="inlineStr">
        <is>
          <t>KALA MAXWELL</t>
        </is>
      </c>
      <c r="B3548" s="144" t="inlineStr">
        <is>
          <t>133902040 TN</t>
        </is>
      </c>
      <c r="C3548" s="144" t="inlineStr">
        <is>
          <t>GOLBAL SOLUTIONS</t>
        </is>
      </c>
      <c r="D3548" s="144" t="n">
        <v>6155267890</v>
      </c>
      <c r="E3548" s="144" t="inlineStr">
        <is>
          <t>FLAT</t>
        </is>
      </c>
      <c r="F3548" s="144" t="inlineStr">
        <is>
          <t>P1260070 IL</t>
        </is>
      </c>
      <c r="G3548" s="144" t="inlineStr">
        <is>
          <t>WHITE FREIGHTLINER</t>
        </is>
      </c>
      <c r="H3548" s="144" t="n">
        <v>1221</v>
      </c>
      <c r="I3548" s="144" t="inlineStr">
        <is>
          <t>COMMERICAL</t>
        </is>
      </c>
    </row>
    <row r="3549" ht="18" customHeight="1" s="7">
      <c r="A3549" s="144" t="inlineStr">
        <is>
          <t>CHADRICK RICHARDSON</t>
        </is>
      </c>
      <c r="B3549" s="144" t="inlineStr">
        <is>
          <t>050546113 GA</t>
        </is>
      </c>
      <c r="C3549" s="144" t="inlineStr">
        <is>
          <t>CRICH TRUCKIN</t>
        </is>
      </c>
      <c r="D3549" s="144" t="n">
        <v>2293109805</v>
      </c>
      <c r="E3549" s="144" t="inlineStr">
        <is>
          <t>FLAT</t>
        </is>
      </c>
      <c r="F3549" s="144" t="inlineStr">
        <is>
          <t>C603DS GA</t>
        </is>
      </c>
      <c r="G3549" s="144" t="inlineStr">
        <is>
          <t>RED FREIGHTLINER</t>
        </is>
      </c>
      <c r="H3549" s="144" t="n">
        <v>1221</v>
      </c>
      <c r="I3549" s="144" t="inlineStr">
        <is>
          <t>COMMERICAL</t>
        </is>
      </c>
    </row>
    <row r="3550" ht="18" customHeight="1" s="7">
      <c r="A3550" s="144" t="inlineStr">
        <is>
          <t>HARRISON WILBURN</t>
        </is>
      </c>
      <c r="B3550" s="144" t="inlineStr">
        <is>
          <t>071088505 GA</t>
        </is>
      </c>
      <c r="C3550" s="144" t="inlineStr">
        <is>
          <t>TRI STAKE</t>
        </is>
      </c>
      <c r="D3550" s="144" t="n">
        <v>3472371701</v>
      </c>
      <c r="E3550" s="144" t="inlineStr">
        <is>
          <t>PU</t>
        </is>
      </c>
      <c r="F3550" s="144" t="inlineStr">
        <is>
          <t>SJV0021 GA</t>
        </is>
      </c>
      <c r="G3550" s="144" t="inlineStr">
        <is>
          <t>BLACK FORD</t>
        </is>
      </c>
      <c r="H3550" s="144" t="n">
        <v>1221</v>
      </c>
      <c r="I3550" s="144" t="inlineStr">
        <is>
          <t>CONTRACTOR</t>
        </is>
      </c>
    </row>
    <row r="3551" ht="18" customHeight="1" s="7">
      <c r="A3551" s="144" t="inlineStr">
        <is>
          <t>ALFRED LAWTON</t>
        </is>
      </c>
      <c r="B3551" s="144" t="inlineStr">
        <is>
          <t>058430832 GA</t>
        </is>
      </c>
      <c r="C3551" s="144" t="inlineStr">
        <is>
          <t>RUSSELL COOK</t>
        </is>
      </c>
      <c r="D3551" s="144" t="n">
        <v>2298943117</v>
      </c>
      <c r="E3551" s="144" t="inlineStr">
        <is>
          <t>PU</t>
        </is>
      </c>
      <c r="F3551" s="144" t="inlineStr">
        <is>
          <t>EJS538 GA</t>
        </is>
      </c>
      <c r="G3551" s="144" t="inlineStr">
        <is>
          <t>WHITE CHEV</t>
        </is>
      </c>
      <c r="H3551" s="144" t="n">
        <v>5500</v>
      </c>
      <c r="I3551" s="144" t="inlineStr">
        <is>
          <t>CONTRACTOR</t>
        </is>
      </c>
    </row>
    <row r="3552" ht="18" customHeight="1" s="7">
      <c r="A3552" s="144" t="inlineStr">
        <is>
          <t xml:space="preserve">KIRK TINCH </t>
        </is>
      </c>
      <c r="B3552" s="144" t="inlineStr">
        <is>
          <t>056604563 GA</t>
        </is>
      </c>
      <c r="C3552" s="144" t="inlineStr">
        <is>
          <t>LAWTON CONT</t>
        </is>
      </c>
      <c r="D3552" s="144" t="n">
        <v>2294495950</v>
      </c>
      <c r="E3552" s="144" t="inlineStr">
        <is>
          <t>PU</t>
        </is>
      </c>
      <c r="F3552" s="144" t="inlineStr">
        <is>
          <t>REX2098 GA</t>
        </is>
      </c>
      <c r="G3552" s="144" t="inlineStr">
        <is>
          <t>RED FORD</t>
        </is>
      </c>
      <c r="H3552" s="144" t="n">
        <v>5500</v>
      </c>
      <c r="I3552" s="144" t="inlineStr">
        <is>
          <t>CONTRACTOR</t>
        </is>
      </c>
    </row>
    <row r="3553" ht="18" customHeight="1" s="7">
      <c r="A3553" s="144" t="inlineStr">
        <is>
          <t>DERRICK WILLIAMS</t>
        </is>
      </c>
      <c r="B3553" s="144" t="inlineStr">
        <is>
          <t>0542206024 GA</t>
        </is>
      </c>
      <c r="C3553" s="144" t="inlineStr">
        <is>
          <t>RUSSELL COOK</t>
        </is>
      </c>
      <c r="D3553" s="144" t="n">
        <v>2294498522</v>
      </c>
      <c r="E3553" s="144" t="inlineStr">
        <is>
          <t>PU</t>
        </is>
      </c>
      <c r="F3553" s="144" t="inlineStr">
        <is>
          <t>RXM7708 GA</t>
        </is>
      </c>
      <c r="G3553" s="144" t="inlineStr">
        <is>
          <t>GRAY FORD</t>
        </is>
      </c>
      <c r="H3553" s="144" t="n">
        <v>5500</v>
      </c>
      <c r="I3553" s="144" t="inlineStr">
        <is>
          <t>CONTRACTOR</t>
        </is>
      </c>
    </row>
    <row r="3554" ht="18" customHeight="1" s="7">
      <c r="A3554" s="144" t="inlineStr">
        <is>
          <t>CALVIN PORTER</t>
        </is>
      </c>
      <c r="B3554" s="144" t="inlineStr">
        <is>
          <t>056532568 GA</t>
        </is>
      </c>
      <c r="C3554" s="144" t="inlineStr">
        <is>
          <t>RUSSELL COOK</t>
        </is>
      </c>
      <c r="D3554" s="144" t="n">
        <v>2298096692</v>
      </c>
      <c r="E3554" s="144" t="inlineStr">
        <is>
          <t>PU</t>
        </is>
      </c>
      <c r="F3554" s="144" t="inlineStr">
        <is>
          <t>YPT8558 GA</t>
        </is>
      </c>
      <c r="G3554" s="144" t="inlineStr">
        <is>
          <t>BLACK CHEV</t>
        </is>
      </c>
      <c r="H3554" s="144" t="n">
        <v>5500</v>
      </c>
      <c r="I3554" s="144" t="inlineStr">
        <is>
          <t>CONTRACTOR</t>
        </is>
      </c>
    </row>
    <row r="3555" ht="18" customHeight="1" s="7">
      <c r="A3555" s="144" t="inlineStr">
        <is>
          <t>JORDAN CARTER</t>
        </is>
      </c>
      <c r="B3555" s="144" t="inlineStr">
        <is>
          <t>*056451590 GA</t>
        </is>
      </c>
      <c r="C3555" s="144" t="inlineStr">
        <is>
          <t>ACE</t>
        </is>
      </c>
      <c r="D3555" s="144" t="n">
        <v>2299773181</v>
      </c>
      <c r="E3555" s="144" t="inlineStr">
        <is>
          <t>PU</t>
        </is>
      </c>
      <c r="F3555" s="144" t="inlineStr">
        <is>
          <t>SEW7803 GA</t>
        </is>
      </c>
      <c r="G3555" s="144" t="inlineStr">
        <is>
          <t>WHITE DODGE</t>
        </is>
      </c>
      <c r="H3555" s="144" t="n">
        <v>2200</v>
      </c>
      <c r="I3555" s="144" t="inlineStr">
        <is>
          <t>CONTRACTOR</t>
        </is>
      </c>
    </row>
    <row r="3556" ht="18" customHeight="1" s="7">
      <c r="A3556" s="144" t="inlineStr">
        <is>
          <t>JOSEPH LEE</t>
        </is>
      </c>
      <c r="B3556" s="144" t="inlineStr">
        <is>
          <t>*049470084 GA</t>
        </is>
      </c>
      <c r="C3556" s="144" t="inlineStr">
        <is>
          <t>D&amp;E TRANS</t>
        </is>
      </c>
      <c r="D3556" s="144" t="n">
        <v>9126614942</v>
      </c>
      <c r="E3556" s="144" t="inlineStr">
        <is>
          <t>FLAT</t>
        </is>
      </c>
      <c r="F3556" s="144" t="inlineStr">
        <is>
          <t>P1264770 IL</t>
        </is>
      </c>
      <c r="G3556" s="144" t="inlineStr">
        <is>
          <t>BLACK PETERBILT</t>
        </is>
      </c>
      <c r="H3556" s="144" t="n">
        <v>1221</v>
      </c>
      <c r="I3556" s="144" t="inlineStr">
        <is>
          <t>COMMERCIAL</t>
        </is>
      </c>
    </row>
    <row r="3557" ht="18" customHeight="1" s="7">
      <c r="A3557" s="144" t="inlineStr">
        <is>
          <t>DALLAS SMITH JR</t>
        </is>
      </c>
      <c r="B3557" s="144" t="inlineStr">
        <is>
          <t>*054304574 GA</t>
        </is>
      </c>
      <c r="C3557" s="144" t="inlineStr">
        <is>
          <t>YANCEY RENTALS</t>
        </is>
      </c>
      <c r="D3557" s="144" t="n">
        <v>4703961698</v>
      </c>
      <c r="E3557" s="144" t="inlineStr">
        <is>
          <t>PU</t>
        </is>
      </c>
      <c r="F3557" s="144" t="inlineStr">
        <is>
          <t>ZAI413 GA</t>
        </is>
      </c>
      <c r="G3557" s="144" t="inlineStr">
        <is>
          <t>WHITE FORD</t>
        </is>
      </c>
      <c r="H3557" s="144" t="inlineStr">
        <is>
          <t>GATE 1/5</t>
        </is>
      </c>
      <c r="I3557" s="144" t="inlineStr">
        <is>
          <t>CONTRACTOR</t>
        </is>
      </c>
    </row>
    <row r="3558" ht="18" customHeight="1" s="7">
      <c r="A3558" s="144" t="inlineStr">
        <is>
          <t>KENNETH MORGAN</t>
        </is>
      </c>
      <c r="B3558" s="144" t="inlineStr">
        <is>
          <t>*057619160 GA</t>
        </is>
      </c>
      <c r="C3558" s="144" t="inlineStr">
        <is>
          <t>TRIMARK</t>
        </is>
      </c>
      <c r="D3558" s="144" t="n">
        <v>2298698773</v>
      </c>
      <c r="E3558" s="144" t="inlineStr">
        <is>
          <t>PU</t>
        </is>
      </c>
      <c r="F3558" s="144" t="inlineStr">
        <is>
          <t>RFQ7207 GA</t>
        </is>
      </c>
      <c r="G3558" s="144" t="inlineStr">
        <is>
          <t>WHITE FORD</t>
        </is>
      </c>
      <c r="H3558" s="144" t="inlineStr">
        <is>
          <t>PX</t>
        </is>
      </c>
      <c r="I3558" s="144" t="inlineStr">
        <is>
          <t>CONTRACTOR</t>
        </is>
      </c>
    </row>
    <row r="3559" ht="18" customHeight="1" s="7">
      <c r="A3559" s="144" t="inlineStr">
        <is>
          <t>BALLARD STEPHEN</t>
        </is>
      </c>
      <c r="B3559" s="144" t="inlineStr">
        <is>
          <t>RT813581 OH</t>
        </is>
      </c>
      <c r="C3559" s="144" t="inlineStr">
        <is>
          <t>CLE TRANS</t>
        </is>
      </c>
      <c r="D3559" s="144" t="n">
        <v>3302126518</v>
      </c>
      <c r="E3559" s="144" t="inlineStr">
        <is>
          <t>BOX</t>
        </is>
      </c>
      <c r="F3559" s="144" t="inlineStr">
        <is>
          <t>PWY42559 OH</t>
        </is>
      </c>
      <c r="G3559" s="144" t="inlineStr">
        <is>
          <t>WHITE MACK</t>
        </is>
      </c>
      <c r="H3559" s="144" t="n">
        <v>1221</v>
      </c>
      <c r="I3559" s="144" t="inlineStr">
        <is>
          <t>COMMERCIAL</t>
        </is>
      </c>
    </row>
    <row r="3560" ht="18" customHeight="1" s="7">
      <c r="A3560" s="144" t="inlineStr">
        <is>
          <t>NOLAN BRENDAN</t>
        </is>
      </c>
      <c r="B3560" s="144" t="inlineStr">
        <is>
          <t>N450074981800 FL</t>
        </is>
      </c>
      <c r="C3560" s="144" t="inlineStr">
        <is>
          <t>MULTI VISION</t>
        </is>
      </c>
      <c r="D3560" s="144" t="n">
        <v>2409948944</v>
      </c>
      <c r="E3560" s="144" t="inlineStr">
        <is>
          <t>FLAT</t>
        </is>
      </c>
      <c r="F3560" s="144" t="inlineStr">
        <is>
          <t>AO11984 SC</t>
        </is>
      </c>
      <c r="G3560" s="144" t="inlineStr">
        <is>
          <t>RED PETERBILT</t>
        </is>
      </c>
      <c r="H3560" s="144" t="n">
        <v>1221</v>
      </c>
      <c r="I3560" s="144" t="inlineStr">
        <is>
          <t>COMMERCIAL</t>
        </is>
      </c>
    </row>
    <row r="3561" ht="18" customHeight="1" s="7">
      <c r="A3561" s="144" t="inlineStr">
        <is>
          <t>CLAY CARTER</t>
        </is>
      </c>
      <c r="B3561" s="144" t="inlineStr">
        <is>
          <t>P205061014 MI</t>
        </is>
      </c>
      <c r="C3561" s="144" t="inlineStr">
        <is>
          <t>OLD DOMINION</t>
        </is>
      </c>
      <c r="D3561" s="144" t="n">
        <v>4174836085</v>
      </c>
      <c r="E3561" s="144" t="inlineStr">
        <is>
          <t>BOX</t>
        </is>
      </c>
      <c r="F3561" s="144" t="inlineStr">
        <is>
          <t>NS3853 NC</t>
        </is>
      </c>
      <c r="G3561" s="144" t="inlineStr">
        <is>
          <t>GREEN FREIGHTLINER</t>
        </is>
      </c>
      <c r="H3561" s="144" t="n">
        <v>1221</v>
      </c>
      <c r="I3561" s="144" t="inlineStr">
        <is>
          <t>COMMERICAL</t>
        </is>
      </c>
    </row>
    <row r="3562" ht="18" customHeight="1" s="7">
      <c r="A3562" s="144" t="inlineStr">
        <is>
          <t>MULALIC NEDIM</t>
        </is>
      </c>
      <c r="B3562" s="144" t="inlineStr">
        <is>
          <t>M44262064005 IL</t>
        </is>
      </c>
      <c r="C3562" s="144" t="inlineStr">
        <is>
          <t>KANONE</t>
        </is>
      </c>
      <c r="D3562" s="144" t="n">
        <v>7736568263</v>
      </c>
      <c r="E3562" s="144" t="inlineStr">
        <is>
          <t>BOX</t>
        </is>
      </c>
      <c r="F3562" s="144" t="inlineStr">
        <is>
          <t>P1137677 IL</t>
        </is>
      </c>
      <c r="G3562" s="144" t="inlineStr">
        <is>
          <t>WHITE VOLVO</t>
        </is>
      </c>
      <c r="H3562" s="144" t="n">
        <v>1221</v>
      </c>
      <c r="I3562" s="144" t="inlineStr">
        <is>
          <t>COMMERICAL</t>
        </is>
      </c>
    </row>
    <row r="3563" ht="18" customHeight="1" s="7">
      <c r="A3563" s="144" t="inlineStr">
        <is>
          <t>KELVIN ALONSO</t>
        </is>
      </c>
      <c r="B3563" s="144" t="inlineStr">
        <is>
          <t>A232043044000 FL</t>
        </is>
      </c>
      <c r="C3563" s="144" t="inlineStr">
        <is>
          <t>CHIM ERA TRANS</t>
        </is>
      </c>
      <c r="D3563" s="144" t="n">
        <v>3869868812</v>
      </c>
      <c r="E3563" s="144" t="inlineStr">
        <is>
          <t>FLAT</t>
        </is>
      </c>
      <c r="F3563" s="144" t="inlineStr">
        <is>
          <t>XE653Q FL</t>
        </is>
      </c>
      <c r="G3563" s="144" t="inlineStr">
        <is>
          <t>BLUE PETERBILT</t>
        </is>
      </c>
      <c r="H3563" s="144" t="n">
        <v>1221</v>
      </c>
      <c r="I3563" s="144" t="inlineStr">
        <is>
          <t>COMMERICAL</t>
        </is>
      </c>
    </row>
    <row r="3564" ht="18" customHeight="1" s="7">
      <c r="A3564" s="144" t="inlineStr">
        <is>
          <t>JONATHAN VELEZ</t>
        </is>
      </c>
      <c r="B3564" s="144" t="inlineStr">
        <is>
          <t>V42242584408 FL</t>
        </is>
      </c>
      <c r="C3564" s="144" t="inlineStr">
        <is>
          <t>AIP TRUCKING</t>
        </is>
      </c>
      <c r="D3564" s="144" t="n">
        <v>4073120310</v>
      </c>
      <c r="E3564" s="144" t="inlineStr">
        <is>
          <t>FLAT</t>
        </is>
      </c>
      <c r="F3564" s="144" t="inlineStr">
        <is>
          <t>XE950V FL</t>
        </is>
      </c>
      <c r="G3564" s="144" t="inlineStr">
        <is>
          <t>BLUE FREIGHTLINER</t>
        </is>
      </c>
      <c r="H3564" s="144" t="n">
        <v>1221</v>
      </c>
      <c r="I3564" s="144" t="inlineStr">
        <is>
          <t>COMMERICAL</t>
        </is>
      </c>
    </row>
    <row r="3565" ht="18" customHeight="1" s="7">
      <c r="A3565" s="144" t="inlineStr">
        <is>
          <t>TIRU RIVERA</t>
        </is>
      </c>
      <c r="B3565" s="144" t="inlineStr">
        <is>
          <t>T661530771810 FL</t>
        </is>
      </c>
      <c r="C3565" s="144" t="inlineStr">
        <is>
          <t>AIP TRUCKING</t>
        </is>
      </c>
      <c r="D3565" s="144" t="n">
        <v>3212235781</v>
      </c>
      <c r="E3565" s="144" t="inlineStr">
        <is>
          <t>FLAT</t>
        </is>
      </c>
      <c r="F3565" s="144" t="inlineStr">
        <is>
          <t>DG60BF FL</t>
        </is>
      </c>
      <c r="G3565" s="144" t="inlineStr">
        <is>
          <t>WHITE FREIGHTLINER</t>
        </is>
      </c>
      <c r="H3565" s="144" t="n">
        <v>1221</v>
      </c>
      <c r="I3565" s="144" t="inlineStr">
        <is>
          <t>COMMERICAL</t>
        </is>
      </c>
    </row>
    <row r="3566" ht="18" customHeight="1" s="7">
      <c r="A3566" s="144" t="inlineStr">
        <is>
          <t>JAMERE VALENTINE</t>
        </is>
      </c>
      <c r="B3566" s="144" t="inlineStr">
        <is>
          <t>101499870 SC</t>
        </is>
      </c>
      <c r="C3566" s="144" t="inlineStr">
        <is>
          <t>SHE DELIVERS</t>
        </is>
      </c>
      <c r="D3566" s="144" t="n">
        <v>8434506149</v>
      </c>
      <c r="E3566" s="144" t="inlineStr">
        <is>
          <t>BOX</t>
        </is>
      </c>
      <c r="F3566" s="144" t="inlineStr">
        <is>
          <t>P863359 SC</t>
        </is>
      </c>
      <c r="G3566" s="144" t="inlineStr">
        <is>
          <t>WHITE FREIGHTLINER</t>
        </is>
      </c>
      <c r="H3566" s="144" t="n">
        <v>1221</v>
      </c>
      <c r="I3566" s="144" t="inlineStr">
        <is>
          <t>COMMERICAL</t>
        </is>
      </c>
    </row>
    <row r="3567" ht="18" customHeight="1" s="7">
      <c r="A3567" s="144" t="inlineStr">
        <is>
          <t>BEN ADEL</t>
        </is>
      </c>
      <c r="B3567" s="144" t="inlineStr">
        <is>
          <t>B516002782100 FL</t>
        </is>
      </c>
      <c r="C3567" s="144" t="inlineStr">
        <is>
          <t>I FREIGHT SOLUTIONS</t>
        </is>
      </c>
      <c r="D3567" s="144" t="n">
        <v>4078670807</v>
      </c>
      <c r="E3567" s="144" t="inlineStr">
        <is>
          <t>BOX</t>
        </is>
      </c>
      <c r="F3567" s="144" t="inlineStr">
        <is>
          <t>XD399W FL</t>
        </is>
      </c>
      <c r="G3567" s="144" t="inlineStr">
        <is>
          <t>GREEN FREIGHTLINER</t>
        </is>
      </c>
      <c r="H3567" s="144" t="n">
        <v>1221</v>
      </c>
      <c r="I3567" s="144" t="inlineStr">
        <is>
          <t>COMMERICAL</t>
        </is>
      </c>
    </row>
    <row r="3568" ht="18" customHeight="1" s="7">
      <c r="A3568" s="144" t="inlineStr">
        <is>
          <t>BENJAMIN CLARK</t>
        </is>
      </c>
      <c r="B3568" s="144" t="inlineStr">
        <is>
          <t>C462062670451 FL</t>
        </is>
      </c>
      <c r="C3568" s="144" t="inlineStr">
        <is>
          <t>CLARK LOGISTICS</t>
        </is>
      </c>
      <c r="D3568" s="144" t="n">
        <v>9046262841</v>
      </c>
      <c r="E3568" s="144" t="inlineStr">
        <is>
          <t>FLAT</t>
        </is>
      </c>
      <c r="F3568" s="144" t="inlineStr">
        <is>
          <t>XE387X FL</t>
        </is>
      </c>
      <c r="G3568" s="144" t="inlineStr">
        <is>
          <t>WHITE PETERBILT</t>
        </is>
      </c>
      <c r="H3568" s="144" t="n">
        <v>1221</v>
      </c>
      <c r="I3568" s="144" t="inlineStr">
        <is>
          <t>COMMERICAL</t>
        </is>
      </c>
    </row>
    <row r="3569" ht="18" customHeight="1" s="7">
      <c r="A3569" s="144" t="inlineStr">
        <is>
          <t>SECU DUMITRU</t>
        </is>
      </c>
      <c r="B3569" s="144" t="inlineStr">
        <is>
          <t>000036674893 NC</t>
        </is>
      </c>
      <c r="C3569" s="144" t="inlineStr">
        <is>
          <t>GMPT TRANS</t>
        </is>
      </c>
      <c r="D3569" s="144" t="n">
        <v>8283017974</v>
      </c>
      <c r="E3569" s="144" t="inlineStr">
        <is>
          <t>FLAT</t>
        </is>
      </c>
      <c r="F3569" s="144" t="inlineStr">
        <is>
          <t>NH4922 NC</t>
        </is>
      </c>
      <c r="G3569" s="144" t="inlineStr">
        <is>
          <t>MAROON FREIGHTLINER</t>
        </is>
      </c>
      <c r="H3569" s="144" t="n">
        <v>1221</v>
      </c>
      <c r="I3569" s="144" t="inlineStr">
        <is>
          <t>COMMERICAL</t>
        </is>
      </c>
    </row>
    <row r="3570" ht="18" customHeight="1" s="7">
      <c r="A3570" s="144" t="inlineStr">
        <is>
          <t>AUSTIN COOK</t>
        </is>
      </c>
      <c r="B3570" s="144" t="inlineStr">
        <is>
          <t>*056553167</t>
        </is>
      </c>
      <c r="C3570" s="144" t="inlineStr">
        <is>
          <t>F FLINT</t>
        </is>
      </c>
      <c r="D3570" s="144" t="n">
        <v>2296036818</v>
      </c>
      <c r="E3570" s="144" t="inlineStr">
        <is>
          <t>PU</t>
        </is>
      </c>
      <c r="F3570" s="144" t="inlineStr">
        <is>
          <t>XCI790 GA</t>
        </is>
      </c>
      <c r="G3570" s="144" t="inlineStr">
        <is>
          <t>WHITE DODGE</t>
        </is>
      </c>
      <c r="H3570" s="144" t="n">
        <v>5400</v>
      </c>
      <c r="I3570" s="144" t="inlineStr">
        <is>
          <t>CONTRACTOR</t>
        </is>
      </c>
    </row>
    <row r="3571" ht="18" customHeight="1" s="7">
      <c r="A3571" s="144" t="inlineStr">
        <is>
          <t>MEILUTIS LINAS</t>
        </is>
      </c>
      <c r="B3571" s="144" t="inlineStr">
        <is>
          <t>M432520681900 FL</t>
        </is>
      </c>
      <c r="C3571" s="144" t="inlineStr">
        <is>
          <t>LMEGA TRANS</t>
        </is>
      </c>
      <c r="D3571" s="144" t="n">
        <v>2398508767</v>
      </c>
      <c r="E3571" s="144" t="inlineStr">
        <is>
          <t>FLAT</t>
        </is>
      </c>
      <c r="F3571" s="144" t="inlineStr">
        <is>
          <t>XE642J FL</t>
        </is>
      </c>
      <c r="G3571" s="144" t="inlineStr">
        <is>
          <t>WHITE FREIGHTLINER</t>
        </is>
      </c>
      <c r="H3571" s="144" t="n">
        <v>1221</v>
      </c>
      <c r="I3571" s="144" t="inlineStr">
        <is>
          <t>COMMERCIAL</t>
        </is>
      </c>
    </row>
    <row r="3572" ht="18" customHeight="1" s="7">
      <c r="A3572" s="144" t="inlineStr">
        <is>
          <t>DANNIELS DORIAN</t>
        </is>
      </c>
      <c r="B3572" s="144" t="inlineStr">
        <is>
          <t>T64267468 VI</t>
        </is>
      </c>
      <c r="C3572" s="144" t="inlineStr">
        <is>
          <t>BF PRIME</t>
        </is>
      </c>
      <c r="D3572" s="144" t="n">
        <v>8049286658</v>
      </c>
      <c r="E3572" s="144" t="inlineStr">
        <is>
          <t>BOX</t>
        </is>
      </c>
      <c r="F3572" s="144" t="inlineStr">
        <is>
          <t>P1304201 IL</t>
        </is>
      </c>
      <c r="G3572" s="144" t="inlineStr">
        <is>
          <t>WHITE KENWORTH</t>
        </is>
      </c>
      <c r="H3572" s="144" t="n">
        <v>1221</v>
      </c>
      <c r="I3572" s="144" t="inlineStr">
        <is>
          <t>COMMERCIAL</t>
        </is>
      </c>
    </row>
    <row r="3573" ht="18" customHeight="1" s="7">
      <c r="A3573" s="144" t="inlineStr">
        <is>
          <t>NEWSOME LONNIE</t>
        </is>
      </c>
      <c r="B3573" s="144" t="inlineStr">
        <is>
          <t>N93581180 KY</t>
        </is>
      </c>
      <c r="C3573" s="144" t="inlineStr">
        <is>
          <t>NICK N TRANS</t>
        </is>
      </c>
      <c r="D3573" s="144" t="n">
        <v>6063396464</v>
      </c>
      <c r="E3573" s="144" t="inlineStr">
        <is>
          <t>FLAT</t>
        </is>
      </c>
      <c r="F3573" s="144" t="inlineStr">
        <is>
          <t>007116A KY</t>
        </is>
      </c>
      <c r="G3573" s="144" t="inlineStr">
        <is>
          <t>RED WESTERN</t>
        </is>
      </c>
      <c r="H3573" s="144" t="n">
        <v>1221</v>
      </c>
      <c r="I3573" s="144" t="inlineStr">
        <is>
          <t>COMMERCIAL</t>
        </is>
      </c>
    </row>
    <row r="3574" ht="18" customHeight="1" s="7">
      <c r="A3574" s="144" t="inlineStr">
        <is>
          <t>VELA RUBEN</t>
        </is>
      </c>
      <c r="B3574" s="144" t="inlineStr">
        <is>
          <t>09512001 TX</t>
        </is>
      </c>
      <c r="C3574" s="144" t="inlineStr">
        <is>
          <t>MULTI VISION</t>
        </is>
      </c>
      <c r="D3574" s="144" t="n">
        <v>9567359215</v>
      </c>
      <c r="E3574" s="144" t="inlineStr">
        <is>
          <t>FLAT</t>
        </is>
      </c>
      <c r="F3574" s="144" t="inlineStr">
        <is>
          <t>A004170 NC</t>
        </is>
      </c>
      <c r="G3574" s="144" t="inlineStr">
        <is>
          <t>WHITE PETERBILT</t>
        </is>
      </c>
      <c r="H3574" s="144" t="n">
        <v>1221</v>
      </c>
      <c r="I3574" s="144" t="inlineStr">
        <is>
          <t>COMMERICAL</t>
        </is>
      </c>
    </row>
    <row r="3575" ht="18" customHeight="1" s="7">
      <c r="A3575" s="144" t="inlineStr">
        <is>
          <t>BENJAMIN MITCHELL</t>
        </is>
      </c>
      <c r="B3575" s="144" t="inlineStr">
        <is>
          <t>054284978 GA</t>
        </is>
      </c>
      <c r="C3575" s="144" t="inlineStr">
        <is>
          <t>SRM</t>
        </is>
      </c>
      <c r="D3575" s="144" t="n">
        <v>2293642041</v>
      </c>
      <c r="E3575" s="144" t="inlineStr">
        <is>
          <t>CRANE</t>
        </is>
      </c>
      <c r="F3575" s="144" t="inlineStr">
        <is>
          <t>N76608HY TN</t>
        </is>
      </c>
      <c r="G3575" s="144" t="inlineStr">
        <is>
          <t>WHITE PHOENIX</t>
        </is>
      </c>
      <c r="H3575" s="144" t="inlineStr">
        <is>
          <t>GATE 15</t>
        </is>
      </c>
      <c r="I3575" s="144" t="inlineStr">
        <is>
          <t>COMMERICAL</t>
        </is>
      </c>
    </row>
    <row r="3576" ht="18" customHeight="1" s="7">
      <c r="A3576" s="144" t="inlineStr">
        <is>
          <t>DARRELL MINCEY</t>
        </is>
      </c>
      <c r="B3576" s="144" t="inlineStr">
        <is>
          <t>053398939 GA</t>
        </is>
      </c>
      <c r="C3576" s="144" t="inlineStr">
        <is>
          <t>BEVERAGE SOUTH</t>
        </is>
      </c>
      <c r="D3576" s="144" t="n">
        <v>2292052556</v>
      </c>
      <c r="E3576" s="144" t="inlineStr">
        <is>
          <t>BOX</t>
        </is>
      </c>
      <c r="F3576" s="144" t="inlineStr">
        <is>
          <t>EPQ790 GA</t>
        </is>
      </c>
      <c r="G3576" s="144" t="inlineStr">
        <is>
          <t>WHITE FREIGHTLINER</t>
        </is>
      </c>
      <c r="H3576" s="144" t="n">
        <v>7501</v>
      </c>
      <c r="I3576" s="144" t="inlineStr">
        <is>
          <t>CONTRACTOR</t>
        </is>
      </c>
    </row>
    <row r="3577" ht="18" customHeight="1" s="7">
      <c r="A3577" s="144" t="inlineStr">
        <is>
          <t>RICHARD DAUGHTRY</t>
        </is>
      </c>
      <c r="B3577" s="144" t="inlineStr">
        <is>
          <t>055308899 GA</t>
        </is>
      </c>
      <c r="C3577" s="144" t="inlineStr">
        <is>
          <t>SGFS</t>
        </is>
      </c>
      <c r="D3577" s="144" t="n">
        <v>2295079319</v>
      </c>
      <c r="E3577" s="144" t="inlineStr">
        <is>
          <t>PU</t>
        </is>
      </c>
      <c r="F3577" s="144" t="inlineStr">
        <is>
          <t>YNN770 GA</t>
        </is>
      </c>
      <c r="G3577" s="144" t="inlineStr">
        <is>
          <t>WHITE FORD</t>
        </is>
      </c>
      <c r="H3577" s="144" t="inlineStr">
        <is>
          <t>GATE 15</t>
        </is>
      </c>
      <c r="I3577" s="144" t="inlineStr">
        <is>
          <t>CONTRACTOR</t>
        </is>
      </c>
    </row>
    <row r="3578" ht="18" customHeight="1" s="7">
      <c r="A3578" s="144" t="inlineStr">
        <is>
          <t>JOSEPH CASTLEBERRY</t>
        </is>
      </c>
      <c r="B3578" s="144" t="inlineStr">
        <is>
          <t>045374705 GA</t>
        </is>
      </c>
      <c r="C3578" s="144" t="inlineStr">
        <is>
          <t>SGFS</t>
        </is>
      </c>
      <c r="D3578" s="144" t="n">
        <v>2295079319</v>
      </c>
      <c r="E3578" s="144" t="inlineStr">
        <is>
          <t>PU</t>
        </is>
      </c>
      <c r="F3578" s="144" t="inlineStr">
        <is>
          <t>TCI0653 GA</t>
        </is>
      </c>
      <c r="G3578" s="144" t="inlineStr">
        <is>
          <t>RED FORD</t>
        </is>
      </c>
      <c r="H3578" s="144" t="inlineStr">
        <is>
          <t>GATE15</t>
        </is>
      </c>
      <c r="I3578" s="144" t="inlineStr">
        <is>
          <t>CONTRACTOR</t>
        </is>
      </c>
    </row>
    <row r="3579" ht="18" customHeight="1" s="7">
      <c r="A3579" s="144" t="inlineStr">
        <is>
          <t>JOEY COFFEY</t>
        </is>
      </c>
      <c r="B3579" s="144" t="inlineStr">
        <is>
          <t>*057873632 GA</t>
        </is>
      </c>
      <c r="C3579" s="144" t="inlineStr">
        <is>
          <t>CONYERS CONCRETE</t>
        </is>
      </c>
      <c r="D3579" s="144" t="n">
        <v>2294359874</v>
      </c>
      <c r="E3579" s="144" t="inlineStr">
        <is>
          <t>DUMP</t>
        </is>
      </c>
      <c r="F3579" s="144" t="inlineStr">
        <is>
          <t>EBJ494 GA</t>
        </is>
      </c>
      <c r="G3579" s="144" t="inlineStr">
        <is>
          <t>RED PETERBILT</t>
        </is>
      </c>
      <c r="H3579" s="144" t="inlineStr">
        <is>
          <t>HOUSING</t>
        </is>
      </c>
      <c r="I3579" s="144" t="inlineStr">
        <is>
          <t>CONTRACTOR</t>
        </is>
      </c>
    </row>
    <row r="3580" ht="18" customHeight="1" s="7">
      <c r="A3580" s="144" t="inlineStr">
        <is>
          <t>KOVACH JOSHUA</t>
        </is>
      </c>
      <c r="B3580" s="144" t="inlineStr">
        <is>
          <t>*000010039686 NC</t>
        </is>
      </c>
      <c r="C3580" s="144" t="inlineStr">
        <is>
          <t>CLASSIC TRANS</t>
        </is>
      </c>
      <c r="D3580" s="144" t="n">
        <v>7049232746</v>
      </c>
      <c r="E3580" s="144" t="inlineStr">
        <is>
          <t>FLAT</t>
        </is>
      </c>
      <c r="F3580" s="144" t="inlineStr">
        <is>
          <t>VV5654 NC</t>
        </is>
      </c>
      <c r="G3580" s="144" t="inlineStr">
        <is>
          <t>GRAY PETERBILT</t>
        </is>
      </c>
      <c r="H3580" s="144" t="n">
        <v>1221</v>
      </c>
      <c r="I3580" s="144" t="inlineStr">
        <is>
          <t>COMMERCIAL</t>
        </is>
      </c>
    </row>
    <row r="3581" ht="18" customHeight="1" s="7">
      <c r="A3581" s="144" t="inlineStr">
        <is>
          <t>MEHARI ADHANOM</t>
        </is>
      </c>
      <c r="B3581" s="144" t="inlineStr">
        <is>
          <t>*000045933158 NC</t>
        </is>
      </c>
      <c r="C3581" s="144" t="inlineStr">
        <is>
          <t>DTP TRUCKING</t>
        </is>
      </c>
      <c r="D3581" s="144" t="n">
        <v>2156177998</v>
      </c>
      <c r="E3581" s="144" t="inlineStr">
        <is>
          <t>BOX</t>
        </is>
      </c>
      <c r="F3581" s="144" t="inlineStr">
        <is>
          <t>NS1490 NC</t>
        </is>
      </c>
      <c r="G3581" s="144" t="inlineStr">
        <is>
          <t>ORANGE FREIGHTLINER</t>
        </is>
      </c>
      <c r="H3581" s="144" t="n">
        <v>1221</v>
      </c>
      <c r="I3581" s="144" t="inlineStr">
        <is>
          <t>COMMERCIAL</t>
        </is>
      </c>
    </row>
    <row r="3582" ht="18" customHeight="1" s="7">
      <c r="A3582" s="144" t="inlineStr">
        <is>
          <t>VIRGINAL DOCKERY JR</t>
        </is>
      </c>
      <c r="B3582" s="144" t="inlineStr">
        <is>
          <t>*058509792 GA</t>
        </is>
      </c>
      <c r="C3582" s="144" t="inlineStr">
        <is>
          <t>ARMADA FREIGHT</t>
        </is>
      </c>
      <c r="D3582" s="144" t="n">
        <v>7062845593</v>
      </c>
      <c r="E3582" s="144" t="inlineStr">
        <is>
          <t>BOX</t>
        </is>
      </c>
      <c r="F3582" s="144" t="inlineStr">
        <is>
          <t>P1230367 IL</t>
        </is>
      </c>
      <c r="G3582" s="144" t="inlineStr">
        <is>
          <t>WHITE KENWORTH</t>
        </is>
      </c>
      <c r="H3582" s="144" t="n">
        <v>1221</v>
      </c>
      <c r="I3582" s="144" t="inlineStr">
        <is>
          <t>COMMERCIAL</t>
        </is>
      </c>
    </row>
    <row r="3583" ht="18" customHeight="1" s="7">
      <c r="A3583" s="144" t="inlineStr">
        <is>
          <t>ANTHONY SPIVEY JR</t>
        </is>
      </c>
      <c r="B3583" s="144" t="inlineStr">
        <is>
          <t>*056139173 GA</t>
        </is>
      </c>
      <c r="C3583" s="144" t="inlineStr">
        <is>
          <t>HOME DEPOT</t>
        </is>
      </c>
      <c r="D3583" s="144" t="n">
        <v>4782126547</v>
      </c>
      <c r="E3583" s="144" t="inlineStr">
        <is>
          <t>BOX</t>
        </is>
      </c>
      <c r="F3583" s="144" t="inlineStr">
        <is>
          <t>YSC117 GA</t>
        </is>
      </c>
      <c r="G3583" s="144" t="inlineStr">
        <is>
          <t>WHITE INTER</t>
        </is>
      </c>
      <c r="H3583" s="144" t="inlineStr">
        <is>
          <t>HOUSING</t>
        </is>
      </c>
      <c r="I3583" s="144" t="inlineStr">
        <is>
          <t>COMMERCIAL</t>
        </is>
      </c>
    </row>
    <row r="3584" ht="18" customHeight="1" s="7">
      <c r="A3584" s="144" t="inlineStr">
        <is>
          <t>ANDEMARIAM HABTU</t>
        </is>
      </c>
      <c r="B3584" s="144" t="inlineStr">
        <is>
          <t>*059232594 GA</t>
        </is>
      </c>
      <c r="C3584" s="144" t="inlineStr">
        <is>
          <t>AYD TRUCKING</t>
        </is>
      </c>
      <c r="D3584" s="144" t="n">
        <v>4709025860</v>
      </c>
      <c r="E3584" s="144" t="inlineStr">
        <is>
          <t>BOX</t>
        </is>
      </c>
      <c r="F3584" s="144" t="inlineStr">
        <is>
          <t>C046DG GA</t>
        </is>
      </c>
      <c r="G3584" s="144" t="inlineStr">
        <is>
          <t>WHITE FREIGHTLINER</t>
        </is>
      </c>
      <c r="H3584" s="144" t="n">
        <v>1221</v>
      </c>
      <c r="I3584" s="144" t="inlineStr">
        <is>
          <t>COMMERCIAL</t>
        </is>
      </c>
    </row>
    <row r="3585" ht="18" customHeight="1" s="7">
      <c r="A3585" s="144" t="inlineStr">
        <is>
          <t>JONNY SARGENT</t>
        </is>
      </c>
      <c r="B3585" s="144" t="inlineStr">
        <is>
          <t>*055073478 GA</t>
        </is>
      </c>
      <c r="C3585" s="144" t="inlineStr">
        <is>
          <t>JD TRANS</t>
        </is>
      </c>
      <c r="D3585" s="144" t="n">
        <v>7708564647</v>
      </c>
      <c r="E3585" s="144" t="inlineStr">
        <is>
          <t>FLAT</t>
        </is>
      </c>
      <c r="F3585" s="144" t="inlineStr">
        <is>
          <t>C2996B GA</t>
        </is>
      </c>
      <c r="G3585" s="144" t="inlineStr">
        <is>
          <t>WHITE FREIGHTLINER</t>
        </is>
      </c>
      <c r="H3585" s="144" t="n">
        <v>1221</v>
      </c>
      <c r="I3585" s="144" t="inlineStr">
        <is>
          <t>COMMERCIAL</t>
        </is>
      </c>
    </row>
    <row r="3586" ht="18" customHeight="1" s="7">
      <c r="A3586" s="144" t="inlineStr">
        <is>
          <t>CHANDLER EPPS</t>
        </is>
      </c>
      <c r="B3586" s="144" t="inlineStr">
        <is>
          <t>*029568211</t>
        </is>
      </c>
      <c r="C3586" s="144" t="inlineStr">
        <is>
          <t>FEEDING THE VALLEY</t>
        </is>
      </c>
      <c r="D3586" s="144" t="n">
        <v>7065368711</v>
      </c>
      <c r="E3586" s="144" t="inlineStr">
        <is>
          <t>BOX</t>
        </is>
      </c>
      <c r="F3586" s="144" t="inlineStr">
        <is>
          <t>WLU683 GA</t>
        </is>
      </c>
      <c r="G3586" s="144" t="inlineStr">
        <is>
          <t>WHITE HINO</t>
        </is>
      </c>
      <c r="H3586" s="144" t="n">
        <v>7500</v>
      </c>
      <c r="I3586" s="144" t="inlineStr">
        <is>
          <t>COMMERCIAL</t>
        </is>
      </c>
    </row>
    <row r="3587" ht="18" customHeight="1" s="7">
      <c r="A3587" s="144" t="inlineStr">
        <is>
          <t>LATHAM ROGER</t>
        </is>
      </c>
      <c r="B3587" s="144" t="inlineStr">
        <is>
          <t>RQ428963 OH</t>
        </is>
      </c>
      <c r="C3587" s="144" t="inlineStr">
        <is>
          <t>CLE TRANS</t>
        </is>
      </c>
      <c r="D3587" s="144" t="n">
        <v>7402193231</v>
      </c>
      <c r="E3587" s="144" t="inlineStr">
        <is>
          <t>BOX</t>
        </is>
      </c>
      <c r="F3587" s="144" t="inlineStr">
        <is>
          <t>PWZ7300 OH</t>
        </is>
      </c>
      <c r="G3587" s="144" t="inlineStr">
        <is>
          <t>WHITE MACK</t>
        </is>
      </c>
      <c r="H3587" s="144" t="n">
        <v>1351</v>
      </c>
      <c r="I3587" s="144" t="inlineStr">
        <is>
          <t>COMMERCIAL</t>
        </is>
      </c>
    </row>
    <row r="3588" ht="18" customHeight="1" s="7">
      <c r="A3588" s="144" t="inlineStr">
        <is>
          <t>GILLESPIE SHEILA</t>
        </is>
      </c>
      <c r="B3588" s="144" t="inlineStr">
        <is>
          <t>*074823271 TN</t>
        </is>
      </c>
      <c r="C3588" s="144" t="inlineStr">
        <is>
          <t>KSM CARRIERS</t>
        </is>
      </c>
      <c r="D3588" s="144" t="n">
        <v>6154773285</v>
      </c>
      <c r="E3588" s="144" t="inlineStr">
        <is>
          <t>BOX</t>
        </is>
      </c>
      <c r="F3588" s="144" t="inlineStr">
        <is>
          <t>P1308150 IL</t>
        </is>
      </c>
      <c r="G3588" s="144" t="inlineStr">
        <is>
          <t>WHITE KENWORTH</t>
        </is>
      </c>
      <c r="H3588" s="144" t="n">
        <v>1221</v>
      </c>
      <c r="I3588" s="144" t="inlineStr">
        <is>
          <t>COMMERCIAL</t>
        </is>
      </c>
    </row>
    <row r="3589" ht="18" customHeight="1" s="7">
      <c r="A3589" s="144" t="inlineStr">
        <is>
          <t>RODRIGUEZ PAUL</t>
        </is>
      </c>
      <c r="B3589" s="144" t="inlineStr">
        <is>
          <t>103489047 SC</t>
        </is>
      </c>
      <c r="C3589" s="144" t="inlineStr">
        <is>
          <t>TIWAHE TRANS</t>
        </is>
      </c>
      <c r="D3589" s="144" t="n">
        <v>8034316338</v>
      </c>
      <c r="E3589" s="144" t="inlineStr">
        <is>
          <t>FLAT</t>
        </is>
      </c>
      <c r="F3589" s="144" t="inlineStr">
        <is>
          <t>A008401 SC</t>
        </is>
      </c>
      <c r="G3589" s="144" t="inlineStr">
        <is>
          <t>WHITE FREIGHTLINER</t>
        </is>
      </c>
      <c r="H3589" s="144" t="n">
        <v>1221</v>
      </c>
      <c r="I3589" s="144" t="inlineStr">
        <is>
          <t>COMMERCIAL</t>
        </is>
      </c>
    </row>
    <row r="3590" ht="18" customHeight="1" s="7">
      <c r="A3590" s="144" t="inlineStr">
        <is>
          <t>PEREZ RODRIGUEZ</t>
        </is>
      </c>
      <c r="B3590" s="144" t="inlineStr">
        <is>
          <t>P626170942190 FL</t>
        </is>
      </c>
      <c r="C3590" s="144" t="inlineStr">
        <is>
          <t>DAVID PEREZ</t>
        </is>
      </c>
      <c r="D3590" s="144" t="n">
        <v>4074809559</v>
      </c>
      <c r="E3590" s="144" t="inlineStr">
        <is>
          <t>BOX</t>
        </is>
      </c>
      <c r="F3590" s="144" t="inlineStr">
        <is>
          <t>XE413G FL</t>
        </is>
      </c>
      <c r="G3590" s="144" t="inlineStr">
        <is>
          <t>WHITE FREIGHTLINER</t>
        </is>
      </c>
      <c r="H3590" s="144" t="n">
        <v>1221</v>
      </c>
      <c r="I3590" s="144" t="inlineStr">
        <is>
          <t>COMMERCIAL</t>
        </is>
      </c>
    </row>
    <row r="3591" ht="18" customHeight="1" s="7">
      <c r="A3591" s="144" t="inlineStr">
        <is>
          <t>CHARLES LUCAS</t>
        </is>
      </c>
      <c r="B3591" s="144" t="inlineStr">
        <is>
          <t>*051926417 GA</t>
        </is>
      </c>
      <c r="C3591" s="144" t="inlineStr">
        <is>
          <t>SANYO TRUCKING</t>
        </is>
      </c>
      <c r="D3591" s="144" t="n">
        <v>7708757520</v>
      </c>
      <c r="E3591" s="144" t="inlineStr">
        <is>
          <t>BOX</t>
        </is>
      </c>
      <c r="F3591" s="144" t="inlineStr">
        <is>
          <t>C657FE GA</t>
        </is>
      </c>
      <c r="G3591" s="144" t="inlineStr">
        <is>
          <t>RED KENWORTH</t>
        </is>
      </c>
      <c r="H3591" s="144" t="n">
        <v>1221</v>
      </c>
      <c r="I3591" s="144" t="inlineStr">
        <is>
          <t>COMMERCIAL</t>
        </is>
      </c>
    </row>
    <row r="3592" ht="18" customHeight="1" s="7">
      <c r="A3592" s="144" t="inlineStr">
        <is>
          <t>RITA SPEAR</t>
        </is>
      </c>
      <c r="B3592" s="144" t="inlineStr">
        <is>
          <t>*050568350 GA</t>
        </is>
      </c>
      <c r="C3592" s="144" t="inlineStr">
        <is>
          <t>707 HP TRANS</t>
        </is>
      </c>
      <c r="D3592" s="144" t="n">
        <v>9123802410</v>
      </c>
      <c r="E3592" s="144" t="inlineStr">
        <is>
          <t>FLAT</t>
        </is>
      </c>
      <c r="F3592" s="144" t="inlineStr">
        <is>
          <t>C1583C GA</t>
        </is>
      </c>
      <c r="G3592" s="144" t="inlineStr">
        <is>
          <t>WHITE FREIGHTLINER</t>
        </is>
      </c>
      <c r="H3592" s="144" t="n">
        <v>1221</v>
      </c>
      <c r="I3592" s="144" t="inlineStr">
        <is>
          <t>COMMERCIAL</t>
        </is>
      </c>
    </row>
    <row r="3593" ht="18" customHeight="1" s="7">
      <c r="A3593" s="144" t="inlineStr">
        <is>
          <t>MILTON COLBERT</t>
        </is>
      </c>
      <c r="B3593" s="144" t="inlineStr">
        <is>
          <t>A088151929 OK</t>
        </is>
      </c>
      <c r="C3593" s="144" t="inlineStr">
        <is>
          <t>AAT CARRIERS</t>
        </is>
      </c>
      <c r="D3593" s="144" t="n">
        <v>4699642207</v>
      </c>
      <c r="E3593" s="144" t="inlineStr">
        <is>
          <t>BOX</t>
        </is>
      </c>
      <c r="F3593" s="144" t="inlineStr">
        <is>
          <t>3384922 IN</t>
        </is>
      </c>
      <c r="G3593" s="144" t="inlineStr">
        <is>
          <t>WHITE VOLVO</t>
        </is>
      </c>
      <c r="H3593" s="144" t="n">
        <v>1221</v>
      </c>
      <c r="I3593" s="144" t="inlineStr">
        <is>
          <t>COMMERICAL</t>
        </is>
      </c>
    </row>
    <row r="3594" ht="18" customHeight="1" s="7">
      <c r="A3594" s="144" t="inlineStr">
        <is>
          <t>HAZELTON AMBER</t>
        </is>
      </c>
      <c r="B3594" s="144" t="inlineStr">
        <is>
          <t>H243012805030 FL</t>
        </is>
      </c>
      <c r="C3594" s="144" t="inlineStr">
        <is>
          <t>ATS SECURE</t>
        </is>
      </c>
      <c r="D3594" s="144" t="n">
        <v>3526309890</v>
      </c>
      <c r="E3594" s="144" t="inlineStr">
        <is>
          <t>BOX</t>
        </is>
      </c>
      <c r="F3594" s="144" t="inlineStr">
        <is>
          <t>3593774 IN</t>
        </is>
      </c>
      <c r="G3594" s="144" t="inlineStr">
        <is>
          <t>WHITE PETERBILT</t>
        </is>
      </c>
      <c r="H3594" s="144" t="n">
        <v>1221</v>
      </c>
      <c r="I3594" s="144" t="inlineStr">
        <is>
          <t>COMMERICAL</t>
        </is>
      </c>
    </row>
    <row r="3595" ht="18" customHeight="1" s="7">
      <c r="A3595" s="144" t="inlineStr">
        <is>
          <t>ROBERT DAVIS</t>
        </is>
      </c>
      <c r="B3595" s="144" t="inlineStr">
        <is>
          <t>8406638 AL</t>
        </is>
      </c>
      <c r="C3595" s="144" t="inlineStr">
        <is>
          <t>DRIVE HARD TRUCKIN</t>
        </is>
      </c>
      <c r="D3595" s="144" t="n">
        <v>2057215092</v>
      </c>
      <c r="E3595" s="144" t="inlineStr">
        <is>
          <t>FLAT</t>
        </is>
      </c>
      <c r="F3595" s="144" t="inlineStr">
        <is>
          <t>1223194 AL</t>
        </is>
      </c>
      <c r="G3595" s="144" t="inlineStr">
        <is>
          <t>WHITE INTERNATIONAL</t>
        </is>
      </c>
      <c r="H3595" s="144" t="n">
        <v>1221</v>
      </c>
      <c r="I3595" s="144" t="inlineStr">
        <is>
          <t>COMMERICAL</t>
        </is>
      </c>
    </row>
    <row r="3596" ht="18" customHeight="1" s="7">
      <c r="A3596" s="144" t="inlineStr">
        <is>
          <t>WILLIE SPARKS</t>
        </is>
      </c>
      <c r="B3596" s="144" t="inlineStr">
        <is>
          <t>008011082 GA</t>
        </is>
      </c>
      <c r="C3596" s="144" t="inlineStr">
        <is>
          <t>CNA DIGGING</t>
        </is>
      </c>
      <c r="D3596" s="144" t="n">
        <v>4789728517</v>
      </c>
      <c r="E3596" s="144" t="inlineStr">
        <is>
          <t>FLAT</t>
        </is>
      </c>
      <c r="F3596" s="144" t="inlineStr">
        <is>
          <t>ERG082 GA</t>
        </is>
      </c>
      <c r="G3596" s="144" t="inlineStr">
        <is>
          <t>BLUE PETERBILT</t>
        </is>
      </c>
      <c r="H3596" s="144" t="n">
        <v>1221</v>
      </c>
      <c r="I3596" s="144" t="inlineStr">
        <is>
          <t>COMMERICAL</t>
        </is>
      </c>
    </row>
    <row r="3597" ht="18" customHeight="1" s="7">
      <c r="A3597" s="144" t="inlineStr">
        <is>
          <t>ABDU ABULBARI</t>
        </is>
      </c>
      <c r="B3597" s="144" t="inlineStr">
        <is>
          <t>12128742 TX</t>
        </is>
      </c>
      <c r="C3597" s="144" t="inlineStr">
        <is>
          <t>AA2</t>
        </is>
      </c>
      <c r="D3597" s="144" t="n">
        <v>4695449955</v>
      </c>
      <c r="E3597" s="144" t="inlineStr">
        <is>
          <t>BOX</t>
        </is>
      </c>
      <c r="F3597" s="144" t="inlineStr">
        <is>
          <t>R805012 TX</t>
        </is>
      </c>
      <c r="G3597" s="144" t="inlineStr">
        <is>
          <t>RED FREIGHTLINER</t>
        </is>
      </c>
      <c r="H3597" s="144" t="n">
        <v>1221</v>
      </c>
      <c r="I3597" s="144" t="inlineStr">
        <is>
          <t>COMMERICAL</t>
        </is>
      </c>
    </row>
    <row r="3598" ht="18" customHeight="1" s="7">
      <c r="A3598" s="144" t="inlineStr">
        <is>
          <t>DESMOND COOK</t>
        </is>
      </c>
      <c r="B3598" s="144" t="inlineStr">
        <is>
          <t>071296502 GA</t>
        </is>
      </c>
      <c r="C3598" s="144" t="inlineStr">
        <is>
          <t>DEVIL DOG</t>
        </is>
      </c>
      <c r="D3598" s="144" t="n">
        <v>3123688555</v>
      </c>
      <c r="E3598" s="144" t="inlineStr">
        <is>
          <t>SUV</t>
        </is>
      </c>
      <c r="F3598" s="144" t="inlineStr">
        <is>
          <t>YMU773 GA</t>
        </is>
      </c>
      <c r="G3598" s="144" t="inlineStr">
        <is>
          <t>BLACK FORD</t>
        </is>
      </c>
      <c r="H3598" s="144" t="n">
        <v>2200</v>
      </c>
      <c r="I3598" s="144" t="inlineStr">
        <is>
          <t>CONTRACTOR</t>
        </is>
      </c>
    </row>
    <row r="3599" ht="18" customHeight="1" s="7">
      <c r="A3599" s="144" t="inlineStr">
        <is>
          <t>DANIEL HARRIS</t>
        </is>
      </c>
      <c r="B3599" s="144" t="inlineStr">
        <is>
          <t>H620161982100 FL</t>
        </is>
      </c>
      <c r="C3599" s="144" t="inlineStr">
        <is>
          <t>ECONOMY MOVERS</t>
        </is>
      </c>
      <c r="D3599" s="144" t="n">
        <v>7083237008</v>
      </c>
      <c r="E3599" s="144" t="inlineStr">
        <is>
          <t>BOX</t>
        </is>
      </c>
      <c r="F3599" s="144" t="inlineStr">
        <is>
          <t>3334994 IN</t>
        </is>
      </c>
      <c r="G3599" s="144" t="inlineStr">
        <is>
          <t>YELLOW HINO</t>
        </is>
      </c>
      <c r="H3599" s="144" t="inlineStr">
        <is>
          <t>HOUSING</t>
        </is>
      </c>
      <c r="I3599" s="144" t="inlineStr">
        <is>
          <t>COMMERCIAL</t>
        </is>
      </c>
    </row>
    <row r="3600" ht="18" customHeight="1" s="7">
      <c r="A3600" s="144" t="inlineStr">
        <is>
          <t>BRANDON THURMOND</t>
        </is>
      </c>
      <c r="B3600" s="144" t="inlineStr">
        <is>
          <t>*052484557 GA</t>
        </is>
      </c>
      <c r="C3600" s="144" t="inlineStr">
        <is>
          <t>QUICKHIT</t>
        </is>
      </c>
      <c r="D3600" s="144" t="n">
        <v>4709632561</v>
      </c>
      <c r="E3600" s="144" t="inlineStr">
        <is>
          <t>BOX</t>
        </is>
      </c>
      <c r="F3600" s="144" t="inlineStr">
        <is>
          <t>GQJ607 GA</t>
        </is>
      </c>
      <c r="G3600" s="144" t="inlineStr">
        <is>
          <t>WHITE FREIGHTLINER</t>
        </is>
      </c>
      <c r="H3600" s="144" t="n">
        <v>2500</v>
      </c>
      <c r="I3600" s="144" t="inlineStr">
        <is>
          <t>COMMERCIAL</t>
        </is>
      </c>
    </row>
    <row r="3601" ht="18" customHeight="1" s="7">
      <c r="A3601" s="144" t="inlineStr">
        <is>
          <t>KUSHNIR VASYL</t>
        </is>
      </c>
      <c r="B3601" s="144" t="inlineStr">
        <is>
          <t>108F101007 MI</t>
        </is>
      </c>
      <c r="C3601" s="144" t="inlineStr">
        <is>
          <t>USKO</t>
        </is>
      </c>
      <c r="D3601" s="144" t="n">
        <v>9165349906</v>
      </c>
      <c r="E3601" s="144" t="inlineStr">
        <is>
          <t>BOX</t>
        </is>
      </c>
      <c r="F3601" s="144" t="inlineStr">
        <is>
          <t>32KT4L  MI</t>
        </is>
      </c>
      <c r="G3601" s="144" t="inlineStr">
        <is>
          <t>WHITE VOLVO</t>
        </is>
      </c>
      <c r="H3601" s="144" t="n">
        <v>1221</v>
      </c>
      <c r="I3601" s="144" t="inlineStr">
        <is>
          <t>COMMERCIAL</t>
        </is>
      </c>
    </row>
    <row r="3602" ht="18" customHeight="1" s="7">
      <c r="A3602" s="144" t="inlineStr">
        <is>
          <t>THOMAS PRINCE</t>
        </is>
      </c>
      <c r="B3602" s="144" t="inlineStr">
        <is>
          <t>000046767125 NC</t>
        </is>
      </c>
      <c r="C3602" s="144" t="inlineStr">
        <is>
          <t>P&amp;PMT</t>
        </is>
      </c>
      <c r="D3602" s="144" t="n">
        <v>6467751821</v>
      </c>
      <c r="E3602" s="144" t="inlineStr">
        <is>
          <t>BOX</t>
        </is>
      </c>
      <c r="F3602" s="144" t="inlineStr">
        <is>
          <t>VW3988 NC</t>
        </is>
      </c>
      <c r="G3602" s="144" t="inlineStr">
        <is>
          <t>BLUE FREIGHTLINER</t>
        </is>
      </c>
      <c r="H3602" s="144" t="n">
        <v>1221</v>
      </c>
      <c r="I3602" s="144" t="inlineStr">
        <is>
          <t>COMMERCIAL</t>
        </is>
      </c>
    </row>
    <row r="3603" ht="18" customHeight="1" s="7">
      <c r="A3603" s="144" t="inlineStr">
        <is>
          <t>RUIZ GUILLERMO</t>
        </is>
      </c>
      <c r="B3603" s="144" t="inlineStr">
        <is>
          <t>E3029917 CA</t>
        </is>
      </c>
      <c r="C3603" s="144" t="inlineStr">
        <is>
          <t>RODRIGUEZ</t>
        </is>
      </c>
      <c r="D3603" s="144" t="n">
        <v>7144173730</v>
      </c>
      <c r="E3603" s="144" t="inlineStr">
        <is>
          <t>FLAT</t>
        </is>
      </c>
      <c r="F3603" s="144" t="inlineStr">
        <is>
          <t>YP51741 CA</t>
        </is>
      </c>
      <c r="G3603" s="144" t="inlineStr">
        <is>
          <t>GRAY PETERBILT</t>
        </is>
      </c>
      <c r="H3603" s="144" t="n">
        <v>1221</v>
      </c>
      <c r="I3603" s="144" t="inlineStr">
        <is>
          <t>COMMERCIAL</t>
        </is>
      </c>
    </row>
    <row r="3604" ht="18" customHeight="1" s="7">
      <c r="A3604" s="144" t="inlineStr">
        <is>
          <t>REUBEN JAMES II</t>
        </is>
      </c>
      <c r="B3604" s="144" t="inlineStr">
        <is>
          <t xml:space="preserve">*049697468 GA </t>
        </is>
      </c>
      <c r="C3604" s="144" t="inlineStr">
        <is>
          <t>SPARTAN NASH</t>
        </is>
      </c>
      <c r="D3604" s="144" t="n">
        <v>7066046614</v>
      </c>
      <c r="E3604" s="144" t="inlineStr">
        <is>
          <t>BOX</t>
        </is>
      </c>
      <c r="F3604" s="144" t="inlineStr">
        <is>
          <t>424423 NB</t>
        </is>
      </c>
      <c r="G3604" s="144" t="inlineStr">
        <is>
          <t>WHITE INTERNATIONAL</t>
        </is>
      </c>
      <c r="H3604" s="144" t="n">
        <v>7501</v>
      </c>
      <c r="I3604" s="144" t="inlineStr">
        <is>
          <t>COMMERCIAL</t>
        </is>
      </c>
    </row>
    <row r="3605" ht="18" customHeight="1" s="7">
      <c r="A3605" s="144" t="inlineStr">
        <is>
          <t xml:space="preserve"> STEPHANE JEAN</t>
        </is>
      </c>
      <c r="B3605" s="144" t="inlineStr">
        <is>
          <t>J516781851800 FL</t>
        </is>
      </c>
      <c r="C3605" s="144" t="inlineStr">
        <is>
          <t>GT EXPRESS</t>
        </is>
      </c>
      <c r="D3605" s="144" t="n">
        <v>3472063284</v>
      </c>
      <c r="E3605" s="144" t="inlineStr">
        <is>
          <t>FLAT</t>
        </is>
      </c>
      <c r="F3605" s="144" t="inlineStr">
        <is>
          <t>P1203946 IL</t>
        </is>
      </c>
      <c r="G3605" s="144" t="inlineStr">
        <is>
          <t>GREEN WESTERN</t>
        </is>
      </c>
      <c r="H3605" s="144" t="n">
        <v>1351</v>
      </c>
      <c r="I3605" s="144" t="inlineStr">
        <is>
          <t>COMMERCIAL</t>
        </is>
      </c>
    </row>
    <row r="3606" ht="18" customHeight="1" s="7">
      <c r="A3606" s="144" t="inlineStr">
        <is>
          <t>URSOL VASILIY</t>
        </is>
      </c>
      <c r="B3606" s="144" t="inlineStr">
        <is>
          <t>B9601038</t>
        </is>
      </c>
      <c r="C3606" s="144" t="inlineStr">
        <is>
          <t>DC TRANS</t>
        </is>
      </c>
      <c r="D3606" s="144" t="n">
        <v>5592600006</v>
      </c>
      <c r="E3606" s="144" t="inlineStr">
        <is>
          <t>BOX</t>
        </is>
      </c>
      <c r="F3606" s="144" t="inlineStr">
        <is>
          <t>R452165 TX</t>
        </is>
      </c>
      <c r="G3606" s="144" t="inlineStr">
        <is>
          <t>GREY VOLVO</t>
        </is>
      </c>
      <c r="H3606" s="144" t="n">
        <v>1221</v>
      </c>
      <c r="I3606" s="144" t="inlineStr">
        <is>
          <t>COMMERCIAL</t>
        </is>
      </c>
    </row>
    <row r="3607" ht="18" customHeight="1" s="7">
      <c r="A3607" s="144" t="inlineStr">
        <is>
          <t>ADAM WILLIAMS</t>
        </is>
      </c>
      <c r="B3607" s="144" t="inlineStr">
        <is>
          <t>800790855 MIS</t>
        </is>
      </c>
      <c r="C3607" s="144" t="inlineStr">
        <is>
          <t xml:space="preserve">NBETWEEN </t>
        </is>
      </c>
      <c r="D3607" s="144" t="n">
        <v>6013377244</v>
      </c>
      <c r="E3607" s="144" t="inlineStr">
        <is>
          <t>FLAT</t>
        </is>
      </c>
      <c r="F3607" s="144" t="inlineStr">
        <is>
          <t>A542967 MIS</t>
        </is>
      </c>
      <c r="G3607" s="144" t="inlineStr">
        <is>
          <t>WHITE INTERNATIONAL</t>
        </is>
      </c>
      <c r="H3607" s="144" t="n">
        <v>1221</v>
      </c>
      <c r="I3607" s="144" t="inlineStr">
        <is>
          <t>COMMERCIAL</t>
        </is>
      </c>
    </row>
    <row r="3608" ht="18" customHeight="1" s="7">
      <c r="A3608" s="144" t="inlineStr">
        <is>
          <t>THOMAS HENDERSON</t>
        </is>
      </c>
      <c r="B3608" s="144" t="inlineStr">
        <is>
          <t>802309752 MIS</t>
        </is>
      </c>
      <c r="C3608" s="144" t="inlineStr">
        <is>
          <t>TRUCK STAR</t>
        </is>
      </c>
      <c r="D3608" s="144" t="n">
        <v>7692186768</v>
      </c>
      <c r="E3608" s="144" t="inlineStr">
        <is>
          <t>BOX</t>
        </is>
      </c>
      <c r="F3608" s="144" t="inlineStr">
        <is>
          <t>P1210628 IL</t>
        </is>
      </c>
      <c r="G3608" s="144" t="inlineStr">
        <is>
          <t>WHITE VOLVO</t>
        </is>
      </c>
      <c r="H3608" s="144" t="n">
        <v>1221</v>
      </c>
      <c r="I3608" s="144" t="inlineStr">
        <is>
          <t>COMMERCIAL</t>
        </is>
      </c>
    </row>
    <row r="3609" ht="18" customHeight="1" s="7">
      <c r="A3609" s="144" t="inlineStr">
        <is>
          <t>KEITH HAWKINS</t>
        </is>
      </c>
      <c r="B3609" s="144" t="inlineStr">
        <is>
          <t>H95482738</t>
        </is>
      </c>
      <c r="C3609" s="144" t="inlineStr">
        <is>
          <t>FEDEX</t>
        </is>
      </c>
      <c r="D3609" s="144" t="n">
        <v>2704982977</v>
      </c>
      <c r="E3609" s="144" t="inlineStr">
        <is>
          <t>BOX</t>
        </is>
      </c>
      <c r="F3609" s="144" t="inlineStr">
        <is>
          <t>A95542 KY</t>
        </is>
      </c>
      <c r="G3609" s="144" t="inlineStr">
        <is>
          <t>WHITE INTERNATIONAL</t>
        </is>
      </c>
      <c r="H3609" s="144" t="n">
        <v>1221</v>
      </c>
      <c r="I3609" s="144" t="inlineStr">
        <is>
          <t>COMMERCIAL</t>
        </is>
      </c>
    </row>
    <row r="3610" ht="18" customHeight="1" s="7">
      <c r="A3610" s="144" t="inlineStr">
        <is>
          <t>PRESTON DOWDY</t>
        </is>
      </c>
      <c r="B3610" s="144" t="inlineStr">
        <is>
          <t>051023268 GA</t>
        </is>
      </c>
      <c r="C3610" s="144" t="inlineStr">
        <is>
          <t>WILLIAMS TRUCKING</t>
        </is>
      </c>
      <c r="D3610" s="144" t="n">
        <v>6789722589</v>
      </c>
      <c r="E3610" s="144" t="inlineStr">
        <is>
          <t>FLAT</t>
        </is>
      </c>
      <c r="F3610" s="144" t="inlineStr">
        <is>
          <t>IC15QN GA</t>
        </is>
      </c>
      <c r="G3610" s="144" t="inlineStr">
        <is>
          <t>PURPLE PETERBILT</t>
        </is>
      </c>
      <c r="H3610" s="144" t="n">
        <v>1221</v>
      </c>
      <c r="I3610" s="144" t="inlineStr">
        <is>
          <t>COMMERCIAL</t>
        </is>
      </c>
    </row>
    <row r="3611" ht="18" customHeight="1" s="7">
      <c r="A3611" s="144" t="inlineStr">
        <is>
          <t>KEVIN GIBBS</t>
        </is>
      </c>
      <c r="B3611" s="144" t="inlineStr">
        <is>
          <t>802130162 MIS</t>
        </is>
      </c>
      <c r="C3611" s="144" t="inlineStr">
        <is>
          <t>BG011 LLC</t>
        </is>
      </c>
      <c r="D3611" s="144" t="n">
        <v>6628206753</v>
      </c>
      <c r="E3611" s="144" t="inlineStr">
        <is>
          <t>BOX</t>
        </is>
      </c>
      <c r="F3611" s="144" t="inlineStr">
        <is>
          <t>P1159352 IL</t>
        </is>
      </c>
      <c r="G3611" s="144" t="inlineStr">
        <is>
          <t>WHITE INTERNATIONAL</t>
        </is>
      </c>
      <c r="H3611" s="144" t="n">
        <v>1221</v>
      </c>
      <c r="I3611" s="144" t="inlineStr">
        <is>
          <t>COMMERCIAL</t>
        </is>
      </c>
    </row>
    <row r="3612" ht="18" customHeight="1" s="7">
      <c r="A3612" s="144" t="inlineStr">
        <is>
          <t>JOSEPH BIZON</t>
        </is>
      </c>
      <c r="B3612" s="144" t="inlineStr">
        <is>
          <t>NHL17060964 NH</t>
        </is>
      </c>
      <c r="C3612" s="144" t="inlineStr">
        <is>
          <t xml:space="preserve">PARKER </t>
        </is>
      </c>
      <c r="D3612" s="144" t="n">
        <v>6035580119</v>
      </c>
      <c r="E3612" s="144" t="inlineStr">
        <is>
          <t>PU</t>
        </is>
      </c>
      <c r="F3612" s="144" t="inlineStr">
        <is>
          <t>5407642 NH</t>
        </is>
      </c>
      <c r="G3612" s="144" t="inlineStr">
        <is>
          <t>BLACK FORD</t>
        </is>
      </c>
      <c r="H3612" s="144" t="n">
        <v>2236</v>
      </c>
      <c r="I3612" s="144" t="inlineStr">
        <is>
          <t>CONTRACTOR</t>
        </is>
      </c>
    </row>
    <row r="3613" ht="18" customHeight="1" s="7">
      <c r="A3613" s="144" t="inlineStr">
        <is>
          <t>AUSTIN CASTAGNO</t>
        </is>
      </c>
      <c r="B3613" s="144" t="inlineStr">
        <is>
          <t>NHL10336540 NH</t>
        </is>
      </c>
      <c r="C3613" s="144" t="inlineStr">
        <is>
          <t xml:space="preserve">PARKER </t>
        </is>
      </c>
      <c r="D3613" s="144" t="n">
        <v>6035580119</v>
      </c>
      <c r="E3613" s="144" t="inlineStr">
        <is>
          <t>PU</t>
        </is>
      </c>
      <c r="F3613" s="144" t="inlineStr">
        <is>
          <t>5544119 NH</t>
        </is>
      </c>
      <c r="G3613" s="144" t="inlineStr">
        <is>
          <t>BLACK GMC</t>
        </is>
      </c>
      <c r="H3613" s="144" t="n">
        <v>2236</v>
      </c>
      <c r="I3613" s="144" t="inlineStr">
        <is>
          <t>CONTRACTOR</t>
        </is>
      </c>
    </row>
    <row r="3614" ht="18" customHeight="1" s="7">
      <c r="A3614" s="144" t="inlineStr">
        <is>
          <t>JUSTAN MILES</t>
        </is>
      </c>
      <c r="B3614" s="144" t="inlineStr">
        <is>
          <t>NHL12586384 NH</t>
        </is>
      </c>
      <c r="C3614" s="144" t="inlineStr">
        <is>
          <t xml:space="preserve">PARKER </t>
        </is>
      </c>
      <c r="D3614" s="144" t="n">
        <v>6035580119</v>
      </c>
      <c r="E3614" s="144" t="inlineStr">
        <is>
          <t>SEDAN</t>
        </is>
      </c>
      <c r="F3614" s="144" t="inlineStr">
        <is>
          <t>SJZ0101 GA</t>
        </is>
      </c>
      <c r="G3614" s="144" t="inlineStr">
        <is>
          <t>GREY HYNDAI</t>
        </is>
      </c>
      <c r="H3614" s="144" t="n">
        <v>2236</v>
      </c>
      <c r="I3614" s="144" t="inlineStr">
        <is>
          <t>CONTRACTOR</t>
        </is>
      </c>
    </row>
    <row r="3615" ht="18" customHeight="1" s="7">
      <c r="A3615" s="144" t="inlineStr">
        <is>
          <t>JEFFERY WHITE</t>
        </is>
      </c>
      <c r="B3615" s="144" t="inlineStr">
        <is>
          <t>000008037043 NC</t>
        </is>
      </c>
      <c r="C3615" s="144" t="inlineStr">
        <is>
          <t xml:space="preserve">PARKER </t>
        </is>
      </c>
      <c r="D3615" s="144" t="n">
        <v>9104657660</v>
      </c>
      <c r="E3615" s="144" t="inlineStr">
        <is>
          <t>SEDAN</t>
        </is>
      </c>
      <c r="F3615" s="144" t="inlineStr">
        <is>
          <t>KCVA36 FL</t>
        </is>
      </c>
      <c r="G3615" s="144" t="inlineStr">
        <is>
          <t>WHITE BMW</t>
        </is>
      </c>
      <c r="H3615" s="144" t="n">
        <v>2236</v>
      </c>
      <c r="I3615" s="144" t="inlineStr">
        <is>
          <t>CONTRACTOR</t>
        </is>
      </c>
    </row>
    <row r="3616" ht="18" customHeight="1" s="7">
      <c r="A3616" s="144" t="inlineStr">
        <is>
          <t>CARDOSO HERNLIDO</t>
        </is>
      </c>
      <c r="B3616" s="144" t="inlineStr">
        <is>
          <t>12813655 TX</t>
        </is>
      </c>
      <c r="C3616" s="144" t="inlineStr">
        <is>
          <t>CENTRAL COAST</t>
        </is>
      </c>
      <c r="D3616" s="144" t="n">
        <v>2105425899</v>
      </c>
      <c r="E3616" s="144" t="inlineStr">
        <is>
          <t>BOX</t>
        </is>
      </c>
      <c r="F3616" s="144" t="inlineStr">
        <is>
          <t>R751391 TX</t>
        </is>
      </c>
      <c r="G3616" s="144" t="inlineStr">
        <is>
          <t>WHITE VOLVO</t>
        </is>
      </c>
      <c r="H3616" s="144" t="n">
        <v>1221</v>
      </c>
      <c r="I3616" s="144" t="inlineStr">
        <is>
          <t>COMMERCIAL</t>
        </is>
      </c>
    </row>
    <row r="3617" ht="18" customHeight="1" s="7">
      <c r="A3617" s="144" t="inlineStr">
        <is>
          <t>JORDAN DAVIS</t>
        </is>
      </c>
      <c r="B3617" s="144" t="inlineStr">
        <is>
          <t>*057046849 GA</t>
        </is>
      </c>
      <c r="C3617" s="144" t="inlineStr">
        <is>
          <t>PEPI FOOD SERVICE</t>
        </is>
      </c>
      <c r="D3617" s="144" t="n">
        <v>3343504145</v>
      </c>
      <c r="E3617" s="144" t="inlineStr">
        <is>
          <t>PU</t>
        </is>
      </c>
      <c r="F3617" s="144" t="inlineStr">
        <is>
          <t>38A64DD AL</t>
        </is>
      </c>
      <c r="G3617" s="144" t="inlineStr">
        <is>
          <t>WHITE CHEVY</t>
        </is>
      </c>
      <c r="H3617" s="144" t="n">
        <v>2200</v>
      </c>
      <c r="I3617" s="144" t="inlineStr">
        <is>
          <t>CONTRACTOR</t>
        </is>
      </c>
    </row>
    <row r="3618" ht="18" customHeight="1" s="7">
      <c r="A3618" s="144" t="inlineStr">
        <is>
          <t>JAMES GOLBECK</t>
        </is>
      </c>
      <c r="B3618" s="144" t="inlineStr">
        <is>
          <t>*058588410 GA</t>
        </is>
      </c>
      <c r="C3618" s="144" t="inlineStr">
        <is>
          <t>ACE INDUSTRIES</t>
        </is>
      </c>
      <c r="D3618" s="144" t="n">
        <v>4783422675</v>
      </c>
      <c r="E3618" s="144" t="inlineStr">
        <is>
          <t>PU</t>
        </is>
      </c>
      <c r="F3618" s="144" t="inlineStr">
        <is>
          <t>GMT108 GA</t>
        </is>
      </c>
      <c r="G3618" s="144" t="inlineStr">
        <is>
          <t>WHITE DODGE</t>
        </is>
      </c>
      <c r="H3618" s="144" t="n">
        <v>2200</v>
      </c>
      <c r="I3618" s="144" t="inlineStr">
        <is>
          <t>CONTRACTOR</t>
        </is>
      </c>
    </row>
    <row r="3619" ht="18" customHeight="1" s="7">
      <c r="A3619" s="144" t="inlineStr">
        <is>
          <t>MICHEAL BROCK</t>
        </is>
      </c>
      <c r="B3619" s="144" t="inlineStr">
        <is>
          <t>*061160995 GA</t>
        </is>
      </c>
      <c r="C3619" s="144" t="inlineStr">
        <is>
          <t>PEPI FOOD SERVICE</t>
        </is>
      </c>
      <c r="D3619" s="144" t="n">
        <v>2292020660</v>
      </c>
      <c r="E3619" s="144" t="inlineStr">
        <is>
          <t>BOX</t>
        </is>
      </c>
      <c r="F3619" s="144" t="inlineStr">
        <is>
          <t>38A6M14 AL</t>
        </is>
      </c>
      <c r="G3619" s="144" t="inlineStr">
        <is>
          <t>BLUE IZUZU</t>
        </is>
      </c>
      <c r="H3619" s="144" t="inlineStr">
        <is>
          <t>BASEWIDE</t>
        </is>
      </c>
      <c r="I3619" s="144" t="inlineStr">
        <is>
          <t>COMMERCIAL</t>
        </is>
      </c>
    </row>
    <row r="3620" ht="18" customHeight="1" s="7">
      <c r="A3620" s="144" t="inlineStr">
        <is>
          <t xml:space="preserve">MICHEAL EDWARDS </t>
        </is>
      </c>
      <c r="B3620" s="144" t="inlineStr">
        <is>
          <t>E363544644510 FL</t>
        </is>
      </c>
      <c r="C3620" s="144" t="inlineStr">
        <is>
          <t>MCCLELLAN</t>
        </is>
      </c>
      <c r="D3620" s="144" t="n">
        <v>9172049174</v>
      </c>
      <c r="E3620" s="144" t="inlineStr">
        <is>
          <t>BOX</t>
        </is>
      </c>
      <c r="F3620" s="144" t="inlineStr">
        <is>
          <t>CS738Y GA</t>
        </is>
      </c>
      <c r="G3620" s="144" t="inlineStr">
        <is>
          <t>WHITE FREIGHTLINER</t>
        </is>
      </c>
      <c r="H3620" s="144" t="n">
        <v>1221</v>
      </c>
      <c r="I3620" s="144" t="inlineStr">
        <is>
          <t>COMMERCIAL</t>
        </is>
      </c>
    </row>
    <row r="3621" ht="18" customHeight="1" s="7">
      <c r="A3621" s="144" t="inlineStr">
        <is>
          <t>CHRISTOPHER GADDY</t>
        </is>
      </c>
      <c r="B3621" s="144" t="inlineStr">
        <is>
          <t>027369682 GA</t>
        </is>
      </c>
      <c r="C3621" s="144" t="inlineStr">
        <is>
          <t>ATLANTIC PACK</t>
        </is>
      </c>
      <c r="D3621" s="144" t="n">
        <v>6782780147</v>
      </c>
      <c r="E3621" s="144" t="inlineStr">
        <is>
          <t>BOX</t>
        </is>
      </c>
      <c r="F3621" s="144" t="inlineStr">
        <is>
          <t>YRI510 GA</t>
        </is>
      </c>
      <c r="G3621" s="144" t="inlineStr">
        <is>
          <t>WHITE FREIGHTLINER</t>
        </is>
      </c>
      <c r="H3621" s="144" t="n">
        <v>1221</v>
      </c>
      <c r="I3621" s="144" t="inlineStr">
        <is>
          <t>COMMERCIAL</t>
        </is>
      </c>
    </row>
    <row r="3622" ht="18" customHeight="1" s="7">
      <c r="A3622" s="144" t="inlineStr">
        <is>
          <t>ALEC DAVIS</t>
        </is>
      </c>
      <c r="B3622" s="144" t="n">
        <v>58119001</v>
      </c>
      <c r="C3622" s="144" t="inlineStr">
        <is>
          <t>COCACOLA</t>
        </is>
      </c>
      <c r="D3622" s="144" t="n">
        <v>2296467475</v>
      </c>
      <c r="E3622" s="144" t="inlineStr">
        <is>
          <t>BOX</t>
        </is>
      </c>
      <c r="F3622" s="144" t="inlineStr">
        <is>
          <t>WNT461 GA</t>
        </is>
      </c>
      <c r="G3622" s="144" t="inlineStr">
        <is>
          <t>RED FORD</t>
        </is>
      </c>
      <c r="H3622" s="144" t="n">
        <v>3500</v>
      </c>
      <c r="I3622" s="144" t="inlineStr">
        <is>
          <t>CONTRACTOR</t>
        </is>
      </c>
    </row>
    <row r="3623" ht="18" customHeight="1" s="7">
      <c r="A3623" s="144" t="inlineStr">
        <is>
          <t>ISAIAH MCKINNEY</t>
        </is>
      </c>
      <c r="B3623" s="144" t="inlineStr">
        <is>
          <t>*059230038 GA</t>
        </is>
      </c>
      <c r="C3623" s="144" t="inlineStr">
        <is>
          <t>AIRGAS</t>
        </is>
      </c>
      <c r="D3623" s="144" t="n">
        <v>2298546128</v>
      </c>
      <c r="E3623" s="144" t="inlineStr">
        <is>
          <t>PU</t>
        </is>
      </c>
      <c r="F3623" s="144" t="inlineStr">
        <is>
          <t>8894AK VA</t>
        </is>
      </c>
      <c r="G3623" s="144" t="inlineStr">
        <is>
          <t>WHITE FORD</t>
        </is>
      </c>
      <c r="H3623" s="144" t="n">
        <v>7500</v>
      </c>
      <c r="I3623" s="144" t="inlineStr">
        <is>
          <t>CONTRACTOR</t>
        </is>
      </c>
    </row>
    <row r="3624" ht="18" customHeight="1" s="7">
      <c r="A3624" s="144" t="inlineStr">
        <is>
          <t>JON ROGERS</t>
        </is>
      </c>
      <c r="B3624" s="144" t="inlineStr">
        <is>
          <t>054287201 GA</t>
        </is>
      </c>
      <c r="C3624" s="144" t="inlineStr">
        <is>
          <t>LIFT TRUCKS</t>
        </is>
      </c>
      <c r="D3624" s="144" t="n">
        <v>2293889500</v>
      </c>
      <c r="E3624" s="144" t="inlineStr">
        <is>
          <t>BOX</t>
        </is>
      </c>
      <c r="F3624" s="144" t="inlineStr">
        <is>
          <t>CPK7229 GA</t>
        </is>
      </c>
      <c r="G3624" s="144" t="inlineStr">
        <is>
          <t>WHITE CHEV</t>
        </is>
      </c>
      <c r="H3624" s="144" t="n">
        <v>1241</v>
      </c>
      <c r="I3624" s="144" t="inlineStr">
        <is>
          <t>CONTRACTOR</t>
        </is>
      </c>
    </row>
    <row r="3625" ht="18" customHeight="1" s="7">
      <c r="A3625" s="144" t="inlineStr">
        <is>
          <t>ENRIQUE FLORES</t>
        </is>
      </c>
      <c r="B3625" s="144" t="inlineStr">
        <is>
          <t>F8702196 CA</t>
        </is>
      </c>
      <c r="C3625" s="144" t="inlineStr">
        <is>
          <t>IDFS</t>
        </is>
      </c>
      <c r="D3625" s="144" t="n">
        <v>9099190197</v>
      </c>
      <c r="E3625" s="144" t="inlineStr">
        <is>
          <t>FLAT</t>
        </is>
      </c>
      <c r="F3625" s="144" t="inlineStr">
        <is>
          <t>ZP25163 CA</t>
        </is>
      </c>
      <c r="G3625" s="144" t="inlineStr">
        <is>
          <t>WHITE KENWORTH</t>
        </is>
      </c>
      <c r="H3625" s="144" t="n">
        <v>1221</v>
      </c>
      <c r="I3625" s="144" t="inlineStr">
        <is>
          <t>COMMERICAL</t>
        </is>
      </c>
    </row>
    <row r="3626" ht="18" customHeight="1" s="7">
      <c r="A3626" s="144" t="inlineStr">
        <is>
          <t>SUZANNE BLICK</t>
        </is>
      </c>
      <c r="B3626" s="144" t="inlineStr">
        <is>
          <t>01703833 SD</t>
        </is>
      </c>
      <c r="C3626" s="144" t="inlineStr">
        <is>
          <t xml:space="preserve">BENNETT </t>
        </is>
      </c>
      <c r="D3626" s="144" t="n">
        <v>650884871</v>
      </c>
      <c r="E3626" s="144" t="inlineStr">
        <is>
          <t>BOX</t>
        </is>
      </c>
      <c r="F3626" s="144" t="inlineStr">
        <is>
          <t>P1316297 IL</t>
        </is>
      </c>
      <c r="G3626" s="144" t="inlineStr">
        <is>
          <t>BLACK MERCEDES</t>
        </is>
      </c>
      <c r="H3626" s="144" t="n">
        <v>1221</v>
      </c>
      <c r="I3626" s="144" t="inlineStr">
        <is>
          <t>CONTRACTOR</t>
        </is>
      </c>
    </row>
    <row r="3627" ht="18" customHeight="1" s="7">
      <c r="A3627" s="144" t="inlineStr">
        <is>
          <t>CLAVIN LASTER</t>
        </is>
      </c>
      <c r="B3627" s="144" t="inlineStr">
        <is>
          <t>054301931 GA</t>
        </is>
      </c>
      <c r="C3627" s="144" t="inlineStr">
        <is>
          <t>DIVERSIFIED</t>
        </is>
      </c>
      <c r="D3627" s="144" t="n">
        <v>2292065606</v>
      </c>
      <c r="E3627" s="144" t="inlineStr">
        <is>
          <t>FLAT</t>
        </is>
      </c>
      <c r="F3627" s="144" t="inlineStr">
        <is>
          <t>P469CP GA</t>
        </is>
      </c>
      <c r="G3627" s="144" t="inlineStr">
        <is>
          <t>WHITE VOLVO</t>
        </is>
      </c>
      <c r="H3627" s="144" t="n">
        <v>7500</v>
      </c>
      <c r="I3627" s="144" t="inlineStr">
        <is>
          <t>CONTRACTOR</t>
        </is>
      </c>
    </row>
    <row r="3628" ht="18" customHeight="1" s="7">
      <c r="A3628" s="144" t="inlineStr">
        <is>
          <t>OBSA BEKUMA</t>
        </is>
      </c>
      <c r="B3628" s="144" t="inlineStr">
        <is>
          <t>MD102772117818</t>
        </is>
      </c>
      <c r="C3628" s="144" t="inlineStr">
        <is>
          <t>MUNISA TRANS</t>
        </is>
      </c>
      <c r="D3628" s="144" t="n">
        <v>4439913936</v>
      </c>
      <c r="E3628" s="144" t="inlineStr">
        <is>
          <t>BOX</t>
        </is>
      </c>
      <c r="F3628" s="144" t="inlineStr">
        <is>
          <t>0663F9 MD</t>
        </is>
      </c>
      <c r="G3628" s="144" t="inlineStr">
        <is>
          <t>WHITE FREIGHTLINER</t>
        </is>
      </c>
      <c r="H3628" s="144" t="n">
        <v>1221</v>
      </c>
      <c r="I3628" s="144" t="inlineStr">
        <is>
          <t>COMMERICAL</t>
        </is>
      </c>
    </row>
    <row r="3629" ht="18" customHeight="1" s="7">
      <c r="A3629" s="144" t="inlineStr">
        <is>
          <t>BRIAN DICKERSON</t>
        </is>
      </c>
      <c r="B3629" s="144" t="inlineStr">
        <is>
          <t>D337378230000 FL</t>
        </is>
      </c>
      <c r="C3629" s="144" t="inlineStr">
        <is>
          <t>MCLANE</t>
        </is>
      </c>
      <c r="D3629" s="144" t="n">
        <v>8502107712</v>
      </c>
      <c r="E3629" s="144" t="inlineStr">
        <is>
          <t>BOX</t>
        </is>
      </c>
      <c r="F3629" s="144" t="inlineStr">
        <is>
          <t>P1154012 IL</t>
        </is>
      </c>
      <c r="G3629" s="144" t="inlineStr">
        <is>
          <t>WHITE VOLVO</t>
        </is>
      </c>
      <c r="H3629" s="144" t="n">
        <v>7500</v>
      </c>
      <c r="I3629" s="144" t="inlineStr">
        <is>
          <t>COMMERICAL</t>
        </is>
      </c>
    </row>
    <row r="3630" ht="18" customHeight="1" s="7">
      <c r="A3630" s="144" t="inlineStr">
        <is>
          <t>RACHID NOUREDDINE</t>
        </is>
      </c>
      <c r="B3630" s="144" t="inlineStr">
        <is>
          <t>A6066470 VA</t>
        </is>
      </c>
      <c r="C3630" s="144" t="inlineStr">
        <is>
          <t>TUN EXPRESS</t>
        </is>
      </c>
      <c r="D3630" s="144" t="n">
        <v>7575613152</v>
      </c>
      <c r="E3630" s="144" t="inlineStr">
        <is>
          <t>BOX</t>
        </is>
      </c>
      <c r="F3630" s="144" t="inlineStr">
        <is>
          <t>DF86GR FL</t>
        </is>
      </c>
      <c r="G3630" s="144" t="inlineStr">
        <is>
          <t>WHITE FREIGHTLINER</t>
        </is>
      </c>
      <c r="H3630" s="144" t="n">
        <v>1221</v>
      </c>
      <c r="I3630" s="144" t="inlineStr">
        <is>
          <t>COMMERICAL</t>
        </is>
      </c>
    </row>
    <row r="3631" ht="18" customHeight="1" s="7">
      <c r="A3631" s="144" t="inlineStr">
        <is>
          <t>KENNETH HATHORN</t>
        </is>
      </c>
      <c r="B3631" s="144" t="inlineStr">
        <is>
          <t>009068527 LA</t>
        </is>
      </c>
      <c r="C3631" s="144" t="inlineStr">
        <is>
          <t>DART</t>
        </is>
      </c>
      <c r="D3631" s="144" t="n">
        <v>3189822130</v>
      </c>
      <c r="E3631" s="144" t="inlineStr">
        <is>
          <t>BOX</t>
        </is>
      </c>
      <c r="F3631" s="144" t="inlineStr">
        <is>
          <t>P1065847 IL</t>
        </is>
      </c>
      <c r="G3631" s="144" t="inlineStr">
        <is>
          <t>BLACK FREIGHTLINER</t>
        </is>
      </c>
      <c r="H3631" s="144" t="n">
        <v>1221</v>
      </c>
      <c r="I3631" s="144" t="inlineStr">
        <is>
          <t>COMMERICAL</t>
        </is>
      </c>
    </row>
    <row r="3632" ht="18" customHeight="1" s="7">
      <c r="A3632" s="144" t="inlineStr">
        <is>
          <t>JOSEPH THOMAS IAN</t>
        </is>
      </c>
      <c r="B3632" s="144" t="inlineStr">
        <is>
          <t>053068305 GA</t>
        </is>
      </c>
      <c r="C3632" s="144" t="inlineStr">
        <is>
          <t>POTTY MAN</t>
        </is>
      </c>
      <c r="D3632" s="144" t="n">
        <v>2295580187</v>
      </c>
      <c r="E3632" s="144" t="inlineStr">
        <is>
          <t>PU</t>
        </is>
      </c>
      <c r="F3632" s="144" t="inlineStr">
        <is>
          <t>TGF1645 GA</t>
        </is>
      </c>
      <c r="G3632" s="144" t="inlineStr">
        <is>
          <t>SILVER GMC</t>
        </is>
      </c>
      <c r="H3632" s="144" t="n">
        <v>1221</v>
      </c>
      <c r="I3632" s="144" t="inlineStr">
        <is>
          <t>CONTRACTOR</t>
        </is>
      </c>
    </row>
    <row r="3633" ht="18" customHeight="1" s="7">
      <c r="A3633" s="144" t="inlineStr">
        <is>
          <t>WILLIE CHARLESTON</t>
        </is>
      </c>
      <c r="B3633" s="144" t="inlineStr">
        <is>
          <t>1401633217 NV</t>
        </is>
      </c>
      <c r="C3633" s="144" t="inlineStr">
        <is>
          <t>SPEED FREIGHT</t>
        </is>
      </c>
      <c r="D3633" s="144" t="n">
        <v>7022792450</v>
      </c>
      <c r="E3633" s="144" t="inlineStr">
        <is>
          <t>BOX</t>
        </is>
      </c>
      <c r="F3633" s="144" t="inlineStr">
        <is>
          <t>P1258951 IL</t>
        </is>
      </c>
      <c r="G3633" s="144" t="inlineStr">
        <is>
          <t>RED FREIGHTLINER</t>
        </is>
      </c>
      <c r="H3633" s="144" t="n">
        <v>1221</v>
      </c>
      <c r="I3633" s="144" t="inlineStr">
        <is>
          <t>COMMERICAL</t>
        </is>
      </c>
    </row>
    <row r="3634" ht="18" customHeight="1" s="7">
      <c r="A3634" s="144" t="inlineStr">
        <is>
          <t>CECIL HARRELL</t>
        </is>
      </c>
      <c r="B3634" s="144" t="inlineStr">
        <is>
          <t>054700662 GA</t>
        </is>
      </c>
      <c r="C3634" s="144" t="inlineStr">
        <is>
          <t>PEPI FOOD SERVICE</t>
        </is>
      </c>
      <c r="D3634" s="144" t="n">
        <v>2294166803</v>
      </c>
      <c r="E3634" s="144" t="inlineStr">
        <is>
          <t>VAN</t>
        </is>
      </c>
      <c r="F3634" s="144" t="inlineStr">
        <is>
          <t>38A4R3 AL</t>
        </is>
      </c>
      <c r="G3634" s="144" t="inlineStr">
        <is>
          <t>WHITE FORD</t>
        </is>
      </c>
      <c r="H3634" s="144" t="n">
        <v>2200</v>
      </c>
      <c r="I3634" s="144" t="inlineStr">
        <is>
          <t>CONTRACTOR</t>
        </is>
      </c>
    </row>
    <row r="3635" ht="18" customHeight="1" s="7">
      <c r="A3635" s="144" t="inlineStr">
        <is>
          <t>MARK FREEMAN</t>
        </is>
      </c>
      <c r="B3635" s="144" t="inlineStr">
        <is>
          <t>F655541633790 FL</t>
        </is>
      </c>
      <c r="C3635" s="144" t="inlineStr">
        <is>
          <t>WHALEY FOODS</t>
        </is>
      </c>
      <c r="D3635" s="144" t="n">
        <v>3345005966</v>
      </c>
      <c r="E3635" s="144" t="inlineStr">
        <is>
          <t>VAN</t>
        </is>
      </c>
      <c r="F3635" s="144" t="inlineStr">
        <is>
          <t>38C07E AL</t>
        </is>
      </c>
      <c r="G3635" s="144" t="inlineStr">
        <is>
          <t>WHITE GMC</t>
        </is>
      </c>
      <c r="H3635" s="144" t="n">
        <v>7501</v>
      </c>
      <c r="I3635" s="144" t="inlineStr">
        <is>
          <t>CONTRACTOR</t>
        </is>
      </c>
    </row>
    <row r="3636" ht="18" customHeight="1" s="7">
      <c r="A3636" s="144" t="inlineStr">
        <is>
          <t>CHRISTOPHER HARRIS ALAN</t>
        </is>
      </c>
      <c r="B3636" s="144" t="inlineStr">
        <is>
          <t>H625101884150 FL</t>
        </is>
      </c>
      <c r="C3636" s="144" t="inlineStr">
        <is>
          <t>WHALEY FOODS</t>
        </is>
      </c>
      <c r="D3636" s="144" t="n">
        <v>3345005966</v>
      </c>
      <c r="E3636" s="144" t="inlineStr">
        <is>
          <t>VAN</t>
        </is>
      </c>
      <c r="F3636" s="144" t="inlineStr">
        <is>
          <t>N616550 LA</t>
        </is>
      </c>
      <c r="G3636" s="144" t="inlineStr">
        <is>
          <t>WHITE CHEV</t>
        </is>
      </c>
      <c r="H3636" s="144" t="n">
        <v>7501</v>
      </c>
      <c r="I3636" s="144" t="inlineStr">
        <is>
          <t>CONTRACTOR</t>
        </is>
      </c>
    </row>
    <row r="3637" ht="18" customHeight="1" s="7">
      <c r="A3637" s="144" t="inlineStr">
        <is>
          <t>JORDAN RANDALL</t>
        </is>
      </c>
      <c r="B3637" s="144" t="inlineStr">
        <is>
          <t>J37697320000 FL</t>
        </is>
      </c>
      <c r="C3637" s="144" t="inlineStr">
        <is>
          <t>WBT TRUCKING</t>
        </is>
      </c>
      <c r="D3637" s="144" t="n">
        <v>9123757777</v>
      </c>
      <c r="E3637" s="144" t="inlineStr">
        <is>
          <t>FLAT</t>
        </is>
      </c>
      <c r="F3637" s="144" t="inlineStr">
        <is>
          <t>P777358 SC</t>
        </is>
      </c>
      <c r="G3637" s="144" t="inlineStr">
        <is>
          <t>ORGANGE VOLVO</t>
        </is>
      </c>
      <c r="H3637" s="144" t="n">
        <v>1221</v>
      </c>
      <c r="I3637" s="144" t="inlineStr">
        <is>
          <t>COMMERCIAL</t>
        </is>
      </c>
    </row>
    <row r="3638" ht="18" customHeight="1" s="7">
      <c r="A3638" s="144" t="inlineStr">
        <is>
          <t>BUFFINGTON CARL</t>
        </is>
      </c>
      <c r="B3638" s="144" t="inlineStr">
        <is>
          <t>28118795 PA</t>
        </is>
      </c>
      <c r="C3638" s="144" t="inlineStr">
        <is>
          <t>WRIGHT EXPRESS</t>
        </is>
      </c>
      <c r="D3638" s="144" t="n">
        <v>7176482713</v>
      </c>
      <c r="E3638" s="144" t="inlineStr">
        <is>
          <t>BOX</t>
        </is>
      </c>
      <c r="F3638" s="144" t="inlineStr">
        <is>
          <t>AH47752 PA</t>
        </is>
      </c>
      <c r="G3638" s="144" t="inlineStr">
        <is>
          <t>GRAY VOLVO</t>
        </is>
      </c>
      <c r="H3638" s="144" t="n">
        <v>1221</v>
      </c>
      <c r="I3638" s="144" t="inlineStr">
        <is>
          <t>COMMERCIAL</t>
        </is>
      </c>
    </row>
    <row r="3639" ht="18" customHeight="1" s="7">
      <c r="A3639" s="144" t="inlineStr">
        <is>
          <t>JUSTIN BUTLER</t>
        </is>
      </c>
      <c r="B3639" s="144" t="inlineStr">
        <is>
          <t>*057647062 GA</t>
        </is>
      </c>
      <c r="C3639" s="144" t="inlineStr">
        <is>
          <t>STANLEY STEAMERS</t>
        </is>
      </c>
      <c r="D3639" s="144" t="n">
        <v>2296637188</v>
      </c>
      <c r="E3639" s="144" t="inlineStr">
        <is>
          <t>VAN</t>
        </is>
      </c>
      <c r="F3639" s="144" t="inlineStr">
        <is>
          <t>SFQ5924 GA</t>
        </is>
      </c>
      <c r="G3639" s="144" t="inlineStr">
        <is>
          <t>YELLOW FORD</t>
        </is>
      </c>
      <c r="H3639" s="144" t="inlineStr">
        <is>
          <t>HOUSING</t>
        </is>
      </c>
      <c r="I3639" s="144" t="inlineStr">
        <is>
          <t>CONTRACTOR</t>
        </is>
      </c>
    </row>
    <row r="3640" ht="18" customHeight="1" s="7">
      <c r="A3640" s="144" t="inlineStr">
        <is>
          <t>MOROZ ARTHUR</t>
        </is>
      </c>
      <c r="B3640" s="144" t="inlineStr">
        <is>
          <t>32510136 PA</t>
        </is>
      </c>
      <c r="C3640" s="144" t="inlineStr">
        <is>
          <t>LUXTON</t>
        </is>
      </c>
      <c r="D3640" s="144" t="n">
        <v>7178501098</v>
      </c>
      <c r="E3640" s="144" t="inlineStr">
        <is>
          <t>BOX</t>
        </is>
      </c>
      <c r="F3640" s="144" t="inlineStr">
        <is>
          <t>AH66380 PA</t>
        </is>
      </c>
      <c r="G3640" s="144" t="inlineStr">
        <is>
          <t>WHITE VOLVO</t>
        </is>
      </c>
      <c r="H3640" s="144" t="n">
        <v>1221</v>
      </c>
      <c r="I3640" s="144" t="inlineStr">
        <is>
          <t>COMMERCIAL</t>
        </is>
      </c>
    </row>
    <row r="3641" ht="18" customHeight="1" s="7">
      <c r="A3641" s="144" t="inlineStr">
        <is>
          <t>RAY POTTINGER</t>
        </is>
      </c>
      <c r="B3641" s="144" t="inlineStr">
        <is>
          <t>*057184059 GA</t>
        </is>
      </c>
      <c r="C3641" s="144" t="inlineStr">
        <is>
          <t>MAYBACH</t>
        </is>
      </c>
      <c r="D3641" s="144" t="n">
        <v>7708710804</v>
      </c>
      <c r="E3641" s="144" t="inlineStr">
        <is>
          <t>BOX</t>
        </is>
      </c>
      <c r="F3641" s="144" t="inlineStr">
        <is>
          <t>P1271355 IL</t>
        </is>
      </c>
      <c r="G3641" s="144" t="inlineStr">
        <is>
          <t>WHITE VOLVO</t>
        </is>
      </c>
      <c r="H3641" s="144" t="n">
        <v>1221</v>
      </c>
      <c r="I3641" s="144" t="inlineStr">
        <is>
          <t>COMMERCIAL</t>
        </is>
      </c>
    </row>
    <row r="3642" ht="18" customHeight="1" s="7">
      <c r="A3642" s="144" t="inlineStr">
        <is>
          <t>JACOB WHEELER</t>
        </is>
      </c>
      <c r="B3642" s="144" t="inlineStr">
        <is>
          <t>8935099 AL</t>
        </is>
      </c>
      <c r="C3642" s="144" t="inlineStr">
        <is>
          <t>DONKEY LOG</t>
        </is>
      </c>
      <c r="D3642" s="144" t="n">
        <v>2294211982</v>
      </c>
      <c r="E3642" s="144" t="inlineStr">
        <is>
          <t>PU</t>
        </is>
      </c>
      <c r="F3642" s="144" t="inlineStr">
        <is>
          <t>12A0N38 AL</t>
        </is>
      </c>
      <c r="G3642" s="144" t="inlineStr">
        <is>
          <t>GRAY DODGE</t>
        </is>
      </c>
      <c r="H3642" s="144" t="n">
        <v>1221</v>
      </c>
      <c r="I3642" s="144" t="inlineStr">
        <is>
          <t>COMMERCIAL</t>
        </is>
      </c>
    </row>
    <row r="3643" ht="18" customHeight="1" s="7">
      <c r="A3643" s="144" t="inlineStr">
        <is>
          <t>HOSFORD RONALD</t>
        </is>
      </c>
      <c r="B3643" s="144" t="inlineStr">
        <is>
          <t>H362131110000 FL</t>
        </is>
      </c>
      <c r="C3643" s="144" t="inlineStr">
        <is>
          <t>KMS EXPRESS</t>
        </is>
      </c>
      <c r="D3643" s="144" t="n">
        <v>3347965166</v>
      </c>
      <c r="E3643" s="144" t="inlineStr">
        <is>
          <t>BOX</t>
        </is>
      </c>
      <c r="F3643" s="144" t="inlineStr">
        <is>
          <t>P1043761 IL</t>
        </is>
      </c>
      <c r="G3643" s="144" t="inlineStr">
        <is>
          <t>WHITE FREIGHTLINER</t>
        </is>
      </c>
      <c r="H3643" s="144" t="n">
        <v>1221</v>
      </c>
      <c r="I3643" s="144" t="inlineStr">
        <is>
          <t>COMMERCIAL</t>
        </is>
      </c>
    </row>
    <row r="3644" ht="18" customHeight="1" s="7">
      <c r="A3644" s="144" t="inlineStr">
        <is>
          <t>MCFADDEN DERECK</t>
        </is>
      </c>
      <c r="B3644" s="144" t="inlineStr">
        <is>
          <t>*007532663 SC</t>
        </is>
      </c>
      <c r="C3644" s="144" t="inlineStr">
        <is>
          <t>MAG</t>
        </is>
      </c>
      <c r="D3644" s="144" t="n">
        <v>8435981810</v>
      </c>
      <c r="E3644" s="144" t="inlineStr">
        <is>
          <t>BOX</t>
        </is>
      </c>
      <c r="F3644" s="144" t="inlineStr">
        <is>
          <t>C257CZ GA</t>
        </is>
      </c>
      <c r="G3644" s="144" t="inlineStr">
        <is>
          <t>GRAY FREIGHTLINER</t>
        </is>
      </c>
      <c r="H3644" s="144" t="n">
        <v>1221</v>
      </c>
      <c r="I3644" s="144" t="inlineStr">
        <is>
          <t>COMMERCIAL</t>
        </is>
      </c>
    </row>
    <row r="3645" ht="18" customHeight="1" s="7">
      <c r="A3645" s="144" t="inlineStr">
        <is>
          <t>ELIJAH GILDER</t>
        </is>
      </c>
      <c r="B3645" s="144" t="inlineStr">
        <is>
          <t>8777545 AL</t>
        </is>
      </c>
      <c r="C3645" s="144" t="inlineStr">
        <is>
          <t>WACHTER</t>
        </is>
      </c>
      <c r="D3645" s="144" t="n">
        <v>3346045468</v>
      </c>
      <c r="E3645" s="144" t="inlineStr">
        <is>
          <t>PU</t>
        </is>
      </c>
      <c r="F3645" s="144" t="inlineStr">
        <is>
          <t>BDC98D AR</t>
        </is>
      </c>
      <c r="G3645" s="144" t="inlineStr">
        <is>
          <t>WHITE FORD</t>
        </is>
      </c>
      <c r="H3645" s="144" t="n">
        <v>1221</v>
      </c>
      <c r="I3645" s="144" t="inlineStr">
        <is>
          <t>CONTRACTOR</t>
        </is>
      </c>
    </row>
    <row r="3646" ht="18" customHeight="1" s="7">
      <c r="A3646" s="144" t="inlineStr">
        <is>
          <t>NUNNALLY EARL</t>
        </is>
      </c>
      <c r="B3646" s="144" t="inlineStr">
        <is>
          <t>*000005655122 NC</t>
        </is>
      </c>
      <c r="C3646" s="144" t="inlineStr">
        <is>
          <t>MASON INC</t>
        </is>
      </c>
      <c r="D3646" s="144" t="n">
        <v>4343796080</v>
      </c>
      <c r="E3646" s="144" t="inlineStr">
        <is>
          <t>BOX</t>
        </is>
      </c>
      <c r="F3646" s="144" t="inlineStr">
        <is>
          <t>P1240255 IL</t>
        </is>
      </c>
      <c r="G3646" s="144" t="inlineStr">
        <is>
          <t>WHITE FREIGHTLINER</t>
        </is>
      </c>
      <c r="H3646" s="144" t="n">
        <v>1221</v>
      </c>
      <c r="I3646" s="144" t="inlineStr">
        <is>
          <t>COMMERCIAL</t>
        </is>
      </c>
    </row>
    <row r="3647" ht="18" customHeight="1" s="7">
      <c r="A3647" s="144" t="inlineStr">
        <is>
          <t>CHRISTOPHER GOINS</t>
        </is>
      </c>
      <c r="B3647" s="144" t="inlineStr">
        <is>
          <t>7586213 AL</t>
        </is>
      </c>
      <c r="C3647" s="144" t="inlineStr">
        <is>
          <t>NANTES</t>
        </is>
      </c>
      <c r="D3647" s="144" t="n">
        <v>3347944218</v>
      </c>
      <c r="E3647" s="144" t="inlineStr">
        <is>
          <t>BOX</t>
        </is>
      </c>
      <c r="F3647" s="144" t="inlineStr">
        <is>
          <t>38A6WOE GA</t>
        </is>
      </c>
      <c r="G3647" s="144" t="inlineStr">
        <is>
          <t>WHITE FREIGHTLINER</t>
        </is>
      </c>
      <c r="H3647" s="144" t="n">
        <v>3500</v>
      </c>
      <c r="I3647" s="144" t="inlineStr">
        <is>
          <t>COMMERCIAL</t>
        </is>
      </c>
    </row>
    <row r="3648" ht="18" customHeight="1" s="7">
      <c r="A3648" s="144" t="inlineStr">
        <is>
          <t>RUTH TONY</t>
        </is>
      </c>
      <c r="B3648" s="144" t="inlineStr">
        <is>
          <t>F786779135 OK</t>
        </is>
      </c>
      <c r="C3648" s="144" t="inlineStr">
        <is>
          <t>HULK</t>
        </is>
      </c>
      <c r="D3648" s="144" t="n">
        <v>4052051933</v>
      </c>
      <c r="E3648" s="144" t="inlineStr">
        <is>
          <t>BOX</t>
        </is>
      </c>
      <c r="F3648" s="144" t="inlineStr">
        <is>
          <t>P1297472 IL</t>
        </is>
      </c>
      <c r="G3648" s="144" t="inlineStr">
        <is>
          <t>RED MACK</t>
        </is>
      </c>
      <c r="H3648" s="144" t="n">
        <v>1221</v>
      </c>
      <c r="I3648" s="144" t="inlineStr">
        <is>
          <t>COMMERCIAL</t>
        </is>
      </c>
    </row>
    <row r="3649" ht="18" customHeight="1" s="7">
      <c r="A3649" s="144" t="inlineStr">
        <is>
          <t>RICKY HUDSON</t>
        </is>
      </c>
      <c r="B3649" s="144" t="inlineStr">
        <is>
          <t>T62226670 VA</t>
        </is>
      </c>
      <c r="C3649" s="144" t="inlineStr">
        <is>
          <t>PARKER INDUSTRIAL</t>
        </is>
      </c>
      <c r="D3649" s="144" t="n">
        <v>4344701585</v>
      </c>
      <c r="E3649" s="144" t="inlineStr">
        <is>
          <t>PU</t>
        </is>
      </c>
      <c r="F3649" s="144" t="inlineStr">
        <is>
          <t>UAF9843 VA</t>
        </is>
      </c>
      <c r="G3649" s="144" t="inlineStr">
        <is>
          <t>RED FORD</t>
        </is>
      </c>
      <c r="H3649" s="144" t="n">
        <v>2200</v>
      </c>
      <c r="I3649" s="144" t="inlineStr">
        <is>
          <t>CONTRACTOR</t>
        </is>
      </c>
    </row>
    <row r="3650" ht="18" customHeight="1" s="7">
      <c r="A3650" s="144" t="inlineStr">
        <is>
          <t>DERRICK STARKS</t>
        </is>
      </c>
      <c r="B3650" s="144" t="inlineStr">
        <is>
          <t>801231750 MS</t>
        </is>
      </c>
      <c r="C3650" s="144" t="inlineStr">
        <is>
          <t>BRIDGEWAY</t>
        </is>
      </c>
      <c r="D3650" s="144" t="n">
        <v>8049822769</v>
      </c>
      <c r="E3650" s="144" t="inlineStr">
        <is>
          <t>FLAT</t>
        </is>
      </c>
      <c r="F3650" s="144" t="inlineStr">
        <is>
          <t>PAP1235 MN</t>
        </is>
      </c>
      <c r="G3650" s="144" t="inlineStr">
        <is>
          <t>BLACK PETERBILT</t>
        </is>
      </c>
      <c r="H3650" s="144" t="n">
        <v>1221</v>
      </c>
      <c r="I3650" s="144" t="inlineStr">
        <is>
          <t>COMMERICAL</t>
        </is>
      </c>
    </row>
    <row r="3651" ht="18" customHeight="1" s="7">
      <c r="A3651" s="144" t="inlineStr">
        <is>
          <t>LARRY WALLER</t>
        </is>
      </c>
      <c r="B3651" s="144" t="inlineStr">
        <is>
          <t>055330944 GA</t>
        </is>
      </c>
      <c r="C3651" s="144" t="inlineStr">
        <is>
          <t>WILLIAMS TRUCKING</t>
        </is>
      </c>
      <c r="D3651" s="144" t="n">
        <v>7705500642</v>
      </c>
      <c r="E3651" s="144" t="inlineStr">
        <is>
          <t>FLAT</t>
        </is>
      </c>
      <c r="F3651" s="144" t="inlineStr">
        <is>
          <t>GMG975 GA</t>
        </is>
      </c>
      <c r="G3651" s="144" t="inlineStr">
        <is>
          <t>BLUE INTERNATIONAL</t>
        </is>
      </c>
      <c r="H3651" s="144" t="n">
        <v>1221</v>
      </c>
      <c r="I3651" s="144" t="inlineStr">
        <is>
          <t>COMMERICAL</t>
        </is>
      </c>
    </row>
    <row r="3652" ht="18" customHeight="1" s="7">
      <c r="A3652" s="144" t="inlineStr">
        <is>
          <t>TYLER LEWIS</t>
        </is>
      </c>
      <c r="B3652" s="144" t="inlineStr">
        <is>
          <t>000045867967 NC</t>
        </is>
      </c>
      <c r="C3652" s="144" t="inlineStr">
        <is>
          <t>EMPIRE NATIONAL</t>
        </is>
      </c>
      <c r="D3652" s="144" t="n">
        <v>3154099097</v>
      </c>
      <c r="E3652" s="144" t="inlineStr">
        <is>
          <t>VAN</t>
        </is>
      </c>
      <c r="F3652" s="144" t="inlineStr">
        <is>
          <t>KKB3379 GA</t>
        </is>
      </c>
      <c r="G3652" s="144" t="inlineStr">
        <is>
          <t>WHITE DODGE</t>
        </is>
      </c>
      <c r="H3652" s="144" t="n">
        <v>2200</v>
      </c>
      <c r="I3652" s="144" t="inlineStr">
        <is>
          <t>COMMERICAL</t>
        </is>
      </c>
    </row>
    <row r="3653" ht="18" customHeight="1" s="7">
      <c r="A3653" s="144" t="inlineStr">
        <is>
          <t>NOAH MCMULLEN</t>
        </is>
      </c>
      <c r="B3653" s="144" t="inlineStr">
        <is>
          <t>071219412 GA</t>
        </is>
      </c>
      <c r="C3653" s="144" t="inlineStr">
        <is>
          <t>BE SAFE</t>
        </is>
      </c>
      <c r="D3653" s="144" t="n">
        <v>3086606953</v>
      </c>
      <c r="E3653" s="144" t="inlineStr">
        <is>
          <t>VAN</t>
        </is>
      </c>
      <c r="F3653" s="144" t="inlineStr">
        <is>
          <t>TGQ2247 GA</t>
        </is>
      </c>
      <c r="G3653" s="144" t="inlineStr">
        <is>
          <t>WHITE FORD</t>
        </is>
      </c>
      <c r="H3653" s="144" t="inlineStr">
        <is>
          <t>BASEWIDE</t>
        </is>
      </c>
      <c r="I3653" s="144" t="inlineStr">
        <is>
          <t>CONTRACTOR</t>
        </is>
      </c>
    </row>
    <row r="3654" ht="18" customHeight="1" s="7">
      <c r="A3654" s="144" t="inlineStr">
        <is>
          <t>SAMUEL PEACHEY</t>
        </is>
      </c>
      <c r="B3654" s="144" t="inlineStr">
        <is>
          <t>058018664 GA</t>
        </is>
      </c>
      <c r="C3654" s="144" t="inlineStr">
        <is>
          <t>ACREMAKER</t>
        </is>
      </c>
      <c r="D3654" s="144" t="n">
        <v>2295298448</v>
      </c>
      <c r="E3654" s="144" t="inlineStr">
        <is>
          <t>FLAT</t>
        </is>
      </c>
      <c r="F3654" s="144" t="inlineStr">
        <is>
          <t>YKF187 GA</t>
        </is>
      </c>
      <c r="G3654" s="144" t="inlineStr">
        <is>
          <t>WHITE KENWORTH</t>
        </is>
      </c>
      <c r="H3654" s="144" t="inlineStr">
        <is>
          <t>BASEWIDE</t>
        </is>
      </c>
      <c r="I3654" s="144" t="inlineStr">
        <is>
          <t>COMMERICAL</t>
        </is>
      </c>
    </row>
    <row r="3655" ht="18" customHeight="1" s="7">
      <c r="A3655" s="144" t="inlineStr">
        <is>
          <t>LEVI NOLT</t>
        </is>
      </c>
      <c r="B3655" s="144" t="inlineStr">
        <is>
          <t>072699062 GA</t>
        </is>
      </c>
      <c r="C3655" s="144" t="inlineStr">
        <is>
          <t>ACREMAKER</t>
        </is>
      </c>
      <c r="D3655" s="144" t="n">
        <v>2295298448</v>
      </c>
      <c r="E3655" s="144" t="inlineStr">
        <is>
          <t>CRANE</t>
        </is>
      </c>
      <c r="F3655" s="144" t="inlineStr">
        <is>
          <t>ZMV498 GA</t>
        </is>
      </c>
      <c r="G3655" s="144" t="inlineStr">
        <is>
          <t>WHITE FREIGHTLINER</t>
        </is>
      </c>
      <c r="H3655" s="144" t="inlineStr">
        <is>
          <t>BASEWIDE</t>
        </is>
      </c>
      <c r="I3655" s="144" t="inlineStr">
        <is>
          <t>CONTRACTOR</t>
        </is>
      </c>
    </row>
    <row r="3656" ht="18" customHeight="1" s="7">
      <c r="A3656" s="144" t="inlineStr">
        <is>
          <t>NATHAN COBLENTZ</t>
        </is>
      </c>
      <c r="B3656" s="144" t="inlineStr">
        <is>
          <t>070483157 GA</t>
        </is>
      </c>
      <c r="C3656" s="144" t="inlineStr">
        <is>
          <t>ACREMAKER</t>
        </is>
      </c>
      <c r="D3656" s="144" t="n">
        <v>2295298448</v>
      </c>
      <c r="E3656" s="144" t="inlineStr">
        <is>
          <t>PU</t>
        </is>
      </c>
      <c r="F3656" s="144" t="inlineStr">
        <is>
          <t>XHM506 GA</t>
        </is>
      </c>
      <c r="G3656" s="144" t="inlineStr">
        <is>
          <t>WHITE DODGE</t>
        </is>
      </c>
      <c r="H3656" s="144" t="inlineStr">
        <is>
          <t>BASEWIDE</t>
        </is>
      </c>
      <c r="I3656" s="144" t="inlineStr">
        <is>
          <t>CONTRACTOR</t>
        </is>
      </c>
    </row>
    <row r="3657" ht="18" customHeight="1" s="7">
      <c r="A3657" s="144" t="inlineStr">
        <is>
          <t>KEVIN MCCORVEY</t>
        </is>
      </c>
      <c r="B3657" s="144" t="inlineStr">
        <is>
          <t>029495393 GA</t>
        </is>
      </c>
      <c r="C3657" s="144" t="inlineStr">
        <is>
          <t>ARMADA FREIGHT</t>
        </is>
      </c>
      <c r="D3657" s="144" t="n">
        <v>2295298448</v>
      </c>
      <c r="E3657" s="144" t="inlineStr">
        <is>
          <t>DUMP</t>
        </is>
      </c>
      <c r="F3657" s="144" t="inlineStr">
        <is>
          <t>YKF185 GA</t>
        </is>
      </c>
      <c r="G3657" s="144" t="inlineStr">
        <is>
          <t>WHITE MACK</t>
        </is>
      </c>
      <c r="H3657" s="144" t="inlineStr">
        <is>
          <t>BASEWIDE</t>
        </is>
      </c>
      <c r="I3657" s="144" t="inlineStr">
        <is>
          <t>CONTRACTOR</t>
        </is>
      </c>
    </row>
    <row r="3658" ht="18" customHeight="1" s="7">
      <c r="A3658" s="144" t="inlineStr">
        <is>
          <t>WILLIE GIBSON</t>
        </is>
      </c>
      <c r="B3658" s="144" t="inlineStr">
        <is>
          <t>056789127 GA</t>
        </is>
      </c>
      <c r="C3658" s="144" t="inlineStr">
        <is>
          <t>BEVERAGE SOUTH</t>
        </is>
      </c>
      <c r="D3658" s="144" t="n">
        <v>2294855193</v>
      </c>
      <c r="E3658" s="144" t="inlineStr">
        <is>
          <t>BOX</t>
        </is>
      </c>
      <c r="F3658" s="144" t="inlineStr">
        <is>
          <t>EPQ790 GA</t>
        </is>
      </c>
      <c r="G3658" s="144" t="inlineStr">
        <is>
          <t>WHITE KENWORTH</t>
        </is>
      </c>
      <c r="H3658" s="144" t="n">
        <v>7501</v>
      </c>
      <c r="I3658" s="144" t="inlineStr">
        <is>
          <t>CONTRACTOR</t>
        </is>
      </c>
    </row>
    <row r="3659" ht="18" customHeight="1" s="7">
      <c r="A3659" s="144" t="inlineStr">
        <is>
          <t>JEFFERY RHODES</t>
        </is>
      </c>
      <c r="B3659" s="144" t="inlineStr">
        <is>
          <t>052018681 GA</t>
        </is>
      </c>
      <c r="C3659" s="144" t="inlineStr">
        <is>
          <t>DOUGHERTY GLASS</t>
        </is>
      </c>
      <c r="D3659" s="144" t="n">
        <v>2293280603</v>
      </c>
      <c r="E3659" s="144" t="inlineStr">
        <is>
          <t>PU</t>
        </is>
      </c>
      <c r="F3659" s="144" t="inlineStr">
        <is>
          <t>BDS7465 GA</t>
        </is>
      </c>
      <c r="G3659" s="144" t="inlineStr">
        <is>
          <t>WHITE CHEV</t>
        </is>
      </c>
      <c r="H3659" s="144" t="inlineStr">
        <is>
          <t>HOUSING</t>
        </is>
      </c>
      <c r="I3659" s="144" t="inlineStr">
        <is>
          <t>CONTRACTOR</t>
        </is>
      </c>
    </row>
    <row r="3660" ht="18" customHeight="1" s="7">
      <c r="A3660" s="144" t="inlineStr">
        <is>
          <t>LANDON MCDANIEL</t>
        </is>
      </c>
      <c r="B3660" s="144" t="inlineStr">
        <is>
          <t>061941786 GA</t>
        </is>
      </c>
      <c r="C3660" s="144" t="inlineStr">
        <is>
          <t>REGULATORY</t>
        </is>
      </c>
      <c r="D3660" s="144" t="n">
        <v>2295072583</v>
      </c>
      <c r="E3660" s="144" t="inlineStr">
        <is>
          <t>PU</t>
        </is>
      </c>
      <c r="F3660" s="144" t="inlineStr">
        <is>
          <t>RGR2896 GA</t>
        </is>
      </c>
      <c r="G3660" s="144" t="inlineStr">
        <is>
          <t>WHITE FORD</t>
        </is>
      </c>
      <c r="H3660" s="144" t="n">
        <v>3500</v>
      </c>
      <c r="I3660" s="144" t="inlineStr">
        <is>
          <t>CONTRACTOR</t>
        </is>
      </c>
    </row>
    <row r="3661" ht="18" customHeight="1" s="7">
      <c r="A3661" s="144" t="inlineStr">
        <is>
          <t>ADEN ABDIKARIM</t>
        </is>
      </c>
      <c r="B3661" s="144" t="inlineStr">
        <is>
          <t>M243103791909 MN</t>
        </is>
      </c>
      <c r="C3661" s="144" t="inlineStr">
        <is>
          <t>BAYAN EXPRESS</t>
        </is>
      </c>
      <c r="D3661" s="144" t="n">
        <v>4065050803</v>
      </c>
      <c r="E3661" s="144" t="inlineStr">
        <is>
          <t>BOX</t>
        </is>
      </c>
      <c r="F3661" s="144" t="inlineStr">
        <is>
          <t>PZB5982 MN</t>
        </is>
      </c>
      <c r="G3661" s="144" t="inlineStr">
        <is>
          <t>WHITE FREIGHTLINER</t>
        </is>
      </c>
      <c r="H3661" s="144" t="n">
        <v>1221</v>
      </c>
      <c r="I3661" s="144" t="inlineStr">
        <is>
          <t>COMMERICAL</t>
        </is>
      </c>
    </row>
    <row r="3662" ht="18" customHeight="1" s="7">
      <c r="A3662" s="144" t="inlineStr">
        <is>
          <t>BRANDON TRIPP</t>
        </is>
      </c>
      <c r="B3662" s="144" t="inlineStr">
        <is>
          <t>071376935 GA</t>
        </is>
      </c>
      <c r="C3662" s="144" t="inlineStr">
        <is>
          <t>UNDERWOODS</t>
        </is>
      </c>
      <c r="D3662" s="144" t="n">
        <v>4789353778</v>
      </c>
      <c r="E3662" s="144" t="inlineStr">
        <is>
          <t>FLAT</t>
        </is>
      </c>
      <c r="F3662" s="144" t="inlineStr">
        <is>
          <t>EWU101 GA</t>
        </is>
      </c>
      <c r="G3662" s="144" t="inlineStr">
        <is>
          <t>BLACK KENWORTH</t>
        </is>
      </c>
      <c r="H3662" s="144" t="n">
        <v>2601</v>
      </c>
      <c r="I3662" s="144" t="inlineStr">
        <is>
          <t>CONTRACTOR</t>
        </is>
      </c>
    </row>
    <row r="3663" ht="18" customHeight="1" s="7">
      <c r="A3663" s="144" t="inlineStr">
        <is>
          <t>ALAN PRINCE</t>
        </is>
      </c>
      <c r="B3663" s="144" t="inlineStr">
        <is>
          <t>054299723 GA</t>
        </is>
      </c>
      <c r="C3663" s="144" t="inlineStr">
        <is>
          <t>CONTIGUE ROOFING</t>
        </is>
      </c>
      <c r="D3663" s="144" t="n">
        <v>2296039944</v>
      </c>
      <c r="E3663" s="144" t="inlineStr">
        <is>
          <t>PU</t>
        </is>
      </c>
      <c r="F3663" s="144" t="inlineStr">
        <is>
          <t>SFE3948 GA</t>
        </is>
      </c>
      <c r="G3663" s="144" t="inlineStr">
        <is>
          <t>RED DODGE</t>
        </is>
      </c>
      <c r="H3663" s="144" t="n">
        <v>2211</v>
      </c>
      <c r="I3663" s="144" t="inlineStr">
        <is>
          <t>CONTRACTOR</t>
        </is>
      </c>
    </row>
    <row r="3664" ht="18" customHeight="1" s="7">
      <c r="A3664" s="144" t="inlineStr">
        <is>
          <t>MARIUS SKIRIUS</t>
        </is>
      </c>
      <c r="B3664" s="144" t="inlineStr">
        <is>
          <t>S607990305000 FL</t>
        </is>
      </c>
      <c r="C3664" s="144" t="inlineStr">
        <is>
          <t>JOBBEING DONE</t>
        </is>
      </c>
      <c r="D3664" s="144" t="n">
        <v>3142697251</v>
      </c>
      <c r="E3664" s="144" t="inlineStr">
        <is>
          <t>BOX</t>
        </is>
      </c>
      <c r="F3664" s="144" t="inlineStr">
        <is>
          <t>XE055I FL</t>
        </is>
      </c>
      <c r="G3664" s="144" t="inlineStr">
        <is>
          <t>BLUE VOLVO</t>
        </is>
      </c>
      <c r="H3664" s="144" t="n">
        <v>1221</v>
      </c>
      <c r="I3664" s="144" t="inlineStr">
        <is>
          <t>COMMERICAL</t>
        </is>
      </c>
    </row>
    <row r="3665" ht="15.5" customHeight="1" s="7">
      <c r="A3665" s="144" t="inlineStr">
        <is>
          <t>RICARDO GONZALEZ</t>
        </is>
      </c>
      <c r="B3665" s="144" t="inlineStr">
        <is>
          <t>D03279421 AZ</t>
        </is>
      </c>
      <c r="C3665" s="144" t="inlineStr">
        <is>
          <t>KINGWAY</t>
        </is>
      </c>
      <c r="D3665" s="144" t="n">
        <v>4142383045</v>
      </c>
      <c r="E3665" s="144" t="inlineStr">
        <is>
          <t>BOX</t>
        </is>
      </c>
      <c r="F3665" s="144" t="inlineStr">
        <is>
          <t>GD98403 WC</t>
        </is>
      </c>
      <c r="G3665" s="144" t="inlineStr">
        <is>
          <t>WHITE INTERNATIONAL</t>
        </is>
      </c>
      <c r="H3665" s="144" t="n">
        <v>1221</v>
      </c>
      <c r="I3665" s="144" t="inlineStr">
        <is>
          <t>COMMERICAL</t>
        </is>
      </c>
    </row>
    <row r="3666" ht="18" customHeight="1" s="7">
      <c r="A3666" s="144" t="inlineStr">
        <is>
          <t>GAMBLE BERNARD</t>
        </is>
      </c>
      <c r="B3666" s="144" t="inlineStr">
        <is>
          <t>*028856345 GA</t>
        </is>
      </c>
      <c r="C3666" s="144" t="inlineStr">
        <is>
          <t>SUPER YM</t>
        </is>
      </c>
      <c r="D3666" s="144" t="n">
        <v>4049633876</v>
      </c>
      <c r="E3666" s="144" t="inlineStr">
        <is>
          <t>BOX</t>
        </is>
      </c>
      <c r="F3666" s="144" t="inlineStr">
        <is>
          <t>C510CK GA</t>
        </is>
      </c>
      <c r="G3666" s="144" t="inlineStr">
        <is>
          <t>RED FREIGHTLINER</t>
        </is>
      </c>
      <c r="H3666" s="144" t="n">
        <v>1221</v>
      </c>
      <c r="I3666" s="144" t="inlineStr">
        <is>
          <t>COMMERCIAL</t>
        </is>
      </c>
    </row>
    <row r="3667" ht="18" customHeight="1" s="7">
      <c r="A3667" s="144" t="inlineStr">
        <is>
          <t>WILLAM DAVIS</t>
        </is>
      </c>
      <c r="B3667" s="144" t="inlineStr">
        <is>
          <t>036301291 GA</t>
        </is>
      </c>
      <c r="C3667" s="144" t="inlineStr">
        <is>
          <t>SOUTHEAST PIPE</t>
        </is>
      </c>
      <c r="D3667" s="144" t="n">
        <v>9122824386</v>
      </c>
      <c r="E3667" s="144" t="inlineStr">
        <is>
          <t>FLAT</t>
        </is>
      </c>
      <c r="F3667" s="144" t="inlineStr">
        <is>
          <t>P1524B GA</t>
        </is>
      </c>
      <c r="G3667" s="144" t="inlineStr">
        <is>
          <t>WHITE FORD</t>
        </is>
      </c>
      <c r="H3667" s="144" t="inlineStr">
        <is>
          <t>GATE 15</t>
        </is>
      </c>
      <c r="I3667" s="144" t="inlineStr">
        <is>
          <t>CONTRACTOR</t>
        </is>
      </c>
    </row>
    <row r="3668" ht="18" customHeight="1" s="7">
      <c r="A3668" s="144" t="inlineStr">
        <is>
          <t>JOSHUA BLANKENSHIP</t>
        </is>
      </c>
      <c r="B3668" s="144" t="inlineStr">
        <is>
          <t>056131280 GA</t>
        </is>
      </c>
      <c r="C3668" s="144" t="inlineStr">
        <is>
          <t>R&amp;M</t>
        </is>
      </c>
      <c r="D3668" s="144" t="n">
        <v>2298869313</v>
      </c>
      <c r="E3668" s="144" t="inlineStr">
        <is>
          <t>PU</t>
        </is>
      </c>
      <c r="F3668" s="144" t="inlineStr">
        <is>
          <t>SKB3056 GA</t>
        </is>
      </c>
      <c r="G3668" s="144" t="inlineStr">
        <is>
          <t>WHITE FORD</t>
        </is>
      </c>
      <c r="H3668" s="144" t="n">
        <v>7130</v>
      </c>
      <c r="I3668" s="144" t="inlineStr">
        <is>
          <t>CONTRACTOR</t>
        </is>
      </c>
    </row>
    <row r="3669" ht="18" customHeight="1" s="7">
      <c r="A3669" s="144" t="inlineStr">
        <is>
          <t>LUIS MENDEZ</t>
        </is>
      </c>
      <c r="B3669" s="144" t="inlineStr">
        <is>
          <t>M604576415000 FL</t>
        </is>
      </c>
      <c r="C3669" s="144" t="inlineStr">
        <is>
          <t>HINDS LOGISTICS</t>
        </is>
      </c>
      <c r="D3669" s="144" t="n">
        <v>9047100112</v>
      </c>
      <c r="E3669" s="144" t="inlineStr">
        <is>
          <t>BOX</t>
        </is>
      </c>
      <c r="F3669" s="144" t="inlineStr">
        <is>
          <t>P8644F FL</t>
        </is>
      </c>
      <c r="G3669" s="144" t="inlineStr">
        <is>
          <t>WHITE HINO</t>
        </is>
      </c>
      <c r="H3669" s="144" t="inlineStr">
        <is>
          <t>HOUSING</t>
        </is>
      </c>
      <c r="I3669" s="144" t="inlineStr">
        <is>
          <t>CONTRACTOR</t>
        </is>
      </c>
    </row>
    <row r="3670" ht="18" customHeight="1" s="7">
      <c r="A3670" s="144" t="inlineStr">
        <is>
          <t>ANTHONY ENNIS</t>
        </is>
      </c>
      <c r="B3670" s="144" t="inlineStr">
        <is>
          <t>056264478 GA</t>
        </is>
      </c>
      <c r="C3670" s="144" t="inlineStr">
        <is>
          <t>MAG CARRIERS</t>
        </is>
      </c>
      <c r="D3670" s="144" t="n">
        <v>2296302396</v>
      </c>
      <c r="E3670" s="144" t="inlineStr">
        <is>
          <t>BOX</t>
        </is>
      </c>
      <c r="F3670" s="144" t="inlineStr">
        <is>
          <t>C066EU GA</t>
        </is>
      </c>
      <c r="G3670" s="144" t="inlineStr">
        <is>
          <t>WHITE FREIGHTLINER</t>
        </is>
      </c>
      <c r="H3670" s="144" t="n">
        <v>1221</v>
      </c>
      <c r="I3670" s="144" t="inlineStr">
        <is>
          <t>COMMERICAL</t>
        </is>
      </c>
    </row>
    <row r="3671" ht="18" customHeight="1" s="7">
      <c r="A3671" s="144" t="inlineStr">
        <is>
          <t>OLIVER ROGER</t>
        </is>
      </c>
      <c r="B3671" s="144" t="inlineStr">
        <is>
          <t>O224132018000 FL</t>
        </is>
      </c>
      <c r="C3671" s="144" t="inlineStr">
        <is>
          <t>LANDSTAR</t>
        </is>
      </c>
      <c r="D3671" s="144" t="n">
        <v>3175015233</v>
      </c>
      <c r="E3671" s="144" t="inlineStr">
        <is>
          <t>BOX</t>
        </is>
      </c>
      <c r="F3671" s="144" t="inlineStr">
        <is>
          <t>3846686 IN</t>
        </is>
      </c>
      <c r="G3671" s="144" t="inlineStr">
        <is>
          <t>RED KENWORTH</t>
        </is>
      </c>
      <c r="H3671" s="144" t="n">
        <v>1221</v>
      </c>
      <c r="I3671" s="144" t="inlineStr">
        <is>
          <t>COMMERCIAL</t>
        </is>
      </c>
    </row>
    <row r="3672" ht="18" customHeight="1" s="7">
      <c r="A3672" s="144" t="inlineStr">
        <is>
          <t>ECCLES JOEL</t>
        </is>
      </c>
      <c r="B3672" s="144" t="inlineStr">
        <is>
          <t>145031052 TN</t>
        </is>
      </c>
      <c r="C3672" s="144" t="inlineStr">
        <is>
          <t>ROSEY K LOGIS</t>
        </is>
      </c>
      <c r="D3672" s="144" t="n">
        <v>4233351021</v>
      </c>
      <c r="E3672" s="144" t="inlineStr">
        <is>
          <t>PU</t>
        </is>
      </c>
      <c r="F3672" s="144" t="inlineStr">
        <is>
          <t>H488126 TN</t>
        </is>
      </c>
      <c r="G3672" s="144" t="inlineStr">
        <is>
          <t>WHITE FORD</t>
        </is>
      </c>
      <c r="H3672" s="144" t="n">
        <v>1221</v>
      </c>
      <c r="I3672" s="144" t="inlineStr">
        <is>
          <t>CONTRACTOR</t>
        </is>
      </c>
    </row>
    <row r="3673" ht="18" customHeight="1" s="7">
      <c r="A3673" s="144" t="inlineStr">
        <is>
          <t>DAVID MERCER JR</t>
        </is>
      </c>
      <c r="B3673" s="144" t="inlineStr">
        <is>
          <t>*024154548 GA</t>
        </is>
      </c>
      <c r="C3673" s="144" t="inlineStr">
        <is>
          <t>CTS</t>
        </is>
      </c>
      <c r="D3673" s="144" t="n">
        <v>6784638769</v>
      </c>
      <c r="E3673" s="144" t="inlineStr">
        <is>
          <t>BOX</t>
        </is>
      </c>
      <c r="F3673" s="144" t="inlineStr">
        <is>
          <t>49768PN VA</t>
        </is>
      </c>
      <c r="G3673" s="144" t="inlineStr">
        <is>
          <t>GRAY FREIGHTLINER</t>
        </is>
      </c>
      <c r="H3673" s="144" t="n">
        <v>1221</v>
      </c>
      <c r="I3673" s="144" t="inlineStr">
        <is>
          <t>COMMERCIAL</t>
        </is>
      </c>
    </row>
    <row r="3674" ht="18" customHeight="1" s="7">
      <c r="A3674" s="144" t="inlineStr">
        <is>
          <t>CALVIN COLLINS</t>
        </is>
      </c>
      <c r="B3674" s="144" t="inlineStr">
        <is>
          <t>*070994151 GA</t>
        </is>
      </c>
      <c r="C3674" s="144" t="inlineStr">
        <is>
          <t>ACQUIST</t>
        </is>
      </c>
      <c r="D3674" s="144" t="n">
        <v>6469404554</v>
      </c>
      <c r="E3674" s="144" t="inlineStr">
        <is>
          <t>BOX</t>
        </is>
      </c>
      <c r="F3674" s="144" t="inlineStr">
        <is>
          <t>GGI937 GA</t>
        </is>
      </c>
      <c r="G3674" s="144" t="inlineStr">
        <is>
          <t>WHITE INTER</t>
        </is>
      </c>
      <c r="H3674" s="144" t="n">
        <v>1221</v>
      </c>
      <c r="I3674" s="144" t="inlineStr">
        <is>
          <t>COMMERCIAL</t>
        </is>
      </c>
    </row>
    <row r="3675" ht="18" customHeight="1" s="7">
      <c r="A3675" s="144" t="inlineStr">
        <is>
          <t>THORTON JEFFREY</t>
        </is>
      </c>
      <c r="B3675" s="144" t="inlineStr">
        <is>
          <t>*054873415 GA</t>
        </is>
      </c>
      <c r="C3675" s="144" t="inlineStr">
        <is>
          <t>ACE</t>
        </is>
      </c>
      <c r="D3675" s="144" t="n">
        <v>4783024157</v>
      </c>
      <c r="E3675" s="144" t="inlineStr">
        <is>
          <t>BOX</t>
        </is>
      </c>
      <c r="F3675" s="144" t="inlineStr">
        <is>
          <t>P1286787 IL</t>
        </is>
      </c>
      <c r="G3675" s="144" t="inlineStr">
        <is>
          <t>GREY FREIGHTLINER</t>
        </is>
      </c>
      <c r="H3675" s="144" t="n">
        <v>1221</v>
      </c>
      <c r="I3675" s="144" t="inlineStr">
        <is>
          <t>COMMERCIAL</t>
        </is>
      </c>
    </row>
    <row r="3676" ht="18" customHeight="1" s="7">
      <c r="A3676" s="144" t="inlineStr">
        <is>
          <t>JULIAN RODRIGUEZ</t>
        </is>
      </c>
      <c r="B3676" s="144" t="inlineStr">
        <is>
          <t>R2311052000 FL</t>
        </is>
      </c>
      <c r="C3676" s="144" t="inlineStr">
        <is>
          <t>G&amp;M HALLING</t>
        </is>
      </c>
      <c r="D3676" s="144" t="n">
        <v>7868101444</v>
      </c>
      <c r="E3676" s="144" t="inlineStr">
        <is>
          <t>BOX</t>
        </is>
      </c>
      <c r="F3676" s="144" t="inlineStr">
        <is>
          <t>DF54D FL</t>
        </is>
      </c>
      <c r="G3676" s="144" t="inlineStr">
        <is>
          <t>BLUE PETERBUILT</t>
        </is>
      </c>
      <c r="H3676" s="144" t="n">
        <v>1221</v>
      </c>
      <c r="I3676" s="144" t="inlineStr">
        <is>
          <t>COMMERCIAL</t>
        </is>
      </c>
    </row>
    <row r="3677" ht="18" customHeight="1" s="7">
      <c r="A3677" s="144" t="inlineStr">
        <is>
          <t>DURR REMONE</t>
        </is>
      </c>
      <c r="B3677" s="144" t="inlineStr">
        <is>
          <t>*031260351 GA</t>
        </is>
      </c>
      <c r="C3677" s="144" t="inlineStr">
        <is>
          <t>LAND STAR</t>
        </is>
      </c>
      <c r="D3677" s="144" t="n">
        <v>2294125671</v>
      </c>
      <c r="E3677" s="144" t="inlineStr">
        <is>
          <t>BOX</t>
        </is>
      </c>
      <c r="F3677" s="144" t="inlineStr">
        <is>
          <t>3400180 IN</t>
        </is>
      </c>
      <c r="G3677" s="144" t="inlineStr">
        <is>
          <t>BLACK VOLVO</t>
        </is>
      </c>
      <c r="H3677" s="144" t="n">
        <v>1221</v>
      </c>
      <c r="I3677" s="144" t="inlineStr">
        <is>
          <t>COMMERICAL</t>
        </is>
      </c>
    </row>
    <row r="3678" ht="18" customHeight="1" s="7">
      <c r="A3678" s="144" t="inlineStr">
        <is>
          <t>PEARSON JOSHUA</t>
        </is>
      </c>
      <c r="B3678" s="144" t="inlineStr">
        <is>
          <t>*049205350 GA</t>
        </is>
      </c>
      <c r="C3678" s="144" t="inlineStr">
        <is>
          <t>LAND STAR</t>
        </is>
      </c>
      <c r="D3678" s="144" t="n">
        <v>7062314177</v>
      </c>
      <c r="E3678" s="144" t="inlineStr">
        <is>
          <t>BOX</t>
        </is>
      </c>
      <c r="F3678" s="144" t="inlineStr">
        <is>
          <t>2518552 IN</t>
        </is>
      </c>
      <c r="G3678" s="144" t="inlineStr">
        <is>
          <t>TAN FREIGHTLINER</t>
        </is>
      </c>
      <c r="H3678" s="144" t="n">
        <v>1221</v>
      </c>
      <c r="I3678" s="144" t="inlineStr">
        <is>
          <t>COMMERICAL</t>
        </is>
      </c>
    </row>
    <row r="3679" ht="18" customHeight="1" s="7">
      <c r="A3679" s="144" t="inlineStr">
        <is>
          <t>DEMARIEL RICE</t>
        </is>
      </c>
      <c r="B3679" s="144" t="inlineStr">
        <is>
          <t>E1952854 CA</t>
        </is>
      </c>
      <c r="C3679" s="144" t="inlineStr">
        <is>
          <t>KINGDOM</t>
        </is>
      </c>
      <c r="D3679" s="144" t="n">
        <v>4159884040</v>
      </c>
      <c r="E3679" s="144" t="inlineStr">
        <is>
          <t>BOX</t>
        </is>
      </c>
      <c r="F3679" s="144" t="inlineStr">
        <is>
          <t>YP5431 CA</t>
        </is>
      </c>
      <c r="G3679" s="144" t="inlineStr">
        <is>
          <t>TAN VOLVO</t>
        </is>
      </c>
      <c r="H3679" s="144" t="n">
        <v>1221</v>
      </c>
      <c r="I3679" s="144" t="inlineStr">
        <is>
          <t>COMMERCIAL</t>
        </is>
      </c>
    </row>
    <row r="3680" ht="18" customHeight="1" s="7">
      <c r="A3680" s="144" t="inlineStr">
        <is>
          <t>WILLIAMS MICHAEL</t>
        </is>
      </c>
      <c r="B3680" s="144" t="inlineStr">
        <is>
          <t>*058849004 GA</t>
        </is>
      </c>
      <c r="C3680" s="144" t="inlineStr">
        <is>
          <t>AMERICAN PIPING</t>
        </is>
      </c>
      <c r="D3680" s="144" t="n">
        <v>4783605734</v>
      </c>
      <c r="E3680" s="144" t="inlineStr">
        <is>
          <t>PU</t>
        </is>
      </c>
      <c r="F3680" s="144" t="inlineStr">
        <is>
          <t>CST8389 GA</t>
        </is>
      </c>
      <c r="G3680" s="144" t="inlineStr">
        <is>
          <t>SILVER FORD</t>
        </is>
      </c>
      <c r="H3680" s="144" t="n">
        <v>1221</v>
      </c>
      <c r="I3680" s="144" t="inlineStr">
        <is>
          <t>CONTRACTOR</t>
        </is>
      </c>
    </row>
    <row r="3681" ht="18" customHeight="1" s="7">
      <c r="A3681" s="144" t="inlineStr">
        <is>
          <t>WILLIAM FONTANA</t>
        </is>
      </c>
      <c r="B3681" s="144" t="inlineStr">
        <is>
          <t>F535930880060 FL</t>
        </is>
      </c>
      <c r="C3681" s="144" t="inlineStr">
        <is>
          <t>C&amp;D INDUSTRIAL</t>
        </is>
      </c>
      <c r="D3681" s="144" t="n">
        <v>8337765833</v>
      </c>
      <c r="E3681" s="144" t="inlineStr">
        <is>
          <t>PU</t>
        </is>
      </c>
      <c r="F3681" s="144" t="inlineStr">
        <is>
          <t>KT769Z FL</t>
        </is>
      </c>
      <c r="G3681" s="144" t="inlineStr">
        <is>
          <t>WHITE FORD</t>
        </is>
      </c>
      <c r="H3681" s="144" t="inlineStr">
        <is>
          <t>COMMISSARY</t>
        </is>
      </c>
      <c r="I3681" s="144" t="inlineStr">
        <is>
          <t>CONTRACTOR</t>
        </is>
      </c>
    </row>
    <row r="3682" ht="18" customHeight="1" s="7">
      <c r="A3682" s="144" t="inlineStr">
        <is>
          <t>SIMMONS DEODRIC</t>
        </is>
      </c>
      <c r="B3682" s="144" t="inlineStr">
        <is>
          <t>*055890850 GA</t>
        </is>
      </c>
      <c r="C3682" s="144" t="inlineStr">
        <is>
          <t xml:space="preserve">LANDMARK </t>
        </is>
      </c>
      <c r="D3682" s="144" t="n">
        <v>9126671176</v>
      </c>
      <c r="E3682" s="144" t="inlineStr">
        <is>
          <t>BOX</t>
        </is>
      </c>
      <c r="F3682" s="144" t="inlineStr">
        <is>
          <t>NS2582 NC</t>
        </is>
      </c>
      <c r="G3682" s="144" t="inlineStr">
        <is>
          <t>WHITE FREIGHTLINER</t>
        </is>
      </c>
      <c r="H3682" s="144" t="n">
        <v>1221</v>
      </c>
      <c r="I3682" s="144" t="inlineStr">
        <is>
          <t>COMMERCIAL</t>
        </is>
      </c>
    </row>
    <row r="3683" ht="18" customHeight="1" s="7">
      <c r="A3683" s="144" t="inlineStr">
        <is>
          <t>LESBEK NURZHAN</t>
        </is>
      </c>
      <c r="B3683" s="144" t="inlineStr">
        <is>
          <t>Y6740998 CA</t>
        </is>
      </c>
      <c r="C3683" s="144" t="inlineStr">
        <is>
          <t>AAA</t>
        </is>
      </c>
      <c r="D3683" s="144" t="n">
        <v>4243358197</v>
      </c>
      <c r="E3683" s="144" t="inlineStr">
        <is>
          <t>FLAT</t>
        </is>
      </c>
      <c r="F3683" s="144" t="inlineStr">
        <is>
          <t>P1311178 IL</t>
        </is>
      </c>
      <c r="G3683" s="144" t="inlineStr">
        <is>
          <t>WHITE VOLVO</t>
        </is>
      </c>
      <c r="H3683" s="144" t="n">
        <v>1221</v>
      </c>
      <c r="I3683" s="144" t="inlineStr">
        <is>
          <t>COMMERCIAL</t>
        </is>
      </c>
    </row>
    <row r="3684" ht="18" customHeight="1" s="7">
      <c r="A3684" s="144" t="inlineStr">
        <is>
          <t>CARTER DAMMERON</t>
        </is>
      </c>
      <c r="B3684" s="144" t="inlineStr">
        <is>
          <t>*052763008 GA</t>
        </is>
      </c>
      <c r="C3684" s="144" t="inlineStr">
        <is>
          <t>ACE</t>
        </is>
      </c>
      <c r="D3684" s="144" t="n">
        <v>7064961529</v>
      </c>
      <c r="E3684" s="144" t="inlineStr">
        <is>
          <t>BOX</t>
        </is>
      </c>
      <c r="F3684" s="144" t="inlineStr">
        <is>
          <t>P1278427 IL</t>
        </is>
      </c>
      <c r="G3684" s="144" t="inlineStr">
        <is>
          <t>GRAY VOLVO</t>
        </is>
      </c>
      <c r="H3684" s="144" t="n">
        <v>1221</v>
      </c>
      <c r="I3684" s="144" t="inlineStr">
        <is>
          <t>COMMERCIAL</t>
        </is>
      </c>
    </row>
    <row r="3685" ht="18" customHeight="1" s="7">
      <c r="A3685" s="144" t="inlineStr">
        <is>
          <t>MOHAMED BILLOW</t>
        </is>
      </c>
      <c r="B3685" s="144" t="inlineStr">
        <is>
          <t>M21394245 KY</t>
        </is>
      </c>
      <c r="C3685" s="144" t="inlineStr">
        <is>
          <t>RELAXED</t>
        </is>
      </c>
      <c r="D3685" s="144" t="n">
        <v>6202535275</v>
      </c>
      <c r="E3685" s="144" t="inlineStr">
        <is>
          <t>BOX</t>
        </is>
      </c>
      <c r="F3685" s="144" t="inlineStr">
        <is>
          <t>A92006 KY</t>
        </is>
      </c>
      <c r="G3685" s="144" t="inlineStr">
        <is>
          <t>WHITE FREIGHTLINER</t>
        </is>
      </c>
      <c r="H3685" s="144" t="n">
        <v>1221</v>
      </c>
      <c r="I3685" s="144" t="inlineStr">
        <is>
          <t>COMMERCIAL</t>
        </is>
      </c>
    </row>
    <row r="3686" ht="18" customHeight="1" s="7">
      <c r="A3686" s="144" t="inlineStr">
        <is>
          <t>WATKINS CARLOS</t>
        </is>
      </c>
      <c r="B3686" s="144" t="inlineStr">
        <is>
          <t>800768220 MS</t>
        </is>
      </c>
      <c r="C3686" s="144" t="inlineStr">
        <is>
          <t>ED HAULING</t>
        </is>
      </c>
      <c r="D3686" s="144" t="n">
        <v>7692792940</v>
      </c>
      <c r="E3686" s="144" t="inlineStr">
        <is>
          <t>BOX</t>
        </is>
      </c>
      <c r="F3686" s="144" t="inlineStr">
        <is>
          <t>A558412 MS</t>
        </is>
      </c>
      <c r="G3686" s="144" t="inlineStr">
        <is>
          <t>WHITE FREIGHTLINER</t>
        </is>
      </c>
      <c r="H3686" s="144" t="n">
        <v>1221</v>
      </c>
      <c r="I3686" s="144" t="inlineStr">
        <is>
          <t>COMMERCIAL</t>
        </is>
      </c>
    </row>
    <row r="3687" ht="18" customHeight="1" s="7">
      <c r="A3687" s="144" t="inlineStr">
        <is>
          <t>VLASSOV PTEROVICH</t>
        </is>
      </c>
      <c r="B3687" s="144" t="inlineStr">
        <is>
          <t>T60014972 VA</t>
        </is>
      </c>
      <c r="C3687" s="144" t="inlineStr">
        <is>
          <t>BLACKHAWK</t>
        </is>
      </c>
      <c r="D3687" s="144" t="n">
        <v>7033287014</v>
      </c>
      <c r="E3687" s="144" t="inlineStr">
        <is>
          <t>BOX</t>
        </is>
      </c>
      <c r="F3687" s="144" t="inlineStr">
        <is>
          <t>36478PZ  VA</t>
        </is>
      </c>
      <c r="G3687" s="144" t="inlineStr">
        <is>
          <t>GREEN FREIGHTLINER</t>
        </is>
      </c>
      <c r="H3687" s="144" t="n">
        <v>1221</v>
      </c>
      <c r="I3687" s="144" t="inlineStr">
        <is>
          <t>COMMERCIAL</t>
        </is>
      </c>
    </row>
    <row r="3688" ht="18" customHeight="1" s="7">
      <c r="A3688" s="144" t="inlineStr">
        <is>
          <t>MICHAEL DESHAZIER</t>
        </is>
      </c>
      <c r="B3688" s="144" t="inlineStr">
        <is>
          <t>*057046059 GA</t>
        </is>
      </c>
      <c r="C3688" s="144" t="inlineStr">
        <is>
          <t>HOME DEPOT</t>
        </is>
      </c>
      <c r="D3688" s="144" t="n">
        <v>4784448131</v>
      </c>
      <c r="E3688" s="144" t="inlineStr">
        <is>
          <t>BOX</t>
        </is>
      </c>
      <c r="F3688" s="144" t="inlineStr">
        <is>
          <t xml:space="preserve">YSC117 GA </t>
        </is>
      </c>
      <c r="G3688" s="144" t="inlineStr">
        <is>
          <t>WHITE FREIGHTLINER</t>
        </is>
      </c>
      <c r="H3688" s="144" t="inlineStr">
        <is>
          <t>HOUSING</t>
        </is>
      </c>
      <c r="I3688" s="144" t="inlineStr">
        <is>
          <t>COMMERCIAL</t>
        </is>
      </c>
    </row>
    <row r="3689" ht="18" customHeight="1" s="7">
      <c r="A3689" s="144" t="inlineStr">
        <is>
          <t>ARIEL BURKE</t>
        </is>
      </c>
      <c r="B3689" s="144" t="inlineStr">
        <is>
          <t>*061274770 GA</t>
        </is>
      </c>
      <c r="C3689" s="144" t="inlineStr">
        <is>
          <t>FRITO LAY</t>
        </is>
      </c>
      <c r="D3689" s="144" t="n">
        <v>2294999191</v>
      </c>
      <c r="E3689" s="144" t="inlineStr">
        <is>
          <t>BOX</t>
        </is>
      </c>
      <c r="F3689" s="144" t="inlineStr">
        <is>
          <t>YEE313 GA</t>
        </is>
      </c>
      <c r="G3689" s="144" t="inlineStr">
        <is>
          <t>WHITE FREIGHTLINER</t>
        </is>
      </c>
      <c r="H3689" s="144" t="inlineStr">
        <is>
          <t>COMMISSARY</t>
        </is>
      </c>
      <c r="I3689" s="144" t="inlineStr">
        <is>
          <t>COMMERCIAL</t>
        </is>
      </c>
    </row>
    <row r="3690" ht="18" customHeight="1" s="7">
      <c r="A3690" s="144" t="inlineStr">
        <is>
          <t>TONY PRIDE</t>
        </is>
      </c>
      <c r="B3690" s="144" t="inlineStr">
        <is>
          <t>P630810994580 FL</t>
        </is>
      </c>
      <c r="C3690" s="144" t="inlineStr">
        <is>
          <t>KLB</t>
        </is>
      </c>
      <c r="D3690" s="144" t="n">
        <v>7864941578</v>
      </c>
      <c r="E3690" s="144" t="inlineStr">
        <is>
          <t>BOX</t>
        </is>
      </c>
      <c r="F3690" s="144" t="inlineStr">
        <is>
          <t>XE789Y FL</t>
        </is>
      </c>
      <c r="G3690" s="144" t="inlineStr">
        <is>
          <t>WHITE FREIGHTLINER</t>
        </is>
      </c>
      <c r="H3690" s="144" t="inlineStr">
        <is>
          <t>COMMISSARY</t>
        </is>
      </c>
      <c r="I3690" s="144" t="inlineStr">
        <is>
          <t>COMMERCIAL</t>
        </is>
      </c>
    </row>
    <row r="3691" ht="18" customHeight="1" s="7">
      <c r="A3691" s="144" t="inlineStr">
        <is>
          <t>STEVEN CROWE</t>
        </is>
      </c>
      <c r="B3691" s="144" t="inlineStr">
        <is>
          <t>8052611948 GA</t>
        </is>
      </c>
      <c r="C3691" s="144" t="inlineStr">
        <is>
          <t>RUN ONE</t>
        </is>
      </c>
      <c r="D3691" s="144" t="n">
        <v>4708481418</v>
      </c>
      <c r="E3691" s="144" t="inlineStr">
        <is>
          <t>BOX</t>
        </is>
      </c>
      <c r="F3691" s="144" t="inlineStr">
        <is>
          <t>C779MD GA</t>
        </is>
      </c>
      <c r="G3691" s="144" t="inlineStr">
        <is>
          <t>WHITE WESTERN STAR</t>
        </is>
      </c>
      <c r="H3691" s="144" t="n">
        <v>1221</v>
      </c>
      <c r="I3691" s="144" t="inlineStr">
        <is>
          <t>COMMERCIAL</t>
        </is>
      </c>
    </row>
    <row r="3692" ht="18" customHeight="1" s="7">
      <c r="A3692" s="144" t="inlineStr">
        <is>
          <t>TORRES JOSE LUIS</t>
        </is>
      </c>
      <c r="B3692" s="144" t="inlineStr">
        <is>
          <t>D6637101 CA</t>
        </is>
      </c>
      <c r="C3692" s="144" t="inlineStr">
        <is>
          <t>MCLANE</t>
        </is>
      </c>
      <c r="D3692" s="144" t="n">
        <v>2133378453</v>
      </c>
      <c r="E3692" s="144" t="inlineStr">
        <is>
          <t>BOX</t>
        </is>
      </c>
      <c r="F3692" s="144" t="inlineStr">
        <is>
          <t>TPL540610 IL</t>
        </is>
      </c>
      <c r="G3692" s="144" t="inlineStr">
        <is>
          <t>WHITE FREIGHTLINER</t>
        </is>
      </c>
      <c r="H3692" s="144" t="n">
        <v>7500</v>
      </c>
      <c r="I3692" s="144" t="inlineStr">
        <is>
          <t>COMMERCIAL</t>
        </is>
      </c>
    </row>
    <row r="3693" ht="18" customHeight="1" s="7">
      <c r="A3693" s="144" t="inlineStr">
        <is>
          <t>HARRY MORGAN</t>
        </is>
      </c>
      <c r="B3693" s="144" t="inlineStr">
        <is>
          <t>*054313669 GA</t>
        </is>
      </c>
      <c r="C3693" s="144" t="inlineStr">
        <is>
          <t>SOUTHWEST</t>
        </is>
      </c>
      <c r="D3693" s="144" t="n">
        <v>2292884621</v>
      </c>
      <c r="E3693" s="144" t="inlineStr">
        <is>
          <t>VAN</t>
        </is>
      </c>
      <c r="F3693" s="144" t="inlineStr">
        <is>
          <t>GV0534T GA</t>
        </is>
      </c>
      <c r="G3693" s="144" t="inlineStr">
        <is>
          <t>WHITE FORD</t>
        </is>
      </c>
      <c r="H3693" s="144" t="inlineStr">
        <is>
          <t>BW</t>
        </is>
      </c>
      <c r="I3693" s="144" t="inlineStr">
        <is>
          <t>COMMERCIAL</t>
        </is>
      </c>
    </row>
    <row r="3694" ht="18" customHeight="1" s="7">
      <c r="A3694" s="144" t="inlineStr">
        <is>
          <t>CHIRSTOPHER BLACKMON</t>
        </is>
      </c>
      <c r="B3694" s="144" t="inlineStr">
        <is>
          <t>B425112751840 FL</t>
        </is>
      </c>
      <c r="C3694" s="144" t="inlineStr">
        <is>
          <t xml:space="preserve">EMR </t>
        </is>
      </c>
      <c r="D3694" s="144" t="n">
        <v>8514907224</v>
      </c>
      <c r="E3694" s="144" t="inlineStr">
        <is>
          <t>PU</t>
        </is>
      </c>
      <c r="F3694" s="144" t="inlineStr">
        <is>
          <t>RQNY43 FL</t>
        </is>
      </c>
      <c r="G3694" s="144" t="inlineStr">
        <is>
          <t>WHITE FORD</t>
        </is>
      </c>
      <c r="H3694" s="144" t="inlineStr">
        <is>
          <t>K9</t>
        </is>
      </c>
      <c r="I3694" s="144" t="inlineStr">
        <is>
          <t>CONTRACTOR</t>
        </is>
      </c>
    </row>
    <row r="3695" ht="18" customHeight="1" s="7">
      <c r="A3695" s="144" t="inlineStr">
        <is>
          <t>SIMA RNIC</t>
        </is>
      </c>
      <c r="B3695" s="144" t="inlineStr">
        <is>
          <t>R52078091226 IL</t>
        </is>
      </c>
      <c r="C3695" s="144" t="inlineStr">
        <is>
          <t>COC&amp;SI CORP</t>
        </is>
      </c>
      <c r="D3695" s="144" t="n">
        <v>8723039123</v>
      </c>
      <c r="E3695" s="144" t="inlineStr">
        <is>
          <t>BOX</t>
        </is>
      </c>
      <c r="F3695" s="144" t="inlineStr">
        <is>
          <t>P1309220 IL</t>
        </is>
      </c>
      <c r="G3695" s="144" t="inlineStr">
        <is>
          <t>WHITE FREIGHTLINER</t>
        </is>
      </c>
      <c r="H3695" s="144" t="n">
        <v>1221</v>
      </c>
      <c r="I3695" s="144" t="inlineStr">
        <is>
          <t>COMMERICAL</t>
        </is>
      </c>
    </row>
    <row r="3696" ht="18" customHeight="1" s="7">
      <c r="A3696" s="144" t="inlineStr">
        <is>
          <t>STAPLETON STEVEN</t>
        </is>
      </c>
      <c r="B3696" s="144" t="inlineStr">
        <is>
          <t>*28842046 GA</t>
        </is>
      </c>
      <c r="C3696" s="144" t="inlineStr">
        <is>
          <t>SUPERIOR CRANES</t>
        </is>
      </c>
      <c r="D3696" s="144" t="n">
        <v>8889977701</v>
      </c>
      <c r="E3696" s="144" t="inlineStr">
        <is>
          <t>CRANE</t>
        </is>
      </c>
      <c r="F3696" s="144" t="inlineStr">
        <is>
          <t>SM27959 SC</t>
        </is>
      </c>
      <c r="G3696" s="144" t="inlineStr">
        <is>
          <t>CRANE</t>
        </is>
      </c>
      <c r="H3696" s="144" t="inlineStr">
        <is>
          <t>GATE 15</t>
        </is>
      </c>
      <c r="I3696" s="144" t="inlineStr">
        <is>
          <t>COMMERICAL</t>
        </is>
      </c>
    </row>
    <row r="3697" ht="18" customHeight="1" s="7">
      <c r="A3697" s="144" t="inlineStr">
        <is>
          <t>ROBERT YEAZEL</t>
        </is>
      </c>
      <c r="B3697" s="144" t="inlineStr">
        <is>
          <t>U081918033 AR</t>
        </is>
      </c>
      <c r="C3697" s="144" t="inlineStr">
        <is>
          <t>BTS</t>
        </is>
      </c>
      <c r="D3697" s="144" t="n">
        <v>4795224525</v>
      </c>
      <c r="E3697" s="144" t="inlineStr">
        <is>
          <t>BOX</t>
        </is>
      </c>
      <c r="F3697" s="144" t="inlineStr">
        <is>
          <t>P1267108 IL</t>
        </is>
      </c>
      <c r="G3697" s="144" t="inlineStr">
        <is>
          <t>WHITE KENWORTH</t>
        </is>
      </c>
      <c r="H3697" s="144" t="n">
        <v>1221</v>
      </c>
      <c r="I3697" s="144" t="inlineStr">
        <is>
          <t>COMMERICAL</t>
        </is>
      </c>
    </row>
    <row r="3698" ht="18" customHeight="1" s="7">
      <c r="A3698" s="144" t="inlineStr">
        <is>
          <t>HENRY HOBBS III</t>
        </is>
      </c>
      <c r="B3698" s="144" t="inlineStr">
        <is>
          <t>*022714444 GA</t>
        </is>
      </c>
      <c r="C3698" s="144" t="inlineStr">
        <is>
          <t>SHOEWMAKE</t>
        </is>
      </c>
      <c r="D3698" s="144" t="n">
        <v>7065505946</v>
      </c>
      <c r="E3698" s="144" t="inlineStr">
        <is>
          <t>PU</t>
        </is>
      </c>
      <c r="F3698" s="144" t="inlineStr">
        <is>
          <t>SLB8421 GA</t>
        </is>
      </c>
      <c r="G3698" s="144" t="inlineStr">
        <is>
          <t>WHITE DODGE</t>
        </is>
      </c>
      <c r="H3698" s="144" t="inlineStr">
        <is>
          <t>GATE 15</t>
        </is>
      </c>
      <c r="I3698" s="144" t="inlineStr">
        <is>
          <t>COMMERICAL</t>
        </is>
      </c>
    </row>
    <row r="3699" ht="18" customHeight="1" s="7">
      <c r="A3699" s="144" t="inlineStr">
        <is>
          <t>WILLIE WOODSON</t>
        </is>
      </c>
      <c r="B3699" s="144" t="inlineStr">
        <is>
          <t>038394655 GA</t>
        </is>
      </c>
      <c r="C3699" s="144" t="inlineStr">
        <is>
          <t>JONES WELDING</t>
        </is>
      </c>
      <c r="D3699" s="144" t="n">
        <v>2299440565</v>
      </c>
      <c r="E3699" s="144" t="inlineStr">
        <is>
          <t>PU</t>
        </is>
      </c>
      <c r="F3699" s="144" t="inlineStr">
        <is>
          <t>WQF565 GA</t>
        </is>
      </c>
      <c r="G3699" s="144" t="inlineStr">
        <is>
          <t>WHITE FORD</t>
        </is>
      </c>
      <c r="H3699" s="144" t="n">
        <v>2200</v>
      </c>
      <c r="I3699" s="144" t="inlineStr">
        <is>
          <t>CONTRACTOR</t>
        </is>
      </c>
    </row>
    <row r="3700" ht="18" customHeight="1" s="7">
      <c r="A3700" s="144" t="inlineStr">
        <is>
          <t>DENNIS CAMP</t>
        </is>
      </c>
      <c r="B3700" s="144" t="inlineStr">
        <is>
          <t>5286710 AL</t>
        </is>
      </c>
      <c r="C3700" s="144" t="inlineStr">
        <is>
          <t>ADMIRAL MERCHANTS</t>
        </is>
      </c>
      <c r="D3700" s="144" t="n">
        <v>235656605</v>
      </c>
      <c r="E3700" s="144" t="inlineStr">
        <is>
          <t>FLAT</t>
        </is>
      </c>
      <c r="F3700" s="144" t="inlineStr">
        <is>
          <t>PZB7779 MN</t>
        </is>
      </c>
      <c r="G3700" s="144" t="inlineStr">
        <is>
          <t>GREEN PETERBILT</t>
        </is>
      </c>
      <c r="H3700" s="144" t="n">
        <v>1221</v>
      </c>
      <c r="I3700" s="144" t="inlineStr">
        <is>
          <t>COMMERICAL</t>
        </is>
      </c>
    </row>
    <row r="3701" ht="18" customHeight="1" s="7">
      <c r="A3701" s="144" t="inlineStr">
        <is>
          <t>JARED JOHNSON</t>
        </is>
      </c>
      <c r="B3701" s="144" t="inlineStr">
        <is>
          <t>060742668 GA</t>
        </is>
      </c>
      <c r="C3701" s="144" t="inlineStr">
        <is>
          <t>SHEWMAKER</t>
        </is>
      </c>
      <c r="D3701" s="144" t="n">
        <v>4783490673</v>
      </c>
      <c r="E3701" s="144" t="inlineStr">
        <is>
          <t>PU</t>
        </is>
      </c>
      <c r="F3701" s="144" t="inlineStr">
        <is>
          <t>SLB8421 GA</t>
        </is>
      </c>
      <c r="G3701" s="144" t="inlineStr">
        <is>
          <t>WHITE DODGE</t>
        </is>
      </c>
      <c r="H3701" s="144" t="inlineStr">
        <is>
          <t>GATE 15</t>
        </is>
      </c>
      <c r="I3701" s="144" t="inlineStr">
        <is>
          <t>CONTRACTOR</t>
        </is>
      </c>
    </row>
    <row r="3702" ht="18" customHeight="1" s="7">
      <c r="A3702" s="144" t="inlineStr">
        <is>
          <t>ANDREW PETERS</t>
        </is>
      </c>
      <c r="B3702" s="144" t="inlineStr">
        <is>
          <t>051567352 GA</t>
        </is>
      </c>
      <c r="C3702" s="144" t="inlineStr">
        <is>
          <t>JR3</t>
        </is>
      </c>
      <c r="D3702" s="144" t="n">
        <v>7707284477</v>
      </c>
      <c r="E3702" s="144" t="inlineStr">
        <is>
          <t>BOX</t>
        </is>
      </c>
      <c r="F3702" s="144" t="inlineStr">
        <is>
          <t>C349C GA</t>
        </is>
      </c>
      <c r="G3702" s="144" t="inlineStr">
        <is>
          <t>BLUE FREIGHTLINER</t>
        </is>
      </c>
      <c r="H3702" s="144" t="n">
        <v>1221</v>
      </c>
      <c r="I3702" s="144" t="inlineStr">
        <is>
          <t>COMMERICAL</t>
        </is>
      </c>
    </row>
    <row r="3703" ht="18" customHeight="1" s="7">
      <c r="A3703" s="144" t="inlineStr">
        <is>
          <t>KEYAUNTRE BLACKSHEAR</t>
        </is>
      </c>
      <c r="B3703" s="144" t="inlineStr">
        <is>
          <t>058335204 GA</t>
        </is>
      </c>
      <c r="C3703" s="144" t="inlineStr">
        <is>
          <t>LADE</t>
        </is>
      </c>
      <c r="D3703" s="144" t="n">
        <v>2294990467</v>
      </c>
      <c r="E3703" s="144" t="inlineStr">
        <is>
          <t>VAN</t>
        </is>
      </c>
      <c r="F3703" s="144" t="inlineStr">
        <is>
          <t>SHX9161 GA</t>
        </is>
      </c>
      <c r="G3703" s="144" t="inlineStr">
        <is>
          <t>WHITE FORD</t>
        </is>
      </c>
      <c r="H3703" s="144" t="n">
        <v>1121</v>
      </c>
      <c r="I3703" s="144" t="inlineStr">
        <is>
          <t>CONTRACTOR</t>
        </is>
      </c>
    </row>
    <row r="3704" ht="18" customHeight="1" s="7">
      <c r="A3704" s="144" t="inlineStr">
        <is>
          <t>MARTIN OKAOKA</t>
        </is>
      </c>
      <c r="B3704" s="144" t="inlineStr">
        <is>
          <t>061672540 GA</t>
        </is>
      </c>
      <c r="C3704" s="144" t="inlineStr">
        <is>
          <t>OKAOKA LOGISTICS</t>
        </is>
      </c>
      <c r="D3704" s="144" t="n">
        <v>7064155842</v>
      </c>
      <c r="E3704" s="144" t="inlineStr">
        <is>
          <t>FLAT</t>
        </is>
      </c>
      <c r="F3704" s="144" t="inlineStr">
        <is>
          <t>C553EG GA</t>
        </is>
      </c>
      <c r="G3704" s="144" t="inlineStr">
        <is>
          <t>PURPLE FREIGHTLINER</t>
        </is>
      </c>
      <c r="H3704" s="144" t="n">
        <v>1221</v>
      </c>
      <c r="I3704" s="144" t="inlineStr">
        <is>
          <t>COMMERICAL</t>
        </is>
      </c>
    </row>
    <row r="3705" ht="18" customHeight="1" s="7">
      <c r="A3705" s="144" t="inlineStr">
        <is>
          <t>SIMON WAMBUGU</t>
        </is>
      </c>
      <c r="B3705" s="144" t="inlineStr">
        <is>
          <t>37288358 TX</t>
        </is>
      </c>
      <c r="C3705" s="144" t="inlineStr">
        <is>
          <t>OTIS TRANS</t>
        </is>
      </c>
      <c r="D3705" s="144" t="n">
        <v>4695942252</v>
      </c>
      <c r="E3705" s="144" t="inlineStr">
        <is>
          <t>BOX</t>
        </is>
      </c>
      <c r="F3705" s="144" t="inlineStr">
        <is>
          <t>R797295 TX</t>
        </is>
      </c>
      <c r="G3705" s="144" t="inlineStr">
        <is>
          <t>WHITE KENWORTH</t>
        </is>
      </c>
      <c r="H3705" s="144" t="n">
        <v>1221</v>
      </c>
      <c r="I3705" s="144" t="inlineStr">
        <is>
          <t>COMMERICAL</t>
        </is>
      </c>
    </row>
    <row r="3706" ht="18" customHeight="1" s="7">
      <c r="A3706" s="144" t="inlineStr">
        <is>
          <t>DAMIEN ODUM</t>
        </is>
      </c>
      <c r="B3706" s="144" t="inlineStr">
        <is>
          <t>10858063 AL</t>
        </is>
      </c>
      <c r="C3706" s="144" t="inlineStr">
        <is>
          <t>OX GROUP</t>
        </is>
      </c>
      <c r="D3706" s="144" t="n">
        <v>97948076718</v>
      </c>
      <c r="E3706" s="144" t="inlineStr">
        <is>
          <t>FLAT</t>
        </is>
      </c>
      <c r="F3706" s="144" t="inlineStr">
        <is>
          <t>P1131967 IL</t>
        </is>
      </c>
      <c r="G3706" s="144" t="inlineStr">
        <is>
          <t>BLUE KENWORTH</t>
        </is>
      </c>
      <c r="H3706" s="144" t="n">
        <v>1221</v>
      </c>
      <c r="I3706" s="144" t="inlineStr">
        <is>
          <t>COMMERICAL</t>
        </is>
      </c>
    </row>
    <row r="3707" ht="18" customHeight="1" s="7">
      <c r="A3707" s="144" t="inlineStr">
        <is>
          <t>AUSTIN COLLINS</t>
        </is>
      </c>
      <c r="B3707" s="144" t="inlineStr">
        <is>
          <t>054109022 GA</t>
        </is>
      </c>
      <c r="C3707" s="144" t="inlineStr">
        <is>
          <t>B MAC</t>
        </is>
      </c>
      <c r="D3707" s="144" t="n">
        <v>4045036961</v>
      </c>
      <c r="E3707" s="144" t="inlineStr">
        <is>
          <t>FLAT</t>
        </is>
      </c>
      <c r="F3707" s="144" t="inlineStr">
        <is>
          <t>C139DK GA</t>
        </is>
      </c>
      <c r="G3707" s="144" t="inlineStr">
        <is>
          <t>GOLD FREIGHTLINER</t>
        </is>
      </c>
      <c r="H3707" s="144" t="n">
        <v>1221</v>
      </c>
      <c r="I3707" s="144" t="inlineStr">
        <is>
          <t>COMMERICAL</t>
        </is>
      </c>
    </row>
    <row r="3708" ht="18" customHeight="1" s="7">
      <c r="A3708" s="144" t="inlineStr">
        <is>
          <t>FINLEY WILLIAMS</t>
        </is>
      </c>
      <c r="B3708" s="144" t="inlineStr">
        <is>
          <t>F540934852240</t>
        </is>
      </c>
      <c r="C3708" s="144" t="inlineStr">
        <is>
          <t>FLOWERS BAKERY</t>
        </is>
      </c>
      <c r="D3708" s="144" t="n">
        <v>8503875367</v>
      </c>
      <c r="E3708" s="144" t="inlineStr">
        <is>
          <t>BOX</t>
        </is>
      </c>
      <c r="F3708" s="144" t="inlineStr">
        <is>
          <t>GBW501 GA</t>
        </is>
      </c>
      <c r="G3708" s="144" t="inlineStr">
        <is>
          <t>WHITE ISUZU</t>
        </is>
      </c>
      <c r="H3708" s="144" t="n">
        <v>7500</v>
      </c>
      <c r="I3708" s="144" t="inlineStr">
        <is>
          <t>COMMERCIAL</t>
        </is>
      </c>
    </row>
    <row r="3709" ht="18" customHeight="1" s="7">
      <c r="A3709" s="144" t="inlineStr">
        <is>
          <t>EVERETT LEE</t>
        </is>
      </c>
      <c r="B3709" s="144" t="inlineStr">
        <is>
          <t>E163432704530 FL</t>
        </is>
      </c>
      <c r="C3709" s="144" t="inlineStr">
        <is>
          <t>KLB</t>
        </is>
      </c>
      <c r="D3709" s="144" t="n">
        <v>4048225330</v>
      </c>
      <c r="E3709" s="144" t="inlineStr">
        <is>
          <t>BOX</t>
        </is>
      </c>
      <c r="F3709" s="144" t="inlineStr">
        <is>
          <t>R802044 TX</t>
        </is>
      </c>
      <c r="G3709" s="144" t="inlineStr">
        <is>
          <t>BLUE PETERBILT</t>
        </is>
      </c>
      <c r="H3709" s="144" t="n">
        <v>1221</v>
      </c>
      <c r="I3709" s="144" t="inlineStr">
        <is>
          <t>COMMERCIAL</t>
        </is>
      </c>
    </row>
    <row r="3710" ht="18" customHeight="1" s="7">
      <c r="A3710" s="144" t="inlineStr">
        <is>
          <t>MILLS FRANCIS</t>
        </is>
      </c>
      <c r="B3710" s="144" t="inlineStr">
        <is>
          <t>2277890 TX</t>
        </is>
      </c>
      <c r="C3710" s="144" t="inlineStr">
        <is>
          <t>MERCER TRANS</t>
        </is>
      </c>
      <c r="D3710" s="144" t="n">
        <v>2108238932</v>
      </c>
      <c r="E3710" s="144" t="inlineStr">
        <is>
          <t>FLAT</t>
        </is>
      </c>
      <c r="F3710" s="144" t="inlineStr">
        <is>
          <t>3010017 IN</t>
        </is>
      </c>
      <c r="G3710" s="144" t="inlineStr">
        <is>
          <t>BLUE FREIGHTLINER</t>
        </is>
      </c>
      <c r="H3710" s="144" t="n">
        <v>1221</v>
      </c>
      <c r="I3710" s="144" t="inlineStr">
        <is>
          <t>COMMERCIAL</t>
        </is>
      </c>
    </row>
    <row r="3711" ht="18" customHeight="1" s="7">
      <c r="A3711" s="144" t="inlineStr">
        <is>
          <t>CARL CAMPBELL</t>
        </is>
      </c>
      <c r="B3711" s="144" t="inlineStr">
        <is>
          <t>*070597938 GA</t>
        </is>
      </c>
      <c r="C3711" s="144" t="inlineStr">
        <is>
          <t>BRENNTAG</t>
        </is>
      </c>
      <c r="D3711" s="144" t="n">
        <v>407575820</v>
      </c>
      <c r="E3711" s="144" t="inlineStr">
        <is>
          <t>BOX</t>
        </is>
      </c>
      <c r="F3711" s="144" t="inlineStr">
        <is>
          <t>BA547940 WV</t>
        </is>
      </c>
      <c r="G3711" s="144" t="inlineStr">
        <is>
          <t>WHITE FREIGHTLINER</t>
        </is>
      </c>
      <c r="H3711" s="144" t="n">
        <v>2299</v>
      </c>
      <c r="I3711" s="144" t="inlineStr">
        <is>
          <t>COMMERCIAL</t>
        </is>
      </c>
    </row>
    <row r="3712" ht="18" customHeight="1" s="7">
      <c r="A3712" s="144" t="inlineStr">
        <is>
          <t>JACOLBY NELOMS</t>
        </is>
      </c>
      <c r="B3712" s="144" t="inlineStr">
        <is>
          <t>*056886027 GA</t>
        </is>
      </c>
      <c r="C3712" s="144" t="inlineStr">
        <is>
          <t>TIDE WATER</t>
        </is>
      </c>
      <c r="D3712" s="144" t="n">
        <v>4782586989</v>
      </c>
      <c r="E3712" s="144" t="inlineStr">
        <is>
          <t>PU</t>
        </is>
      </c>
      <c r="F3712" s="144" t="inlineStr">
        <is>
          <t>SBJ4552 GA</t>
        </is>
      </c>
      <c r="G3712" s="144" t="inlineStr">
        <is>
          <t>WHITE FORD</t>
        </is>
      </c>
      <c r="H3712" s="144" t="inlineStr">
        <is>
          <t>HOUSING</t>
        </is>
      </c>
      <c r="I3712" s="144" t="inlineStr">
        <is>
          <t>CONTRACTOR</t>
        </is>
      </c>
    </row>
    <row r="3713" ht="18" customHeight="1" s="7">
      <c r="A3713" s="144" t="inlineStr">
        <is>
          <t>WATTS TAMIR</t>
        </is>
      </c>
      <c r="B3713" s="144" t="inlineStr">
        <is>
          <t>30276280 PA</t>
        </is>
      </c>
      <c r="C3713" s="144" t="inlineStr">
        <is>
          <t>RAYS TRUCK RENTAL</t>
        </is>
      </c>
      <c r="D3713" s="144" t="n">
        <v>9084724124</v>
      </c>
      <c r="E3713" s="144" t="inlineStr">
        <is>
          <t>BOX</t>
        </is>
      </c>
      <c r="F3713" s="144" t="inlineStr">
        <is>
          <t>A124AA NJ</t>
        </is>
      </c>
      <c r="G3713" s="144" t="inlineStr">
        <is>
          <t>WHITE FREIGHTLINER</t>
        </is>
      </c>
      <c r="H3713" s="144" t="n">
        <v>1221</v>
      </c>
      <c r="I3713" s="144" t="inlineStr">
        <is>
          <t>COMMERCIAL</t>
        </is>
      </c>
    </row>
    <row r="3714" ht="18" customHeight="1" s="7">
      <c r="A3714" s="144" t="inlineStr">
        <is>
          <t>JIMMY ALRED</t>
        </is>
      </c>
      <c r="B3714" s="144" t="inlineStr">
        <is>
          <t>055378549 GA</t>
        </is>
      </c>
      <c r="C3714" s="144" t="inlineStr">
        <is>
          <t>ABMERE INC</t>
        </is>
      </c>
      <c r="D3714" s="144" t="n">
        <v>2293436999</v>
      </c>
      <c r="E3714" s="144" t="inlineStr">
        <is>
          <t>BOX</t>
        </is>
      </c>
      <c r="F3714" s="144" t="inlineStr">
        <is>
          <t>C697DE GA</t>
        </is>
      </c>
      <c r="G3714" s="144" t="inlineStr">
        <is>
          <t>WHITE FREIGHTLINER</t>
        </is>
      </c>
      <c r="H3714" s="144" t="n">
        <v>1221</v>
      </c>
      <c r="I3714" s="144" t="inlineStr">
        <is>
          <t>COMMERCIAL</t>
        </is>
      </c>
    </row>
    <row r="3715" ht="18" customHeight="1" s="7">
      <c r="A3715" s="144" t="inlineStr">
        <is>
          <t>LEE BRODUS</t>
        </is>
      </c>
      <c r="B3715" s="144" t="inlineStr">
        <is>
          <t>008484305 SC</t>
        </is>
      </c>
      <c r="C3715" s="144" t="inlineStr">
        <is>
          <t>SHADOW TRANS</t>
        </is>
      </c>
      <c r="D3715" s="144" t="n">
        <v>8034391042</v>
      </c>
      <c r="E3715" s="144" t="inlineStr">
        <is>
          <t>FLAT</t>
        </is>
      </c>
      <c r="F3715" s="144" t="inlineStr">
        <is>
          <t>A000084 SC</t>
        </is>
      </c>
      <c r="G3715" s="144" t="inlineStr">
        <is>
          <t>BLUE FREIGHTLINER</t>
        </is>
      </c>
      <c r="H3715" s="144" t="inlineStr">
        <is>
          <t>GATE 15</t>
        </is>
      </c>
      <c r="I3715" s="144" t="inlineStr">
        <is>
          <t>COMMERICAL</t>
        </is>
      </c>
    </row>
    <row r="3716" ht="18" customHeight="1" s="7">
      <c r="A3716" s="144" t="inlineStr">
        <is>
          <t>MCCULLOUGH KONTERRIAS</t>
        </is>
      </c>
      <c r="B3716" s="144" t="inlineStr">
        <is>
          <t>*054288534</t>
        </is>
      </c>
      <c r="C3716" s="144" t="inlineStr">
        <is>
          <t>A-1 BRANTLY</t>
        </is>
      </c>
      <c r="D3716" s="144" t="n">
        <v>2294398123</v>
      </c>
      <c r="E3716" s="144" t="inlineStr">
        <is>
          <t>FLAT</t>
        </is>
      </c>
      <c r="F3716" s="144" t="inlineStr">
        <is>
          <t>ERU659 GA</t>
        </is>
      </c>
      <c r="G3716" s="144" t="inlineStr">
        <is>
          <t>WHITE MACK</t>
        </is>
      </c>
      <c r="H3716" s="144" t="n">
        <v>7450</v>
      </c>
      <c r="I3716" s="144" t="inlineStr">
        <is>
          <t>COMMERCIAL</t>
        </is>
      </c>
    </row>
    <row r="3717" ht="18" customHeight="1" s="7">
      <c r="A3717" s="144" t="inlineStr">
        <is>
          <t>THOMAS SMITH</t>
        </is>
      </c>
      <c r="B3717" s="144" t="inlineStr">
        <is>
          <t>*033711675</t>
        </is>
      </c>
      <c r="C3717" s="144" t="inlineStr">
        <is>
          <t>STORM TRANS</t>
        </is>
      </c>
      <c r="D3717" s="144" t="n">
        <v>4706302839</v>
      </c>
      <c r="E3717" s="144" t="inlineStr">
        <is>
          <t>BOX</t>
        </is>
      </c>
      <c r="F3717" s="144" t="inlineStr">
        <is>
          <t>GKY754 GA</t>
        </is>
      </c>
      <c r="G3717" s="144" t="inlineStr">
        <is>
          <t>WHITE FREIGHTLINER</t>
        </is>
      </c>
      <c r="H3717" s="144" t="n">
        <v>1331</v>
      </c>
      <c r="I3717" s="144" t="inlineStr">
        <is>
          <t>COMMERCIAL</t>
        </is>
      </c>
    </row>
    <row r="3718" ht="18" customHeight="1" s="7">
      <c r="A3718" s="144" t="inlineStr">
        <is>
          <t>CAUSBY HAROLD</t>
        </is>
      </c>
      <c r="B3718" s="144" t="inlineStr">
        <is>
          <t>RQ034859 OH</t>
        </is>
      </c>
      <c r="C3718" s="144" t="inlineStr">
        <is>
          <t>CLE TRANS</t>
        </is>
      </c>
      <c r="D3718" s="144" t="n">
        <v>4407311368</v>
      </c>
      <c r="E3718" s="144" t="inlineStr">
        <is>
          <t>BOX</t>
        </is>
      </c>
      <c r="F3718" s="144" t="inlineStr">
        <is>
          <t>PWZ7297 OH</t>
        </is>
      </c>
      <c r="G3718" s="144" t="inlineStr">
        <is>
          <t>WHITE MACK</t>
        </is>
      </c>
      <c r="H3718" s="144" t="n">
        <v>1221</v>
      </c>
      <c r="I3718" s="144" t="inlineStr">
        <is>
          <t>COMMERCIAL</t>
        </is>
      </c>
    </row>
    <row r="3719" ht="18" customHeight="1" s="7">
      <c r="A3719" s="144" t="inlineStr">
        <is>
          <t>CHASE VANZANT</t>
        </is>
      </c>
      <c r="B3719" s="144" t="inlineStr">
        <is>
          <t>058655245 GA</t>
        </is>
      </c>
      <c r="C3719" s="144" t="inlineStr">
        <is>
          <t>ALBANY BEVERAGES</t>
        </is>
      </c>
      <c r="D3719" s="144" t="n">
        <v>2298864522</v>
      </c>
      <c r="E3719" s="144" t="inlineStr">
        <is>
          <t>VAN</t>
        </is>
      </c>
      <c r="F3719" s="144" t="inlineStr">
        <is>
          <t>RMG8149 GA</t>
        </is>
      </c>
      <c r="G3719" s="144" t="inlineStr">
        <is>
          <t>WHITE CHEV</t>
        </is>
      </c>
      <c r="H3719" s="144" t="n">
        <v>7501</v>
      </c>
      <c r="I3719" s="144" t="inlineStr">
        <is>
          <t>CONTRACTOR</t>
        </is>
      </c>
    </row>
    <row r="3720" ht="18" customHeight="1" s="7">
      <c r="A3720" s="144" t="inlineStr">
        <is>
          <t>JAMAR MINCEY</t>
        </is>
      </c>
      <c r="B3720" s="144" t="inlineStr">
        <is>
          <t>058932401 GA</t>
        </is>
      </c>
      <c r="C3720" s="144" t="inlineStr">
        <is>
          <t>MERCER TRANS</t>
        </is>
      </c>
      <c r="D3720" s="144" t="n">
        <v>9123476617</v>
      </c>
      <c r="E3720" s="144" t="inlineStr">
        <is>
          <t>FLAT</t>
        </is>
      </c>
      <c r="F3720" s="144" t="inlineStr">
        <is>
          <t>3395571 IN</t>
        </is>
      </c>
      <c r="G3720" s="144" t="inlineStr">
        <is>
          <t>BLACK FREIGHTLINER</t>
        </is>
      </c>
      <c r="H3720" s="144" t="n">
        <v>1221</v>
      </c>
      <c r="I3720" s="144" t="inlineStr">
        <is>
          <t>COMMERICAL</t>
        </is>
      </c>
    </row>
    <row r="3721" ht="18" customHeight="1" s="7">
      <c r="A3721" s="144" t="inlineStr">
        <is>
          <t>KVIS RUSLAN</t>
        </is>
      </c>
      <c r="B3721" s="144" t="inlineStr">
        <is>
          <t>K120751019660 MI</t>
        </is>
      </c>
      <c r="C3721" s="144" t="inlineStr">
        <is>
          <t>VU TRANS</t>
        </is>
      </c>
      <c r="D3721" s="144" t="n">
        <v>3135233928</v>
      </c>
      <c r="E3721" s="144" t="inlineStr">
        <is>
          <t>BOX</t>
        </is>
      </c>
      <c r="F3721" s="144" t="inlineStr">
        <is>
          <t>RC39488 MI</t>
        </is>
      </c>
      <c r="G3721" s="144" t="inlineStr">
        <is>
          <t>BLUE KENWORTH</t>
        </is>
      </c>
      <c r="H3721" s="144" t="n">
        <v>1221</v>
      </c>
      <c r="I3721" s="144" t="inlineStr">
        <is>
          <t>COMMERICAL</t>
        </is>
      </c>
    </row>
    <row r="3722" ht="18" customHeight="1" s="7">
      <c r="A3722" s="144" t="inlineStr">
        <is>
          <t>BRAIN CREWS</t>
        </is>
      </c>
      <c r="B3722" s="144" t="inlineStr">
        <is>
          <t>000027618847 NC</t>
        </is>
      </c>
      <c r="C3722" s="144" t="inlineStr">
        <is>
          <t>ELI LOGISTICS</t>
        </is>
      </c>
      <c r="D3722" s="144" t="n">
        <v>2522049510</v>
      </c>
      <c r="E3722" s="144" t="inlineStr">
        <is>
          <t>BOX</t>
        </is>
      </c>
      <c r="F3722" s="144" t="inlineStr">
        <is>
          <t>C177EF GA</t>
        </is>
      </c>
      <c r="G3722" s="144" t="inlineStr">
        <is>
          <t>WHITE FREIGHTLINER</t>
        </is>
      </c>
      <c r="H3722" s="144" t="n">
        <v>1221</v>
      </c>
      <c r="I3722" s="144" t="inlineStr">
        <is>
          <t>COMMERICAL</t>
        </is>
      </c>
    </row>
    <row r="3723" ht="18" customHeight="1" s="7">
      <c r="A3723" s="144" t="inlineStr">
        <is>
          <t>SAMUEK LOUIZIA</t>
        </is>
      </c>
      <c r="B3723" s="144" t="inlineStr">
        <is>
          <t>9370786878 ID</t>
        </is>
      </c>
      <c r="C3723" s="144" t="inlineStr">
        <is>
          <t>MEGA TRADE</t>
        </is>
      </c>
      <c r="D3723" s="144" t="n">
        <v>5618872575</v>
      </c>
      <c r="E3723" s="144" t="inlineStr">
        <is>
          <t>BOX</t>
        </is>
      </c>
      <c r="F3723" s="144" t="inlineStr">
        <is>
          <t>P1060936 IL</t>
        </is>
      </c>
      <c r="G3723" s="144" t="inlineStr">
        <is>
          <t>RED FREIGHTLINER</t>
        </is>
      </c>
      <c r="H3723" s="144" t="n">
        <v>1221</v>
      </c>
      <c r="I3723" s="144" t="inlineStr">
        <is>
          <t>COMMERICAL</t>
        </is>
      </c>
    </row>
    <row r="3724" ht="18" customHeight="1" s="7">
      <c r="A3724" s="144" t="inlineStr">
        <is>
          <t>OLEA FIDEL</t>
        </is>
      </c>
      <c r="B3724" s="144" t="inlineStr">
        <is>
          <t>O400241853080 FL</t>
        </is>
      </c>
      <c r="C3724" s="144" t="inlineStr">
        <is>
          <t>LTC</t>
        </is>
      </c>
      <c r="D3724" s="144" t="n">
        <v>8635139234</v>
      </c>
      <c r="E3724" s="144" t="inlineStr">
        <is>
          <t>BOX</t>
        </is>
      </c>
      <c r="F3724" s="144" t="inlineStr">
        <is>
          <t>XE341W FL</t>
        </is>
      </c>
      <c r="G3724" s="144" t="inlineStr">
        <is>
          <t>WHITE FREIGHTLINER</t>
        </is>
      </c>
      <c r="H3724" s="144" t="n">
        <v>1221</v>
      </c>
      <c r="I3724" s="144" t="inlineStr">
        <is>
          <t>COMMERCIAL</t>
        </is>
      </c>
    </row>
    <row r="3725" ht="18" customHeight="1" s="7">
      <c r="A3725" s="144" t="inlineStr">
        <is>
          <t>DE ANDRE JACKSON</t>
        </is>
      </c>
      <c r="B3725" s="144" t="inlineStr">
        <is>
          <t>057927050 GA</t>
        </is>
      </c>
      <c r="C3725" s="144" t="inlineStr">
        <is>
          <t>TWO ONE TRUCKING</t>
        </is>
      </c>
      <c r="D3725" s="144" t="n">
        <v>6194533617</v>
      </c>
      <c r="E3725" s="144" t="inlineStr">
        <is>
          <t>FLAT</t>
        </is>
      </c>
      <c r="F3725" s="144" t="inlineStr">
        <is>
          <t>C393FA GA</t>
        </is>
      </c>
      <c r="G3725" s="144" t="inlineStr">
        <is>
          <t>RED PETERBILT</t>
        </is>
      </c>
      <c r="H3725" s="144" t="n">
        <v>1221</v>
      </c>
      <c r="I3725" s="144" t="inlineStr">
        <is>
          <t>COMMERICAL</t>
        </is>
      </c>
    </row>
    <row r="3726" ht="18" customHeight="1" s="7">
      <c r="A3726" s="144" t="inlineStr">
        <is>
          <t>JEREMY MORRISON</t>
        </is>
      </c>
      <c r="B3726" s="144" t="inlineStr">
        <is>
          <t>M634511287000 FL</t>
        </is>
      </c>
      <c r="C3726" s="144" t="inlineStr">
        <is>
          <t>SODREL TRANS</t>
        </is>
      </c>
      <c r="D3726" s="144" t="n">
        <v>3345899397</v>
      </c>
      <c r="E3726" s="144" t="inlineStr">
        <is>
          <t>FLAT</t>
        </is>
      </c>
      <c r="F3726" s="144" t="inlineStr">
        <is>
          <t>C461FA GA</t>
        </is>
      </c>
      <c r="G3726" s="144" t="inlineStr">
        <is>
          <t>YELLOW KENWORTH</t>
        </is>
      </c>
      <c r="H3726" s="144" t="n">
        <v>1221</v>
      </c>
      <c r="I3726" s="144" t="inlineStr">
        <is>
          <t>COMMERICAL</t>
        </is>
      </c>
    </row>
    <row r="3727" ht="18" customHeight="1" s="7">
      <c r="A3727" s="144" t="inlineStr">
        <is>
          <t>KEITH CALLAWAY</t>
        </is>
      </c>
      <c r="B3727" s="144" t="inlineStr">
        <is>
          <t>051472253 GA</t>
        </is>
      </c>
      <c r="C3727" s="144" t="inlineStr">
        <is>
          <t>TOOLE FLOORING</t>
        </is>
      </c>
      <c r="D3727" s="144" t="n">
        <v>3293448804</v>
      </c>
      <c r="E3727" s="144" t="inlineStr">
        <is>
          <t>PU</t>
        </is>
      </c>
      <c r="F3727" s="144" t="inlineStr">
        <is>
          <t>BQ7DU5 GA</t>
        </is>
      </c>
      <c r="G3727" s="144" t="inlineStr">
        <is>
          <t>WHITE GMC</t>
        </is>
      </c>
      <c r="H3727" s="144" t="n">
        <v>7360</v>
      </c>
      <c r="I3727" s="144" t="inlineStr">
        <is>
          <t>CONTRACTOR</t>
        </is>
      </c>
    </row>
    <row r="3728" ht="18" customHeight="1" s="7">
      <c r="A3728" s="144" t="inlineStr">
        <is>
          <t>JOSIAH FARRAR</t>
        </is>
      </c>
      <c r="B3728" s="144" t="inlineStr">
        <is>
          <t>071839302 GA</t>
        </is>
      </c>
      <c r="C3728" s="144" t="inlineStr">
        <is>
          <t>HMD</t>
        </is>
      </c>
      <c r="D3728" s="144" t="n">
        <v>2293796482</v>
      </c>
      <c r="E3728" s="144" t="inlineStr">
        <is>
          <t>BOX</t>
        </is>
      </c>
      <c r="F3728" s="144" t="inlineStr">
        <is>
          <t xml:space="preserve">3658178 IN </t>
        </is>
      </c>
      <c r="G3728" s="144" t="inlineStr">
        <is>
          <t>WHITE PETERBILT</t>
        </is>
      </c>
      <c r="H3728" s="144" t="n">
        <v>1221</v>
      </c>
      <c r="I3728" s="144" t="inlineStr">
        <is>
          <t>COMMERICAL</t>
        </is>
      </c>
    </row>
    <row r="3729" ht="18" customHeight="1" s="7">
      <c r="A3729" s="144" t="inlineStr">
        <is>
          <t>CODY PETERSON</t>
        </is>
      </c>
      <c r="B3729" s="144" t="inlineStr">
        <is>
          <t>8137308 AL</t>
        </is>
      </c>
      <c r="C3729" s="144" t="inlineStr">
        <is>
          <t>AUTOMATED DOOR</t>
        </is>
      </c>
      <c r="D3729" s="144" t="n">
        <v>3345406704</v>
      </c>
      <c r="E3729" s="144" t="inlineStr">
        <is>
          <t>PU</t>
        </is>
      </c>
      <c r="F3729" s="144" t="inlineStr">
        <is>
          <t>PKY6448 GA</t>
        </is>
      </c>
      <c r="G3729" s="144" t="inlineStr">
        <is>
          <t>WHITE GMC</t>
        </is>
      </c>
      <c r="H3729" s="144" t="inlineStr">
        <is>
          <t>GM</t>
        </is>
      </c>
      <c r="I3729" s="144" t="inlineStr">
        <is>
          <t>CONTRACTOR</t>
        </is>
      </c>
    </row>
    <row r="3730" ht="18" customHeight="1" s="7">
      <c r="A3730" s="144" t="inlineStr">
        <is>
          <t>CAIN STANLEY</t>
        </is>
      </c>
      <c r="B3730" s="144" t="inlineStr">
        <is>
          <t>C01837207404712 NJ</t>
        </is>
      </c>
      <c r="C3730" s="144" t="inlineStr">
        <is>
          <t>MEGA LOG</t>
        </is>
      </c>
      <c r="D3730" s="144" t="n">
        <v>5594443830</v>
      </c>
      <c r="E3730" s="144" t="inlineStr">
        <is>
          <t>BOX</t>
        </is>
      </c>
      <c r="F3730" s="144" t="inlineStr">
        <is>
          <t>P1305806 IL</t>
        </is>
      </c>
      <c r="G3730" s="144" t="inlineStr">
        <is>
          <t>RED FREIGHTLINER</t>
        </is>
      </c>
      <c r="H3730" s="144" t="n">
        <v>1221</v>
      </c>
      <c r="I3730" s="144" t="inlineStr">
        <is>
          <t>COMMERCIAL</t>
        </is>
      </c>
    </row>
    <row r="3731" ht="18" customHeight="1" s="7">
      <c r="A3731" s="144" t="inlineStr">
        <is>
          <t>ELLIS TOMMY</t>
        </is>
      </c>
      <c r="B3731" s="144" t="inlineStr">
        <is>
          <t>E420812783290 FL</t>
        </is>
      </c>
      <c r="C3731" s="144" t="inlineStr">
        <is>
          <t>DAB</t>
        </is>
      </c>
      <c r="D3731" s="144" t="n">
        <v>4076278499</v>
      </c>
      <c r="E3731" s="144" t="inlineStr">
        <is>
          <t>BOX</t>
        </is>
      </c>
      <c r="F3731" s="144" t="inlineStr">
        <is>
          <t>P1284482 IL</t>
        </is>
      </c>
      <c r="G3731" s="144" t="inlineStr">
        <is>
          <t>WHITE PETERBILT</t>
        </is>
      </c>
      <c r="H3731" s="144" t="n">
        <v>1221</v>
      </c>
      <c r="I3731" s="144" t="inlineStr">
        <is>
          <t>CONTRACTOR</t>
        </is>
      </c>
    </row>
    <row r="3732" ht="18" customHeight="1" s="7">
      <c r="A3732" s="144" t="inlineStr">
        <is>
          <t>RONALD ANGULIO</t>
        </is>
      </c>
      <c r="B3732" s="144" t="inlineStr">
        <is>
          <t>105455324 SC</t>
        </is>
      </c>
      <c r="C3732" s="144" t="inlineStr">
        <is>
          <t>ROAD TRUCKING</t>
        </is>
      </c>
      <c r="D3732" s="144" t="n">
        <v>4074935485</v>
      </c>
      <c r="E3732" s="144" t="inlineStr">
        <is>
          <t>BOX</t>
        </is>
      </c>
      <c r="F3732" s="144" t="inlineStr">
        <is>
          <t>P782047 SC</t>
        </is>
      </c>
      <c r="G3732" s="144" t="inlineStr">
        <is>
          <t>BLCAK PETERBILT</t>
        </is>
      </c>
      <c r="H3732" s="144" t="n">
        <v>1221</v>
      </c>
      <c r="I3732" s="144" t="inlineStr">
        <is>
          <t>COMMERCIAL</t>
        </is>
      </c>
    </row>
    <row r="3733" ht="18" customHeight="1" s="7">
      <c r="A3733" s="144" t="inlineStr">
        <is>
          <t>KING GREGORY</t>
        </is>
      </c>
      <c r="B3733" s="144" t="inlineStr">
        <is>
          <t>*053723427 GA</t>
        </is>
      </c>
      <c r="C3733" s="144" t="inlineStr">
        <is>
          <t>LIFT ONE</t>
        </is>
      </c>
      <c r="D3733" s="144" t="n">
        <v>2297335580</v>
      </c>
      <c r="E3733" s="144" t="inlineStr">
        <is>
          <t>VAN</t>
        </is>
      </c>
      <c r="F3733" s="144" t="inlineStr">
        <is>
          <t>SHD0278 GA</t>
        </is>
      </c>
      <c r="G3733" s="144" t="inlineStr">
        <is>
          <t>WHITE FORD</t>
        </is>
      </c>
      <c r="H3733" s="144" t="n">
        <v>1430</v>
      </c>
      <c r="I3733" s="144" t="inlineStr">
        <is>
          <t>CONTACTOR</t>
        </is>
      </c>
    </row>
    <row r="3734" ht="18" customHeight="1" s="7">
      <c r="A3734" s="144" t="inlineStr">
        <is>
          <t>JAMES COOK</t>
        </is>
      </c>
      <c r="B3734" s="144" t="inlineStr">
        <is>
          <t>*011514882 SC</t>
        </is>
      </c>
      <c r="C3734" s="144" t="inlineStr">
        <is>
          <t>STATUS</t>
        </is>
      </c>
      <c r="D3734" s="144" t="n">
        <v>8032308379</v>
      </c>
      <c r="E3734" s="144" t="inlineStr">
        <is>
          <t>BOX</t>
        </is>
      </c>
      <c r="F3734" s="144" t="inlineStr">
        <is>
          <t>P1070504 IL</t>
        </is>
      </c>
      <c r="G3734" s="144" t="inlineStr">
        <is>
          <t>GREY FREIGHTLINER</t>
        </is>
      </c>
      <c r="H3734" s="144" t="n">
        <v>1221</v>
      </c>
      <c r="I3734" s="144" t="inlineStr">
        <is>
          <t>COMMERCIAL</t>
        </is>
      </c>
    </row>
    <row r="3735" ht="18" customHeight="1" s="7">
      <c r="A3735" s="144" t="inlineStr">
        <is>
          <t>FABIO RAMIREZ</t>
        </is>
      </c>
      <c r="B3735" s="144" t="inlineStr">
        <is>
          <t>056983384 GA</t>
        </is>
      </c>
      <c r="C3735" s="144" t="inlineStr">
        <is>
          <t>COLLISTER'S</t>
        </is>
      </c>
      <c r="D3735" s="144" t="n">
        <v>6787972450</v>
      </c>
      <c r="E3735" s="144" t="inlineStr">
        <is>
          <t>BOX</t>
        </is>
      </c>
      <c r="F3735" s="144" t="inlineStr">
        <is>
          <t>XPZY85 NJ</t>
        </is>
      </c>
      <c r="G3735" s="144" t="inlineStr">
        <is>
          <t>WHITE FREIGHTLINER</t>
        </is>
      </c>
      <c r="H3735" s="144" t="n">
        <v>1330</v>
      </c>
      <c r="I3735" s="144" t="inlineStr">
        <is>
          <t>CONTRACTOR</t>
        </is>
      </c>
    </row>
    <row r="3736" ht="18" customHeight="1" s="7">
      <c r="A3736" s="144" t="inlineStr">
        <is>
          <t>PIERRE MEDARD</t>
        </is>
      </c>
      <c r="B3736" s="144" t="inlineStr">
        <is>
          <t>M218087001000 FL</t>
        </is>
      </c>
      <c r="C3736" s="144" t="inlineStr">
        <is>
          <t>CALI CARGO</t>
        </is>
      </c>
      <c r="D3736" s="144" t="n">
        <v>4074182000</v>
      </c>
      <c r="E3736" s="144" t="inlineStr">
        <is>
          <t>BOX</t>
        </is>
      </c>
      <c r="F3736" s="144" t="inlineStr">
        <is>
          <t>PXD3263 OH</t>
        </is>
      </c>
      <c r="G3736" s="144" t="inlineStr">
        <is>
          <t>WHITE INTERNATIONAL</t>
        </is>
      </c>
      <c r="H3736" s="144" t="n">
        <v>1221</v>
      </c>
      <c r="I3736" s="144" t="inlineStr">
        <is>
          <t>COMMERICAL</t>
        </is>
      </c>
    </row>
    <row r="3737" ht="18" customHeight="1" s="7">
      <c r="A3737" s="144" t="inlineStr">
        <is>
          <t>LAKE HENRY</t>
        </is>
      </c>
      <c r="B3737" s="144" t="inlineStr">
        <is>
          <t>*051878785 GA</t>
        </is>
      </c>
      <c r="C3737" s="144" t="inlineStr">
        <is>
          <t>TRU STATE</t>
        </is>
      </c>
      <c r="D3737" s="144" t="n">
        <v>4782993516</v>
      </c>
      <c r="E3737" s="144" t="inlineStr">
        <is>
          <t>PU</t>
        </is>
      </c>
      <c r="F3737" s="144" t="inlineStr">
        <is>
          <t>DAN9107 GA</t>
        </is>
      </c>
      <c r="G3737" s="144" t="inlineStr">
        <is>
          <t>WHITE FORD</t>
        </is>
      </c>
      <c r="H3737" s="144" t="inlineStr">
        <is>
          <t>GATE 15</t>
        </is>
      </c>
      <c r="I3737" s="144" t="inlineStr">
        <is>
          <t>CONTRACTOR</t>
        </is>
      </c>
    </row>
    <row r="3738" ht="18" customHeight="1" s="7">
      <c r="A3738" s="144" t="inlineStr">
        <is>
          <t>KAISER JEREMY</t>
        </is>
      </c>
      <c r="B3738" s="144" t="inlineStr">
        <is>
          <t>*057680005 GA</t>
        </is>
      </c>
      <c r="C3738" s="144" t="inlineStr">
        <is>
          <t>COOLSYS</t>
        </is>
      </c>
      <c r="D3738" s="144" t="n">
        <v>7274205526</v>
      </c>
      <c r="E3738" s="144" t="inlineStr">
        <is>
          <t>VAN</t>
        </is>
      </c>
      <c r="F3738" s="144" t="inlineStr">
        <is>
          <t>53BCHG FL</t>
        </is>
      </c>
      <c r="G3738" s="144" t="inlineStr">
        <is>
          <t>WHITE NISSAN</t>
        </is>
      </c>
      <c r="H3738" s="144" t="inlineStr">
        <is>
          <t>COMMISSARY</t>
        </is>
      </c>
      <c r="I3738" s="144" t="inlineStr">
        <is>
          <t>CONTACTOR</t>
        </is>
      </c>
    </row>
    <row r="3739" ht="18" customHeight="1" s="7">
      <c r="A3739" s="144" t="inlineStr">
        <is>
          <t>YIRDAW MOGES</t>
        </is>
      </c>
      <c r="B3739" s="144" t="inlineStr">
        <is>
          <t>B6988702 VI</t>
        </is>
      </c>
      <c r="C3739" s="144" t="inlineStr">
        <is>
          <t>CORNERSTONE TRANS</t>
        </is>
      </c>
      <c r="D3739" s="144" t="n">
        <v>57127554101</v>
      </c>
      <c r="E3739" s="144" t="inlineStr">
        <is>
          <t>BOX</t>
        </is>
      </c>
      <c r="F3739" s="144" t="inlineStr">
        <is>
          <t>75818P VI</t>
        </is>
      </c>
      <c r="G3739" s="144" t="inlineStr">
        <is>
          <t>BLUE VOLVO</t>
        </is>
      </c>
      <c r="H3739" s="144" t="n">
        <v>1221</v>
      </c>
      <c r="I3739" s="144" t="inlineStr">
        <is>
          <t>COMMERCIAL</t>
        </is>
      </c>
    </row>
    <row r="3740" ht="18" customHeight="1" s="7">
      <c r="A3740" s="144" t="inlineStr">
        <is>
          <t>MATTHEW CHACONAS</t>
        </is>
      </c>
      <c r="B3740" s="144" t="inlineStr">
        <is>
          <t>A61316293 VA</t>
        </is>
      </c>
      <c r="C3740" s="144" t="inlineStr">
        <is>
          <t>PERIMTER SECURITY</t>
        </is>
      </c>
      <c r="D3740" s="144" t="n">
        <v>5713307106</v>
      </c>
      <c r="E3740" s="144" t="inlineStr">
        <is>
          <t>BOX</t>
        </is>
      </c>
      <c r="F3740" s="144" t="inlineStr">
        <is>
          <t>34R047 SD</t>
        </is>
      </c>
      <c r="G3740" s="144" t="inlineStr">
        <is>
          <t>RED FORD</t>
        </is>
      </c>
      <c r="H3740" s="144" t="inlineStr">
        <is>
          <t>GATE 15</t>
        </is>
      </c>
      <c r="I3740" s="144" t="inlineStr">
        <is>
          <t>COMMERCIAL</t>
        </is>
      </c>
    </row>
    <row r="3741" ht="18" customHeight="1" s="7">
      <c r="A3741" s="144" t="inlineStr">
        <is>
          <t>STEVEN WATKINS</t>
        </is>
      </c>
      <c r="B3741" s="144" t="inlineStr">
        <is>
          <t>*054281653 GA</t>
        </is>
      </c>
      <c r="C3741" s="144" t="inlineStr">
        <is>
          <t>DOUGHERTY GLASS</t>
        </is>
      </c>
      <c r="D3741" s="144" t="n">
        <v>2296691069</v>
      </c>
      <c r="E3741" s="144" t="inlineStr">
        <is>
          <t>PU</t>
        </is>
      </c>
      <c r="F3741" s="144" t="inlineStr">
        <is>
          <t>BDS7465 GA</t>
        </is>
      </c>
      <c r="G3741" s="144" t="inlineStr">
        <is>
          <t>WHITE CHEVY</t>
        </is>
      </c>
      <c r="H3741" s="144" t="inlineStr">
        <is>
          <t>HOUSING</t>
        </is>
      </c>
      <c r="I3741" s="144" t="inlineStr">
        <is>
          <t>CONTRACTOR</t>
        </is>
      </c>
    </row>
    <row r="3742" ht="18" customHeight="1" s="7">
      <c r="A3742" s="144" t="inlineStr">
        <is>
          <t>ANTHONY MEDBERY</t>
        </is>
      </c>
      <c r="B3742" s="144" t="inlineStr">
        <is>
          <t>*054245915 GA</t>
        </is>
      </c>
      <c r="C3742" s="144" t="inlineStr">
        <is>
          <t>CARRIER</t>
        </is>
      </c>
      <c r="D3742" s="144" t="n">
        <v>18003796484</v>
      </c>
      <c r="E3742" s="144" t="inlineStr">
        <is>
          <t>VAN</t>
        </is>
      </c>
      <c r="F3742" s="144" t="inlineStr">
        <is>
          <t xml:space="preserve">DBE6873 GA </t>
        </is>
      </c>
      <c r="G3742" s="144" t="inlineStr">
        <is>
          <t>WHITE FORD</t>
        </is>
      </c>
      <c r="H3742" s="144" t="inlineStr">
        <is>
          <t>HOUSING</t>
        </is>
      </c>
      <c r="I3742" s="144" t="inlineStr">
        <is>
          <t>CONTRACTOR</t>
        </is>
      </c>
    </row>
    <row r="3743" ht="18" customHeight="1" s="7">
      <c r="A3743" s="144" t="inlineStr">
        <is>
          <t>DEANGELO KEARSE</t>
        </is>
      </c>
      <c r="B3743" s="144" t="inlineStr">
        <is>
          <t>*056142909 GA</t>
        </is>
      </c>
      <c r="C3743" s="144" t="inlineStr">
        <is>
          <t>FEDEX</t>
        </is>
      </c>
      <c r="D3743" s="144" t="n">
        <v>2299385088</v>
      </c>
      <c r="E3743" s="144" t="inlineStr">
        <is>
          <t>BOX</t>
        </is>
      </c>
      <c r="F3743" s="144" t="inlineStr">
        <is>
          <t>3849242 GA</t>
        </is>
      </c>
      <c r="G3743" s="144" t="inlineStr">
        <is>
          <t>WHITE FREIGHTLINER</t>
        </is>
      </c>
      <c r="H3743" s="144" t="n">
        <v>1221</v>
      </c>
      <c r="I3743" s="144" t="inlineStr">
        <is>
          <t>COMMERCIAL</t>
        </is>
      </c>
    </row>
    <row r="3744" ht="18" customHeight="1" s="7">
      <c r="A3744" s="144" t="inlineStr">
        <is>
          <t>JORGE PARTAGAS</t>
        </is>
      </c>
      <c r="B3744" s="144" t="inlineStr">
        <is>
          <t>P203911805000 FL</t>
        </is>
      </c>
      <c r="C3744" s="144" t="inlineStr">
        <is>
          <t>TRANS ALL INC</t>
        </is>
      </c>
      <c r="D3744" s="144" t="n">
        <v>4074863607</v>
      </c>
      <c r="E3744" s="144" t="inlineStr">
        <is>
          <t>BOX</t>
        </is>
      </c>
      <c r="F3744" s="144" t="inlineStr">
        <is>
          <t>3291895 IN</t>
        </is>
      </c>
      <c r="G3744" s="144" t="inlineStr">
        <is>
          <t>WHITE FRIEGHTLINER</t>
        </is>
      </c>
      <c r="H3744" s="144" t="n">
        <v>1221</v>
      </c>
      <c r="I3744" s="144" t="inlineStr">
        <is>
          <t>COMMERCIAL</t>
        </is>
      </c>
    </row>
    <row r="3745" ht="18" customHeight="1" s="7">
      <c r="A3745" s="144" t="inlineStr">
        <is>
          <t>MOHAMED JAMAL</t>
        </is>
      </c>
      <c r="B3745" s="144" t="inlineStr">
        <is>
          <t>23958204 TX</t>
        </is>
      </c>
      <c r="C3745" s="144" t="inlineStr">
        <is>
          <t>MCLANE</t>
        </is>
      </c>
      <c r="D3745" s="144" t="n">
        <v>8178414688</v>
      </c>
      <c r="E3745" s="144" t="inlineStr">
        <is>
          <t>BOX</t>
        </is>
      </c>
      <c r="F3745" s="144" t="inlineStr">
        <is>
          <t>P966123 IL</t>
        </is>
      </c>
      <c r="G3745" s="144" t="inlineStr">
        <is>
          <t>WHITE FREIGHTLINER</t>
        </is>
      </c>
      <c r="H3745" s="144" t="n">
        <v>7500</v>
      </c>
      <c r="I3745" s="144" t="inlineStr">
        <is>
          <t>COMMERCIAL</t>
        </is>
      </c>
    </row>
    <row r="3746" ht="18" customHeight="1" s="7">
      <c r="A3746" s="144" t="inlineStr">
        <is>
          <t>HUNTER GRAVES</t>
        </is>
      </c>
      <c r="B3746" s="144" t="inlineStr">
        <is>
          <t>*061797397 GA</t>
        </is>
      </c>
      <c r="C3746" s="144" t="inlineStr">
        <is>
          <t>SRM</t>
        </is>
      </c>
      <c r="D3746" s="144" t="n">
        <v>2294344758</v>
      </c>
      <c r="E3746" s="144" t="inlineStr">
        <is>
          <t>MIXER</t>
        </is>
      </c>
      <c r="F3746" s="144" t="inlineStr">
        <is>
          <t>P9567HY TN</t>
        </is>
      </c>
      <c r="G3746" s="144" t="inlineStr">
        <is>
          <t>WHITE KENWORTH</t>
        </is>
      </c>
      <c r="H3746" s="144" t="inlineStr">
        <is>
          <t>GATE 1/5</t>
        </is>
      </c>
      <c r="I3746" s="144" t="inlineStr">
        <is>
          <t>COMMERCIAL</t>
        </is>
      </c>
    </row>
    <row r="3747" ht="18" customHeight="1" s="7">
      <c r="A3747" s="144" t="inlineStr">
        <is>
          <t>DENNIS PRICE</t>
        </is>
      </c>
      <c r="B3747" s="144" t="inlineStr">
        <is>
          <t>*000038706667 NC</t>
        </is>
      </c>
      <c r="C3747" s="144" t="inlineStr">
        <is>
          <t>ROAD TRUCKING</t>
        </is>
      </c>
      <c r="D3747" s="144" t="n">
        <v>7045017556</v>
      </c>
      <c r="E3747" s="144" t="inlineStr">
        <is>
          <t>BOX</t>
        </is>
      </c>
      <c r="F3747" s="144" t="inlineStr">
        <is>
          <t>P782047 SC</t>
        </is>
      </c>
      <c r="G3747" s="144" t="inlineStr">
        <is>
          <t>BLACK PETERBILT</t>
        </is>
      </c>
      <c r="H3747" s="144" t="n">
        <v>1221</v>
      </c>
      <c r="I3747" s="144" t="inlineStr">
        <is>
          <t>COMMERCIAL</t>
        </is>
      </c>
    </row>
    <row r="3748" ht="18" customHeight="1" s="7">
      <c r="A3748" s="144" t="inlineStr">
        <is>
          <t>CHRISTOPHER PIRTLE</t>
        </is>
      </c>
      <c r="B3748" s="144" t="inlineStr">
        <is>
          <t>39057780 TX</t>
        </is>
      </c>
      <c r="C3748" s="144" t="inlineStr">
        <is>
          <t>XLG TRANS</t>
        </is>
      </c>
      <c r="D3748" s="144" t="n">
        <v>6617179817</v>
      </c>
      <c r="E3748" s="144" t="inlineStr">
        <is>
          <t>FLAT</t>
        </is>
      </c>
      <c r="F3748" s="144" t="inlineStr">
        <is>
          <t>2196089 IN</t>
        </is>
      </c>
      <c r="G3748" s="144" t="inlineStr">
        <is>
          <t>YELLOW KENWORTH</t>
        </is>
      </c>
      <c r="H3748" s="144" t="n">
        <v>1221</v>
      </c>
      <c r="I3748" s="144" t="inlineStr">
        <is>
          <t>COMMERCIAL</t>
        </is>
      </c>
    </row>
    <row r="3749" ht="18" customHeight="1" s="7">
      <c r="A3749" s="144" t="inlineStr">
        <is>
          <t>ROSE AARON</t>
        </is>
      </c>
      <c r="B3749" s="144" t="inlineStr">
        <is>
          <t>R200012953491 FL</t>
        </is>
      </c>
      <c r="C3749" s="144" t="inlineStr">
        <is>
          <t>JRW HALLING</t>
        </is>
      </c>
      <c r="D3749" s="144" t="n">
        <v>3863656024</v>
      </c>
      <c r="E3749" s="144" t="inlineStr">
        <is>
          <t>FLAT</t>
        </is>
      </c>
      <c r="F3749" s="144" t="inlineStr">
        <is>
          <t>XE182Y FL</t>
        </is>
      </c>
      <c r="G3749" s="144" t="inlineStr">
        <is>
          <t>SILVER MACK</t>
        </is>
      </c>
      <c r="H3749" s="144" t="n">
        <v>1221</v>
      </c>
      <c r="I3749" s="144" t="inlineStr">
        <is>
          <t>COMMERCIAL</t>
        </is>
      </c>
    </row>
    <row r="3750" ht="18" customHeight="1" s="7">
      <c r="A3750" s="144" t="inlineStr">
        <is>
          <t>PEYTON BRISON</t>
        </is>
      </c>
      <c r="B3750" s="144" t="inlineStr">
        <is>
          <t>*028613663 GA</t>
        </is>
      </c>
      <c r="C3750" s="144" t="inlineStr">
        <is>
          <t>AJ HEAVY</t>
        </is>
      </c>
      <c r="D3750" s="144" t="n">
        <v>6786541199</v>
      </c>
      <c r="E3750" s="144" t="inlineStr">
        <is>
          <t>FLAT</t>
        </is>
      </c>
      <c r="F3750" s="144" t="inlineStr">
        <is>
          <t>C434EU GA</t>
        </is>
      </c>
      <c r="G3750" s="144" t="inlineStr">
        <is>
          <t>BLACK PETERBILT</t>
        </is>
      </c>
      <c r="H3750" s="144" t="n">
        <v>1221</v>
      </c>
      <c r="I3750" s="144" t="inlineStr">
        <is>
          <t>COMMERCIAL</t>
        </is>
      </c>
    </row>
    <row r="3751" ht="18" customHeight="1" s="7">
      <c r="A3751" s="144" t="inlineStr">
        <is>
          <t>AMANUEL PAULOS</t>
        </is>
      </c>
      <c r="B3751" s="144" t="inlineStr">
        <is>
          <t>*056641229 GA</t>
        </is>
      </c>
      <c r="C3751" s="144" t="inlineStr">
        <is>
          <t>AJC HEAVY</t>
        </is>
      </c>
      <c r="D3751" s="144" t="n">
        <v>4077335691</v>
      </c>
      <c r="E3751" s="144" t="inlineStr">
        <is>
          <t>FLAT</t>
        </is>
      </c>
      <c r="F3751" s="144" t="inlineStr">
        <is>
          <t>C807EY GA</t>
        </is>
      </c>
      <c r="G3751" s="144" t="inlineStr">
        <is>
          <t>BLACK  PETERBILT</t>
        </is>
      </c>
      <c r="H3751" s="144" t="n">
        <v>1221</v>
      </c>
      <c r="I3751" s="144" t="inlineStr">
        <is>
          <t>COMMERCIAL</t>
        </is>
      </c>
    </row>
    <row r="3752" ht="18" customHeight="1" s="7">
      <c r="A3752" s="144" t="inlineStr">
        <is>
          <t>AVREY KELLY</t>
        </is>
      </c>
      <c r="B3752" s="144" t="inlineStr">
        <is>
          <t>*049084640 GA</t>
        </is>
      </c>
      <c r="C3752" s="144" t="inlineStr">
        <is>
          <t>KELLY LUXURY</t>
        </is>
      </c>
      <c r="D3752" s="144" t="n">
        <v>7708029743</v>
      </c>
      <c r="E3752" s="144" t="inlineStr">
        <is>
          <t>BOX</t>
        </is>
      </c>
      <c r="F3752" s="144" t="inlineStr">
        <is>
          <t>C689DV GA</t>
        </is>
      </c>
      <c r="G3752" s="144" t="inlineStr">
        <is>
          <t>WHITE WESTERN STAR</t>
        </is>
      </c>
      <c r="H3752" s="144" t="n">
        <v>1221</v>
      </c>
      <c r="I3752" s="144" t="inlineStr">
        <is>
          <t>COMMERCIAL</t>
        </is>
      </c>
    </row>
    <row r="3753" ht="18" customHeight="1" s="7">
      <c r="A3753" s="144" t="inlineStr">
        <is>
          <t>STOINANOV BLAGAEV</t>
        </is>
      </c>
      <c r="B3753" s="144" t="inlineStr">
        <is>
          <t>103834427 SC</t>
        </is>
      </c>
      <c r="C3753" s="144" t="inlineStr">
        <is>
          <t>MA LOGISTICS</t>
        </is>
      </c>
      <c r="D3753" s="144" t="n">
        <v>8035871754</v>
      </c>
      <c r="E3753" s="144" t="inlineStr">
        <is>
          <t>BOX</t>
        </is>
      </c>
      <c r="F3753" s="144" t="inlineStr">
        <is>
          <t>A005770 SC</t>
        </is>
      </c>
      <c r="G3753" s="144" t="inlineStr">
        <is>
          <t>WHITE VOVLO</t>
        </is>
      </c>
      <c r="H3753" s="144" t="n">
        <v>1221</v>
      </c>
      <c r="I3753" s="144" t="inlineStr">
        <is>
          <t>COMMERCIAL</t>
        </is>
      </c>
    </row>
    <row r="3754" ht="18" customHeight="1" s="7">
      <c r="A3754" s="144" t="inlineStr">
        <is>
          <t>ORISME THEOPHILE</t>
        </is>
      </c>
      <c r="B3754" s="144" t="inlineStr">
        <is>
          <t>O226194222000 FL</t>
        </is>
      </c>
      <c r="C3754" s="144" t="inlineStr">
        <is>
          <t>GTS</t>
        </is>
      </c>
      <c r="D3754" s="144" t="n">
        <v>8133309597</v>
      </c>
      <c r="E3754" s="144" t="inlineStr">
        <is>
          <t>BOX</t>
        </is>
      </c>
      <c r="F3754" s="144" t="inlineStr">
        <is>
          <t>P1322554 IL</t>
        </is>
      </c>
      <c r="G3754" s="144" t="inlineStr">
        <is>
          <t>WHITE FREIGHTLINER</t>
        </is>
      </c>
      <c r="H3754" s="144" t="n">
        <v>1221</v>
      </c>
      <c r="I3754" s="144" t="inlineStr">
        <is>
          <t>COMMERCIAL</t>
        </is>
      </c>
    </row>
    <row r="3755" ht="18" customHeight="1" s="7">
      <c r="A3755" s="144" t="inlineStr">
        <is>
          <t>MARK JACKSON</t>
        </is>
      </c>
      <c r="B3755" s="144" t="inlineStr">
        <is>
          <t xml:space="preserve">*055469289 GA </t>
        </is>
      </c>
      <c r="C3755" s="144" t="inlineStr">
        <is>
          <t>THREAD&amp; FASTERS</t>
        </is>
      </c>
      <c r="D3755" s="144" t="n">
        <v>2296028379</v>
      </c>
      <c r="E3755" s="144" t="inlineStr">
        <is>
          <t>PU</t>
        </is>
      </c>
      <c r="F3755" s="144" t="inlineStr">
        <is>
          <t>SGU8830 GA</t>
        </is>
      </c>
      <c r="G3755" s="144" t="inlineStr">
        <is>
          <t>WHITE CHEVY</t>
        </is>
      </c>
      <c r="H3755" s="144" t="n">
        <v>1340</v>
      </c>
      <c r="I3755" s="144" t="inlineStr">
        <is>
          <t>CONTRACTOR</t>
        </is>
      </c>
    </row>
    <row r="3756" ht="18" customHeight="1" s="7">
      <c r="A3756" s="144" t="inlineStr">
        <is>
          <t>MAX PARRISH</t>
        </is>
      </c>
      <c r="B3756" s="144" t="inlineStr">
        <is>
          <t xml:space="preserve">*055832092 GA </t>
        </is>
      </c>
      <c r="C3756" s="144" t="inlineStr">
        <is>
          <t>UNI FIRST</t>
        </is>
      </c>
      <c r="D3756" s="144" t="n">
        <v>2298940787</v>
      </c>
      <c r="E3756" s="144" t="inlineStr">
        <is>
          <t>BOX</t>
        </is>
      </c>
      <c r="F3756" s="144" t="inlineStr">
        <is>
          <t>XJL538 GA</t>
        </is>
      </c>
      <c r="G3756" s="144" t="inlineStr">
        <is>
          <t>GREEN FORD</t>
        </is>
      </c>
      <c r="H3756" s="144" t="n">
        <v>2200</v>
      </c>
      <c r="I3756" s="144" t="inlineStr">
        <is>
          <t>COMMERCIAL</t>
        </is>
      </c>
    </row>
    <row r="3757" ht="18" customHeight="1" s="7">
      <c r="A3757" s="144" t="inlineStr">
        <is>
          <t>LARRY PARKER</t>
        </is>
      </c>
      <c r="B3757" s="144" t="inlineStr">
        <is>
          <t>049214955 GA</t>
        </is>
      </c>
      <c r="C3757" s="144" t="inlineStr">
        <is>
          <t>METROPOWER</t>
        </is>
      </c>
      <c r="D3757" s="144" t="n">
        <v>4702220505</v>
      </c>
      <c r="E3757" s="144" t="inlineStr">
        <is>
          <t>PU</t>
        </is>
      </c>
      <c r="F3757" s="144" t="inlineStr">
        <is>
          <t>RZS6187 GA</t>
        </is>
      </c>
      <c r="G3757" s="144" t="inlineStr">
        <is>
          <t>WHITE CHEV</t>
        </is>
      </c>
      <c r="H3757" s="144" t="n">
        <v>2200</v>
      </c>
      <c r="I3757" s="144" t="inlineStr">
        <is>
          <t>CONTRACTOR</t>
        </is>
      </c>
    </row>
    <row r="3758" ht="18" customHeight="1" s="7">
      <c r="A3758" s="144" t="inlineStr">
        <is>
          <t>NAVARRO NARDEY</t>
        </is>
      </c>
      <c r="B3758" s="144" t="inlineStr">
        <is>
          <t>N160620702860 FL</t>
        </is>
      </c>
      <c r="C3758" s="144" t="inlineStr">
        <is>
          <t>NAHIR TRANS</t>
        </is>
      </c>
      <c r="D3758" s="144" t="n">
        <v>8503787552</v>
      </c>
      <c r="E3758" s="144" t="inlineStr">
        <is>
          <t>FLAT</t>
        </is>
      </c>
      <c r="F3758" s="144" t="inlineStr">
        <is>
          <t>DG64AQ FL</t>
        </is>
      </c>
      <c r="G3758" s="144" t="inlineStr">
        <is>
          <t>WHITE FREIGHTLINER</t>
        </is>
      </c>
      <c r="H3758" s="144" t="n">
        <v>1221</v>
      </c>
      <c r="I3758" s="144" t="inlineStr">
        <is>
          <t>COMMERICAL</t>
        </is>
      </c>
    </row>
    <row r="3759" ht="18" customHeight="1" s="7">
      <c r="A3759" s="144" t="inlineStr">
        <is>
          <t>TEDDOROV MURSAL</t>
        </is>
      </c>
      <c r="B3759" s="144" t="inlineStr">
        <is>
          <t>WDL3BB35J03B WA</t>
        </is>
      </c>
      <c r="C3759" s="144" t="inlineStr">
        <is>
          <t>EAGLE TRANS</t>
        </is>
      </c>
      <c r="D3759" s="144" t="n">
        <v>3607137669</v>
      </c>
      <c r="E3759" s="144" t="inlineStr">
        <is>
          <t>BOX</t>
        </is>
      </c>
      <c r="F3759" s="144" t="inlineStr">
        <is>
          <t>62297RP WA</t>
        </is>
      </c>
      <c r="G3759" s="144" t="inlineStr">
        <is>
          <t>PURPLE VOLVO</t>
        </is>
      </c>
      <c r="H3759" s="144" t="n">
        <v>1221</v>
      </c>
      <c r="I3759" s="144" t="inlineStr">
        <is>
          <t>COMMERICAL</t>
        </is>
      </c>
    </row>
    <row r="3760" ht="18" customHeight="1" s="7">
      <c r="A3760" s="144" t="inlineStr">
        <is>
          <t>QUENDARRIUS DIXON</t>
        </is>
      </c>
      <c r="B3760" s="144" t="inlineStr">
        <is>
          <t>*057244202 GA</t>
        </is>
      </c>
      <c r="C3760" s="144" t="inlineStr">
        <is>
          <t>SUPERIOR CRANES</t>
        </is>
      </c>
      <c r="D3760" s="144" t="n">
        <v>8889977701</v>
      </c>
      <c r="E3760" s="144" t="inlineStr">
        <is>
          <t>FLAT</t>
        </is>
      </c>
      <c r="F3760" s="144" t="inlineStr">
        <is>
          <t>TE1009 NC</t>
        </is>
      </c>
      <c r="G3760" s="144" t="inlineStr">
        <is>
          <t>WHITE KENWORTH</t>
        </is>
      </c>
      <c r="H3760" s="144" t="inlineStr">
        <is>
          <t>GATE 1/5</t>
        </is>
      </c>
      <c r="I3760" s="144" t="inlineStr">
        <is>
          <t>COMMERCIAL</t>
        </is>
      </c>
    </row>
    <row r="3761" ht="18" customHeight="1" s="7">
      <c r="A3761" s="144" t="inlineStr">
        <is>
          <t>MARK VAUGHN</t>
        </is>
      </c>
      <c r="B3761" s="144" t="inlineStr">
        <is>
          <t>*055033228 GA</t>
        </is>
      </c>
      <c r="C3761" s="144" t="inlineStr">
        <is>
          <t>MARK TITLES</t>
        </is>
      </c>
      <c r="D3761" s="144" t="n">
        <v>913276468</v>
      </c>
      <c r="E3761" s="144" t="inlineStr">
        <is>
          <t>PU</t>
        </is>
      </c>
      <c r="F3761" s="144" t="inlineStr">
        <is>
          <t>RTT8965 GA</t>
        </is>
      </c>
      <c r="G3761" s="144" t="inlineStr">
        <is>
          <t>TAN FORD</t>
        </is>
      </c>
      <c r="H3761" s="144" t="n">
        <v>7450</v>
      </c>
      <c r="I3761" s="144" t="inlineStr">
        <is>
          <t>CONTRACTOR</t>
        </is>
      </c>
    </row>
    <row r="3762" ht="18" customHeight="1" s="7">
      <c r="A3762" s="144" t="inlineStr">
        <is>
          <t>JONATHAN JONES JR</t>
        </is>
      </c>
      <c r="B3762" s="144" t="inlineStr">
        <is>
          <t>*059629980 GA</t>
        </is>
      </c>
      <c r="C3762" s="144" t="inlineStr">
        <is>
          <t>AKRIEGE DEERS</t>
        </is>
      </c>
      <c r="D3762" s="144" t="n">
        <v>2298866390</v>
      </c>
      <c r="E3762" s="144" t="inlineStr">
        <is>
          <t>PU</t>
        </is>
      </c>
      <c r="F3762" s="144" t="inlineStr">
        <is>
          <t>XWH064 GA</t>
        </is>
      </c>
      <c r="G3762" s="144" t="inlineStr">
        <is>
          <t>GRAY FORD</t>
        </is>
      </c>
      <c r="H3762" s="144" t="n">
        <v>7450</v>
      </c>
      <c r="I3762" s="144" t="inlineStr">
        <is>
          <t>CONTRACTOR</t>
        </is>
      </c>
    </row>
    <row r="3763" ht="18" customHeight="1" s="7">
      <c r="A3763" s="144" t="inlineStr">
        <is>
          <t>BLAKE BARLOW</t>
        </is>
      </c>
      <c r="B3763" s="144" t="inlineStr">
        <is>
          <t>*058441965 GA</t>
        </is>
      </c>
      <c r="C3763" s="144" t="inlineStr">
        <is>
          <t>SOWEGA</t>
        </is>
      </c>
      <c r="D3763" s="144" t="n">
        <v>2293763598</v>
      </c>
      <c r="E3763" s="144" t="inlineStr">
        <is>
          <t>PU</t>
        </is>
      </c>
      <c r="F3763" s="144" t="inlineStr">
        <is>
          <t>GLA967 GA</t>
        </is>
      </c>
      <c r="G3763" s="144" t="inlineStr">
        <is>
          <t>WHITE FORD</t>
        </is>
      </c>
      <c r="H3763" s="144" t="inlineStr">
        <is>
          <t>WELL 5</t>
        </is>
      </c>
      <c r="I3763" s="144" t="inlineStr">
        <is>
          <t>CONTRACTOR</t>
        </is>
      </c>
    </row>
    <row r="3764" ht="18" customHeight="1" s="7">
      <c r="A3764" s="144" t="inlineStr">
        <is>
          <t>REYES TELLO</t>
        </is>
      </c>
      <c r="B3764" s="144" t="inlineStr">
        <is>
          <t>*059286100 GA</t>
        </is>
      </c>
      <c r="C3764" s="144" t="inlineStr">
        <is>
          <t>WEATHERROD</t>
        </is>
      </c>
      <c r="D3764" s="144" t="n">
        <v>2298542261</v>
      </c>
      <c r="E3764" s="144" t="inlineStr">
        <is>
          <t>PU</t>
        </is>
      </c>
      <c r="F3764" s="144" t="inlineStr">
        <is>
          <t>TFN2529 GA</t>
        </is>
      </c>
      <c r="G3764" s="144" t="inlineStr">
        <is>
          <t>WHITE DODGE</t>
        </is>
      </c>
      <c r="H3764" s="144" t="n">
        <v>7150</v>
      </c>
      <c r="I3764" s="144" t="inlineStr">
        <is>
          <t>CONTRACTOR</t>
        </is>
      </c>
    </row>
    <row r="3765" ht="18" customHeight="1" s="7">
      <c r="A3765" s="144" t="inlineStr">
        <is>
          <t>NAZIM BAKIROV</t>
        </is>
      </c>
      <c r="B3765" s="144" t="inlineStr">
        <is>
          <t>WDL5TZZC103B WA</t>
        </is>
      </c>
      <c r="C3765" s="144" t="inlineStr">
        <is>
          <t>BNR</t>
        </is>
      </c>
      <c r="D3765" s="144" t="n">
        <v>5039270704</v>
      </c>
      <c r="E3765" s="144" t="inlineStr">
        <is>
          <t>FLAT</t>
        </is>
      </c>
      <c r="F3765" s="144" t="inlineStr">
        <is>
          <t>RP23455 WA</t>
        </is>
      </c>
      <c r="G3765" s="144" t="inlineStr">
        <is>
          <t>GREEN VOLVO</t>
        </is>
      </c>
      <c r="H3765" s="144" t="n">
        <v>1221</v>
      </c>
      <c r="I3765" s="144" t="inlineStr">
        <is>
          <t>COMMERCIAL</t>
        </is>
      </c>
    </row>
    <row r="3766" ht="18" customHeight="1" s="7">
      <c r="A3766" s="144" t="inlineStr">
        <is>
          <t>DAVID MCNEIL</t>
        </is>
      </c>
      <c r="B3766" s="144" t="inlineStr">
        <is>
          <t>21747634 PA</t>
        </is>
      </c>
      <c r="C3766" s="144" t="inlineStr">
        <is>
          <t>PARIS FREIGHT</t>
        </is>
      </c>
      <c r="D3766" s="144" t="n">
        <v>2674010954</v>
      </c>
      <c r="E3766" s="144" t="inlineStr">
        <is>
          <t>BOX</t>
        </is>
      </c>
      <c r="F3766" s="144" t="inlineStr">
        <is>
          <t>P1310561 IL</t>
        </is>
      </c>
      <c r="G3766" s="144" t="inlineStr">
        <is>
          <t>WHITE VOLCO</t>
        </is>
      </c>
      <c r="H3766" s="144" t="n">
        <v>1221</v>
      </c>
      <c r="I3766" s="144" t="inlineStr">
        <is>
          <t>COMMERCIAL</t>
        </is>
      </c>
    </row>
    <row r="3767" ht="18" customHeight="1" s="7">
      <c r="A3767" s="144" t="inlineStr">
        <is>
          <t>DORZEME AUGUSTIN</t>
        </is>
      </c>
      <c r="B3767" s="144" t="inlineStr">
        <is>
          <t>D625000640920 FL</t>
        </is>
      </c>
      <c r="C3767" s="144" t="inlineStr">
        <is>
          <t>NICE GUYS</t>
        </is>
      </c>
      <c r="D3767" s="144" t="n">
        <v>5616312053</v>
      </c>
      <c r="E3767" s="144" t="inlineStr">
        <is>
          <t>BOX</t>
        </is>
      </c>
      <c r="F3767" s="144" t="inlineStr">
        <is>
          <t>P1160227 IL</t>
        </is>
      </c>
      <c r="G3767" s="144" t="inlineStr">
        <is>
          <t>WHITE PETERBILT</t>
        </is>
      </c>
      <c r="H3767" s="144" t="n">
        <v>1221</v>
      </c>
      <c r="I3767" s="144" t="inlineStr">
        <is>
          <t>COMMERCIAL</t>
        </is>
      </c>
    </row>
    <row r="3768" ht="18" customHeight="1" s="7">
      <c r="A3768" s="144" t="inlineStr">
        <is>
          <t>LUIS LENS</t>
        </is>
      </c>
      <c r="B3768" s="144" t="inlineStr">
        <is>
          <t>H14318542 NB</t>
        </is>
      </c>
      <c r="C3768" s="144" t="inlineStr">
        <is>
          <t>KAINAT</t>
        </is>
      </c>
      <c r="D3768" s="144" t="n">
        <v>2067753215</v>
      </c>
      <c r="E3768" s="144" t="inlineStr">
        <is>
          <t>FLAT</t>
        </is>
      </c>
      <c r="F3768" s="144" t="inlineStr">
        <is>
          <t>3887328 IN</t>
        </is>
      </c>
      <c r="G3768" s="144" t="inlineStr">
        <is>
          <t>WHITE VOLVO</t>
        </is>
      </c>
      <c r="H3768" s="144" t="n">
        <v>1221</v>
      </c>
      <c r="I3768" s="144" t="inlineStr">
        <is>
          <t>COMMERICAL</t>
        </is>
      </c>
    </row>
    <row r="3769" ht="18" customHeight="1" s="7">
      <c r="A3769" s="144" t="inlineStr">
        <is>
          <t>CARSON DRAWDY</t>
        </is>
      </c>
      <c r="B3769" s="144" t="inlineStr">
        <is>
          <t>055663164 GA</t>
        </is>
      </c>
      <c r="C3769" s="144" t="inlineStr">
        <is>
          <t>SOUTHEAST</t>
        </is>
      </c>
      <c r="D3769" s="144" t="n">
        <v>2294028230</v>
      </c>
      <c r="E3769" s="144" t="inlineStr">
        <is>
          <t>BOX</t>
        </is>
      </c>
      <c r="F3769" s="144" t="inlineStr">
        <is>
          <t>S9557HY TN</t>
        </is>
      </c>
      <c r="G3769" s="144" t="inlineStr">
        <is>
          <t>RED VOLVO</t>
        </is>
      </c>
      <c r="H3769" s="144" t="n">
        <v>1221</v>
      </c>
      <c r="I3769" s="144" t="inlineStr">
        <is>
          <t>COMMERICAL</t>
        </is>
      </c>
    </row>
    <row r="3770" ht="18" customHeight="1" s="7">
      <c r="A3770" s="144" t="inlineStr">
        <is>
          <t>BRAIN CUTTINO</t>
        </is>
      </c>
      <c r="B3770" s="144" t="inlineStr">
        <is>
          <t>107626379 SC</t>
        </is>
      </c>
      <c r="C3770" s="144" t="inlineStr">
        <is>
          <t>A&amp;C TRUCKING</t>
        </is>
      </c>
      <c r="D3770" s="144" t="n">
        <v>9734186192</v>
      </c>
      <c r="E3770" s="144" t="inlineStr">
        <is>
          <t>PU</t>
        </is>
      </c>
      <c r="F3770" s="144" t="inlineStr">
        <is>
          <t>XRGJ76 NJ</t>
        </is>
      </c>
      <c r="G3770" s="144" t="inlineStr">
        <is>
          <t>WHITE DODGE</t>
        </is>
      </c>
      <c r="H3770" s="144" t="n">
        <v>1221</v>
      </c>
      <c r="I3770" s="144" t="inlineStr">
        <is>
          <t>CONTRACTOR</t>
        </is>
      </c>
    </row>
    <row r="3771" ht="18" customHeight="1" s="7">
      <c r="A3771" s="144" t="inlineStr">
        <is>
          <t>KWAME SCOTT</t>
        </is>
      </c>
      <c r="B3771" s="144" t="inlineStr">
        <is>
          <t>S300501762811 FL</t>
        </is>
      </c>
      <c r="C3771" s="144" t="inlineStr">
        <is>
          <t>WILLIAMS BROS</t>
        </is>
      </c>
      <c r="D3771" s="144" t="n">
        <v>3862092306</v>
      </c>
      <c r="E3771" s="144" t="inlineStr">
        <is>
          <t>FLAT</t>
        </is>
      </c>
      <c r="F3771" s="144" t="inlineStr">
        <is>
          <t>P783402 SC</t>
        </is>
      </c>
      <c r="G3771" s="144" t="inlineStr">
        <is>
          <t>ORANGE VOLVO</t>
        </is>
      </c>
      <c r="H3771" s="144" t="n">
        <v>1221</v>
      </c>
      <c r="I3771" s="144" t="inlineStr">
        <is>
          <t>COMMERICAL</t>
        </is>
      </c>
    </row>
    <row r="3772" ht="18" customHeight="1" s="7">
      <c r="A3772" s="144" t="inlineStr">
        <is>
          <t>CHAVEZ RAUL</t>
        </is>
      </c>
      <c r="B3772" s="144" t="inlineStr">
        <is>
          <t>C12272077331 IL</t>
        </is>
      </c>
      <c r="C3772" s="144" t="inlineStr">
        <is>
          <t>ISHAI</t>
        </is>
      </c>
      <c r="D3772" s="144" t="n">
        <v>4048083364</v>
      </c>
      <c r="E3772" s="144" t="inlineStr">
        <is>
          <t>PU</t>
        </is>
      </c>
      <c r="F3772" s="144" t="inlineStr">
        <is>
          <t>SEB0721 GA</t>
        </is>
      </c>
      <c r="G3772" s="144" t="inlineStr">
        <is>
          <t>WHITE FORD</t>
        </is>
      </c>
      <c r="H3772" s="144" t="n">
        <v>7150</v>
      </c>
      <c r="I3772" s="144" t="inlineStr">
        <is>
          <t>CONTRACTOR</t>
        </is>
      </c>
    </row>
    <row r="3773" ht="18" customHeight="1" s="7">
      <c r="A3773" s="144" t="inlineStr">
        <is>
          <t>MATTHEW ROGERS</t>
        </is>
      </c>
      <c r="B3773" s="144" t="inlineStr">
        <is>
          <t>054163783 GA</t>
        </is>
      </c>
      <c r="C3773" s="144" t="inlineStr">
        <is>
          <t>FEDEX</t>
        </is>
      </c>
      <c r="D3773" s="144" t="n">
        <v>2294496110</v>
      </c>
      <c r="E3773" s="144" t="inlineStr">
        <is>
          <t>BOX</t>
        </is>
      </c>
      <c r="F3773" s="144" t="inlineStr">
        <is>
          <t>3062840 IN</t>
        </is>
      </c>
      <c r="G3773" s="144" t="inlineStr">
        <is>
          <t>WHITE KENWORTH</t>
        </is>
      </c>
      <c r="H3773" s="144" t="n">
        <v>1220</v>
      </c>
      <c r="I3773" s="144" t="inlineStr">
        <is>
          <t>COMMERICAL</t>
        </is>
      </c>
    </row>
    <row r="3774" ht="18" customHeight="1" s="7">
      <c r="A3774" s="144" t="inlineStr">
        <is>
          <t>CRIAG FLOYD</t>
        </is>
      </c>
      <c r="B3774" s="144" t="inlineStr">
        <is>
          <t>U081918033 AR</t>
        </is>
      </c>
      <c r="C3774" s="144" t="inlineStr">
        <is>
          <t>WRIGHT EXPRESS</t>
        </is>
      </c>
      <c r="D3774" s="144" t="n">
        <v>7174242368</v>
      </c>
      <c r="E3774" s="144" t="inlineStr">
        <is>
          <t>BOX</t>
        </is>
      </c>
      <c r="F3774" s="144" t="inlineStr">
        <is>
          <t>AH18104 PA</t>
        </is>
      </c>
      <c r="G3774" s="144" t="inlineStr">
        <is>
          <t>WHITE FREIGHTLINER</t>
        </is>
      </c>
      <c r="H3774" s="144" t="n">
        <v>1221</v>
      </c>
      <c r="I3774" s="144" t="inlineStr">
        <is>
          <t>COMMERICAL</t>
        </is>
      </c>
    </row>
    <row r="3775" ht="18" customHeight="1" s="7">
      <c r="A3775" s="144" t="inlineStr">
        <is>
          <t>DERRICK WEST</t>
        </is>
      </c>
      <c r="B3775" s="144" t="inlineStr">
        <is>
          <t>050481941 GA</t>
        </is>
      </c>
      <c r="C3775" s="144" t="inlineStr">
        <is>
          <t>LINDER TURF</t>
        </is>
      </c>
      <c r="D3775" s="144" t="n">
        <v>6783335645</v>
      </c>
      <c r="E3775" s="144" t="inlineStr">
        <is>
          <t>PU</t>
        </is>
      </c>
      <c r="F3775" s="144" t="inlineStr">
        <is>
          <t>GIM428 GA</t>
        </is>
      </c>
      <c r="G3775" s="144" t="inlineStr">
        <is>
          <t>BLACK DODGE</t>
        </is>
      </c>
      <c r="H3775" s="144" t="inlineStr">
        <is>
          <t>POWERWORKS</t>
        </is>
      </c>
      <c r="I3775" s="144" t="inlineStr">
        <is>
          <t>CONTRACTOR</t>
        </is>
      </c>
    </row>
    <row r="3776" ht="18" customHeight="1" s="7">
      <c r="A3776" s="144" t="inlineStr">
        <is>
          <t>NGUETTA SAPIM</t>
        </is>
      </c>
      <c r="B3776" s="144" t="inlineStr">
        <is>
          <t>065689313 GA</t>
        </is>
      </c>
      <c r="C3776" s="144" t="inlineStr">
        <is>
          <t>CONCORD</t>
        </is>
      </c>
      <c r="D3776" s="144" t="n">
        <v>6785893696</v>
      </c>
      <c r="E3776" s="144" t="inlineStr">
        <is>
          <t>BOX</t>
        </is>
      </c>
      <c r="F3776" s="144" t="inlineStr">
        <is>
          <t>P1323762 IL</t>
        </is>
      </c>
      <c r="G3776" s="144" t="inlineStr">
        <is>
          <t>WHITE FREIGHTLINER</t>
        </is>
      </c>
      <c r="H3776" s="144" t="n">
        <v>1221</v>
      </c>
      <c r="I3776" s="144" t="inlineStr">
        <is>
          <t>COMMERICAL</t>
        </is>
      </c>
    </row>
    <row r="3777" ht="18" customHeight="1" s="7">
      <c r="A3777" s="144" t="inlineStr">
        <is>
          <t>MAURICE HENDERSON</t>
        </is>
      </c>
      <c r="B3777" s="144" t="inlineStr">
        <is>
          <t>F615734</t>
        </is>
      </c>
      <c r="C3777" s="144" t="inlineStr">
        <is>
          <t>SENTRA</t>
        </is>
      </c>
      <c r="D3777" s="144" t="n">
        <v>2402179743</v>
      </c>
      <c r="E3777" s="144" t="inlineStr">
        <is>
          <t>BOX</t>
        </is>
      </c>
      <c r="F3777" s="144" t="inlineStr">
        <is>
          <t>RC 48175 MI</t>
        </is>
      </c>
      <c r="G3777" s="144" t="inlineStr">
        <is>
          <t>WHITE FREIGHTLINER</t>
        </is>
      </c>
      <c r="H3777" s="144" t="n">
        <v>1221</v>
      </c>
      <c r="I3777" s="144" t="inlineStr">
        <is>
          <t>COMMERICAL</t>
        </is>
      </c>
    </row>
    <row r="3778" ht="18" customHeight="1" s="7">
      <c r="A3778" s="144" t="inlineStr">
        <is>
          <t>DERICK BLALOCK</t>
        </is>
      </c>
      <c r="B3778" s="144" t="inlineStr">
        <is>
          <t>00000739035 NC</t>
        </is>
      </c>
      <c r="C3778" s="144" t="inlineStr">
        <is>
          <t>CLASSIC</t>
        </is>
      </c>
      <c r="D3778" s="144" t="n">
        <v>7044939283</v>
      </c>
      <c r="E3778" s="144" t="inlineStr">
        <is>
          <t>BOX</t>
        </is>
      </c>
      <c r="F3778" s="144" t="inlineStr">
        <is>
          <t>DD4603 NC</t>
        </is>
      </c>
      <c r="G3778" s="144" t="inlineStr">
        <is>
          <t>WHITE FREIGHTLINER</t>
        </is>
      </c>
      <c r="H3778" s="144" t="n">
        <v>1221</v>
      </c>
      <c r="I3778" s="144" t="inlineStr">
        <is>
          <t>COMMERICAL</t>
        </is>
      </c>
    </row>
    <row r="3779" ht="18" customHeight="1" s="7">
      <c r="A3779" s="144" t="inlineStr">
        <is>
          <t>ANDE TEDROS</t>
        </is>
      </c>
      <c r="B3779" s="144" t="inlineStr">
        <is>
          <t>43500189 TX</t>
        </is>
      </c>
      <c r="C3779" s="144" t="inlineStr">
        <is>
          <t>AJU TRUCKING</t>
        </is>
      </c>
      <c r="D3779" s="144" t="n">
        <v>4133284282</v>
      </c>
      <c r="E3779" s="144" t="inlineStr">
        <is>
          <t>BOX</t>
        </is>
      </c>
      <c r="F3779" s="144" t="inlineStr">
        <is>
          <t>R814756 TX</t>
        </is>
      </c>
      <c r="G3779" s="144" t="inlineStr">
        <is>
          <t>BLUE FREIGHTLINER</t>
        </is>
      </c>
      <c r="H3779" s="144" t="n">
        <v>1221</v>
      </c>
      <c r="I3779" s="144" t="inlineStr">
        <is>
          <t>COMMERICAL</t>
        </is>
      </c>
    </row>
    <row r="3780" ht="18" customHeight="1" s="7">
      <c r="A3780" s="144" t="inlineStr">
        <is>
          <t>KEITH EVANS</t>
        </is>
      </c>
      <c r="B3780" s="144" t="inlineStr">
        <is>
          <t>54008935 GA</t>
        </is>
      </c>
      <c r="C3780" s="144" t="inlineStr">
        <is>
          <t>ALBANY ELEVATOR</t>
        </is>
      </c>
      <c r="D3780" s="144" t="n">
        <v>2293763329</v>
      </c>
      <c r="E3780" s="144" t="inlineStr">
        <is>
          <t>PU</t>
        </is>
      </c>
      <c r="F3780" s="144" t="inlineStr">
        <is>
          <t>CKM5612 GA</t>
        </is>
      </c>
      <c r="G3780" s="144" t="inlineStr">
        <is>
          <t>WHITE CHEV</t>
        </is>
      </c>
      <c r="H3780" s="144" t="n">
        <v>7450</v>
      </c>
      <c r="I3780" s="144" t="inlineStr">
        <is>
          <t>CONTRACTOR</t>
        </is>
      </c>
    </row>
    <row r="3781" ht="18" customHeight="1" s="7">
      <c r="A3781" s="144" t="inlineStr">
        <is>
          <t>FOSTER TAMMY</t>
        </is>
      </c>
      <c r="B3781" s="144" t="inlineStr">
        <is>
          <t>000027113011 NC</t>
        </is>
      </c>
      <c r="C3781" s="144" t="inlineStr">
        <is>
          <t>AD TRANS</t>
        </is>
      </c>
      <c r="D3781" s="144" t="n">
        <v>2526766335</v>
      </c>
      <c r="E3781" s="144" t="inlineStr">
        <is>
          <t>BOX</t>
        </is>
      </c>
      <c r="F3781" s="144" t="inlineStr">
        <is>
          <t>RC40251 MI</t>
        </is>
      </c>
      <c r="G3781" s="144" t="inlineStr">
        <is>
          <t>SILVER KENWORTH</t>
        </is>
      </c>
      <c r="H3781" s="144" t="n">
        <v>1351</v>
      </c>
      <c r="I3781" s="144" t="inlineStr">
        <is>
          <t>COMMERCIAL</t>
        </is>
      </c>
    </row>
    <row r="3782" ht="18" customHeight="1" s="7">
      <c r="A3782" s="144" t="inlineStr">
        <is>
          <t>WILLIAMS MICHAEL</t>
        </is>
      </c>
      <c r="B3782" s="144" t="inlineStr">
        <is>
          <t>*000010077032 NC</t>
        </is>
      </c>
      <c r="C3782" s="144" t="inlineStr">
        <is>
          <t>CARGO</t>
        </is>
      </c>
      <c r="D3782" s="144" t="n">
        <v>9097584332</v>
      </c>
      <c r="E3782" s="144" t="inlineStr">
        <is>
          <t>BOX</t>
        </is>
      </c>
      <c r="F3782" s="144" t="inlineStr">
        <is>
          <t>3416999 IN</t>
        </is>
      </c>
      <c r="G3782" s="144" t="inlineStr">
        <is>
          <t>WHITE FREIGHTLINER</t>
        </is>
      </c>
      <c r="H3782" s="144" t="n">
        <v>1351</v>
      </c>
      <c r="I3782" s="144" t="inlineStr">
        <is>
          <t>COMMERCIAL</t>
        </is>
      </c>
    </row>
    <row r="3783" ht="18" customHeight="1" s="7">
      <c r="A3783" s="144" t="inlineStr">
        <is>
          <t>JOHN MATHIS</t>
        </is>
      </c>
      <c r="B3783" s="144" t="inlineStr">
        <is>
          <t>*059460674 GA</t>
        </is>
      </c>
      <c r="C3783" s="144" t="inlineStr">
        <is>
          <t>YANCEY RENTALS</t>
        </is>
      </c>
      <c r="D3783" s="144" t="n">
        <v>2295202745</v>
      </c>
      <c r="E3783" s="144" t="inlineStr">
        <is>
          <t>PU</t>
        </is>
      </c>
      <c r="F3783" s="144" t="inlineStr">
        <is>
          <t>WQV303 GA</t>
        </is>
      </c>
      <c r="G3783" s="144" t="inlineStr">
        <is>
          <t>WHITE DODGE</t>
        </is>
      </c>
      <c r="H3783" s="144" t="n">
        <v>7450</v>
      </c>
      <c r="I3783" s="144" t="inlineStr">
        <is>
          <t>CONTRACTOR</t>
        </is>
      </c>
    </row>
    <row r="3784" ht="18" customHeight="1" s="7">
      <c r="A3784" s="144" t="inlineStr">
        <is>
          <t>ADAM TAYLOR</t>
        </is>
      </c>
      <c r="B3784" s="144" t="inlineStr">
        <is>
          <t>*049174757 GA</t>
        </is>
      </c>
      <c r="C3784" s="144" t="inlineStr">
        <is>
          <t>TAYLOR LIGHTNING</t>
        </is>
      </c>
      <c r="D3784" s="144" t="n">
        <v>8778427887</v>
      </c>
      <c r="E3784" s="144" t="inlineStr">
        <is>
          <t>PU</t>
        </is>
      </c>
      <c r="F3784" s="144" t="inlineStr">
        <is>
          <t>58DQGGA FL</t>
        </is>
      </c>
      <c r="G3784" s="144" t="inlineStr">
        <is>
          <t>WHITE FORD</t>
        </is>
      </c>
      <c r="H3784" s="144" t="inlineStr">
        <is>
          <t>K9</t>
        </is>
      </c>
      <c r="I3784" s="144" t="inlineStr">
        <is>
          <t>CONTRACTOR</t>
        </is>
      </c>
    </row>
    <row r="3785" ht="18" customHeight="1" s="7">
      <c r="A3785" s="144" t="inlineStr">
        <is>
          <t>JAMES JOHNSON</t>
        </is>
      </c>
      <c r="B3785" s="144" t="inlineStr">
        <is>
          <t>*055258572 GA</t>
        </is>
      </c>
      <c r="C3785" s="144" t="inlineStr">
        <is>
          <t>SOUTHWEST GEORGIA</t>
        </is>
      </c>
      <c r="D3785" s="144" t="n">
        <v>2298097231</v>
      </c>
      <c r="E3785" s="144" t="inlineStr">
        <is>
          <t>VAN</t>
        </is>
      </c>
      <c r="F3785" s="144" t="inlineStr">
        <is>
          <t>GV7667T GA</t>
        </is>
      </c>
      <c r="G3785" s="144" t="inlineStr">
        <is>
          <t>WHITE TRANSIT</t>
        </is>
      </c>
      <c r="H3785" s="144" t="inlineStr">
        <is>
          <t>BASE WIDE</t>
        </is>
      </c>
      <c r="I3785" s="144" t="inlineStr">
        <is>
          <t>COMMERCIAL</t>
        </is>
      </c>
    </row>
    <row r="3786" ht="18" customHeight="1" s="7">
      <c r="A3786" s="144" t="inlineStr">
        <is>
          <t>BOBBY LANFORD</t>
        </is>
      </c>
      <c r="B3786" s="144" t="inlineStr">
        <is>
          <t>*004201965 GA</t>
        </is>
      </c>
      <c r="C3786" s="144" t="inlineStr">
        <is>
          <t>JOENESCO</t>
        </is>
      </c>
      <c r="D3786" s="144" t="n">
        <v>4783610055</v>
      </c>
      <c r="E3786" s="144" t="inlineStr">
        <is>
          <t>PU</t>
        </is>
      </c>
      <c r="F3786" s="144" t="inlineStr">
        <is>
          <t>SKC3700</t>
        </is>
      </c>
      <c r="G3786" s="144" t="inlineStr">
        <is>
          <t>RED DODGE</t>
        </is>
      </c>
      <c r="H3786" s="144" t="inlineStr">
        <is>
          <t>AUTO SHOP</t>
        </is>
      </c>
      <c r="I3786" s="144" t="inlineStr">
        <is>
          <t>CONTRACTOR</t>
        </is>
      </c>
    </row>
    <row r="3787" ht="18" customHeight="1" s="7">
      <c r="A3787" s="144" t="inlineStr">
        <is>
          <t>HUJOW HASSAN</t>
        </is>
      </c>
      <c r="B3787" s="144" t="inlineStr">
        <is>
          <t>H13848631  NB</t>
        </is>
      </c>
      <c r="C3787" s="144" t="inlineStr">
        <is>
          <t>EWAYS</t>
        </is>
      </c>
      <c r="D3787" s="144" t="n">
        <v>5312507233</v>
      </c>
      <c r="E3787" s="144" t="inlineStr">
        <is>
          <t>BOX</t>
        </is>
      </c>
      <c r="F3787" s="144" t="inlineStr">
        <is>
          <t>432253 NB</t>
        </is>
      </c>
      <c r="G3787" s="144" t="inlineStr">
        <is>
          <t>RED INTERNATIONAL</t>
        </is>
      </c>
      <c r="H3787" s="144" t="n">
        <v>1221</v>
      </c>
      <c r="I3787" s="144" t="inlineStr">
        <is>
          <t>COMMERCIAL</t>
        </is>
      </c>
    </row>
    <row r="3788" ht="18" customHeight="1" s="7">
      <c r="A3788" s="144" t="inlineStr">
        <is>
          <t>FITCH PATRICK</t>
        </is>
      </c>
      <c r="B3788" s="144" t="inlineStr">
        <is>
          <t>059741993 TN</t>
        </is>
      </c>
      <c r="C3788" s="144" t="inlineStr">
        <is>
          <t>MAYBACH</t>
        </is>
      </c>
      <c r="D3788" s="144" t="n">
        <v>9015600510</v>
      </c>
      <c r="E3788" s="144" t="inlineStr">
        <is>
          <t>BOX</t>
        </is>
      </c>
      <c r="F3788" s="144" t="inlineStr">
        <is>
          <t>P1323754 IL</t>
        </is>
      </c>
      <c r="G3788" s="144" t="inlineStr">
        <is>
          <t>WHITE FREIGHTLINER</t>
        </is>
      </c>
      <c r="H3788" s="144" t="n">
        <v>7450</v>
      </c>
      <c r="I3788" s="144" t="inlineStr">
        <is>
          <t>COMMERCIAL</t>
        </is>
      </c>
    </row>
    <row r="3789" ht="18" customHeight="1" s="7">
      <c r="A3789" s="144" t="inlineStr">
        <is>
          <t>JULIO FONSECA</t>
        </is>
      </c>
      <c r="B3789" s="144" t="inlineStr">
        <is>
          <t>*070162362 GA</t>
        </is>
      </c>
      <c r="C3789" s="144" t="inlineStr">
        <is>
          <t>MEDIACOM</t>
        </is>
      </c>
      <c r="D3789" s="144" t="n">
        <v>6789965769</v>
      </c>
      <c r="E3789" s="144" t="inlineStr">
        <is>
          <t>PU</t>
        </is>
      </c>
      <c r="F3789" s="144" t="inlineStr">
        <is>
          <t>DBU3534 GA</t>
        </is>
      </c>
      <c r="G3789" s="144" t="inlineStr">
        <is>
          <t>WHITE DODGE</t>
        </is>
      </c>
      <c r="H3789" s="144" t="inlineStr">
        <is>
          <t>HOUSING</t>
        </is>
      </c>
      <c r="I3789" s="144" t="inlineStr">
        <is>
          <t>CONTRACTOR</t>
        </is>
      </c>
    </row>
    <row r="3790" ht="18" customHeight="1" s="7">
      <c r="A3790" s="144" t="inlineStr">
        <is>
          <t>CHRISTIAN DILEMBONO</t>
        </is>
      </c>
      <c r="B3790" s="144" t="inlineStr">
        <is>
          <t>*056614935 GA</t>
        </is>
      </c>
      <c r="C3790" s="144" t="inlineStr">
        <is>
          <t>CHRISDI TRUCKING</t>
        </is>
      </c>
      <c r="D3790" s="144" t="n">
        <v>7013340296</v>
      </c>
      <c r="E3790" s="144" t="inlineStr">
        <is>
          <t>BOX</t>
        </is>
      </c>
      <c r="F3790" s="144" t="inlineStr">
        <is>
          <t>C793CT GA</t>
        </is>
      </c>
      <c r="G3790" s="144" t="inlineStr">
        <is>
          <t>WHITE FREIGHTLINER</t>
        </is>
      </c>
      <c r="H3790" s="144" t="n">
        <v>1221</v>
      </c>
      <c r="I3790" s="144" t="inlineStr">
        <is>
          <t>COMMERCIAL</t>
        </is>
      </c>
    </row>
    <row r="3791" ht="18" customHeight="1" s="7">
      <c r="A3791" s="144" t="inlineStr">
        <is>
          <t>BURTON CHARLIE</t>
        </is>
      </c>
      <c r="B3791" s="144" t="inlineStr">
        <is>
          <t>*053557947 GA</t>
        </is>
      </c>
      <c r="C3791" s="144" t="inlineStr">
        <is>
          <t>MB CARRIERS</t>
        </is>
      </c>
      <c r="D3791" s="144" t="n">
        <v>4049090017</v>
      </c>
      <c r="E3791" s="144" t="inlineStr">
        <is>
          <t>VAN</t>
        </is>
      </c>
      <c r="F3791" s="144" t="inlineStr">
        <is>
          <t>CKS3326 GA</t>
        </is>
      </c>
      <c r="G3791" s="144" t="inlineStr">
        <is>
          <t>WHITE NISSAN</t>
        </is>
      </c>
      <c r="H3791" s="144" t="n">
        <v>1221</v>
      </c>
      <c r="I3791" s="144" t="inlineStr">
        <is>
          <t>CONTRACTOR</t>
        </is>
      </c>
    </row>
    <row r="3792" ht="18" customHeight="1" s="7">
      <c r="A3792" s="144" t="inlineStr">
        <is>
          <t>GABRIELLA CATALANOTTO</t>
        </is>
      </c>
      <c r="B3792" s="144" t="inlineStr">
        <is>
          <t>C345294997910 FL</t>
        </is>
      </c>
      <c r="C3792" s="144" t="inlineStr">
        <is>
          <t>DEVERSIFY</t>
        </is>
      </c>
      <c r="D3792" s="144" t="n">
        <v>5309569920</v>
      </c>
      <c r="E3792" s="144" t="inlineStr">
        <is>
          <t>SUV</t>
        </is>
      </c>
      <c r="F3792" s="144" t="inlineStr">
        <is>
          <t>1A1BA5M AL</t>
        </is>
      </c>
      <c r="G3792" s="144" t="inlineStr">
        <is>
          <t>WHITE NISSAN</t>
        </is>
      </c>
      <c r="H3792" s="144" t="inlineStr">
        <is>
          <t>PX</t>
        </is>
      </c>
      <c r="I3792" s="144" t="inlineStr">
        <is>
          <t>CONTRACTOR</t>
        </is>
      </c>
    </row>
    <row r="3793" ht="18" customHeight="1" s="7">
      <c r="A3793" s="144" t="inlineStr">
        <is>
          <t>VALDIVIA JOSE</t>
        </is>
      </c>
      <c r="B3793" s="144" t="inlineStr">
        <is>
          <t>45457000 TX</t>
        </is>
      </c>
      <c r="C3793" s="144" t="inlineStr">
        <is>
          <t xml:space="preserve">VICKY'S TRUCKING </t>
        </is>
      </c>
      <c r="D3793" s="144" t="n">
        <v>8104708470</v>
      </c>
      <c r="E3793" s="144" t="inlineStr">
        <is>
          <t>BOX</t>
        </is>
      </c>
      <c r="F3793" s="144" t="inlineStr">
        <is>
          <t>R717370 TX</t>
        </is>
      </c>
      <c r="G3793" s="144" t="inlineStr">
        <is>
          <t>GREEN FREIGHTLINER</t>
        </is>
      </c>
      <c r="H3793" s="144" t="n">
        <v>1221</v>
      </c>
      <c r="I3793" s="144" t="inlineStr">
        <is>
          <t>COMMERCIAL</t>
        </is>
      </c>
    </row>
    <row r="3794" ht="18" customHeight="1" s="7">
      <c r="A3794" s="144" t="inlineStr">
        <is>
          <t>DALTON NOOJIN</t>
        </is>
      </c>
      <c r="B3794" s="144" t="inlineStr">
        <is>
          <t>*059893835 GA</t>
        </is>
      </c>
      <c r="C3794" s="144" t="inlineStr">
        <is>
          <t>FPS</t>
        </is>
      </c>
      <c r="D3794" s="144" t="n">
        <v>4786631266</v>
      </c>
      <c r="E3794" s="144" t="inlineStr">
        <is>
          <t>PU</t>
        </is>
      </c>
      <c r="F3794" s="144" t="inlineStr">
        <is>
          <t>SAQ7813 GA</t>
        </is>
      </c>
      <c r="G3794" s="144" t="inlineStr">
        <is>
          <t>WHITE DODGE</t>
        </is>
      </c>
      <c r="H3794" s="144" t="n">
        <v>2200</v>
      </c>
      <c r="I3794" s="144" t="inlineStr">
        <is>
          <t>CONTRACTOR</t>
        </is>
      </c>
    </row>
    <row r="3795" ht="18" customHeight="1" s="7">
      <c r="A3795" s="144" t="inlineStr">
        <is>
          <t>CRANFORD JACOB</t>
        </is>
      </c>
      <c r="B3795" s="144" t="inlineStr">
        <is>
          <t>*058440620 GA</t>
        </is>
      </c>
      <c r="C3795" s="144" t="inlineStr">
        <is>
          <t>SUPERIOR CRANES</t>
        </is>
      </c>
      <c r="D3795" s="144" t="n">
        <v>8889977701</v>
      </c>
      <c r="E3795" s="144" t="inlineStr">
        <is>
          <t>PU</t>
        </is>
      </c>
      <c r="F3795" s="144" t="inlineStr">
        <is>
          <t>KHX6640 NC</t>
        </is>
      </c>
      <c r="G3795" s="144" t="inlineStr">
        <is>
          <t>WHITE DODGE</t>
        </is>
      </c>
      <c r="H3795" s="144" t="inlineStr">
        <is>
          <t>GATE 15</t>
        </is>
      </c>
      <c r="I3795" s="144" t="inlineStr">
        <is>
          <t>CONTRACTOR</t>
        </is>
      </c>
    </row>
    <row r="3796" ht="18" customHeight="1" s="7">
      <c r="A3796" s="144" t="inlineStr">
        <is>
          <t>ERIC HARRIS</t>
        </is>
      </c>
      <c r="B3796" s="144" t="inlineStr">
        <is>
          <t>H218539023000 FL</t>
        </is>
      </c>
      <c r="C3796" s="144" t="inlineStr">
        <is>
          <t>VETERANS REHAB</t>
        </is>
      </c>
      <c r="D3796" s="144" t="n">
        <v>8508968906</v>
      </c>
      <c r="E3796" s="144" t="inlineStr">
        <is>
          <t>BOX</t>
        </is>
      </c>
      <c r="F3796" s="144" t="inlineStr">
        <is>
          <t>DF35GJ FL</t>
        </is>
      </c>
      <c r="G3796" s="144" t="inlineStr">
        <is>
          <t>TRAN VOLVO</t>
        </is>
      </c>
      <c r="H3796" s="144" t="n">
        <v>1221</v>
      </c>
      <c r="I3796" s="144" t="inlineStr">
        <is>
          <t>COMMERCIAL</t>
        </is>
      </c>
    </row>
    <row r="3797" ht="18" customHeight="1" s="7">
      <c r="A3797" s="144" t="inlineStr">
        <is>
          <t>RIVERA JOSE</t>
        </is>
      </c>
      <c r="B3797" s="144" t="inlineStr">
        <is>
          <t>34975740 TX</t>
        </is>
      </c>
      <c r="C3797" s="144" t="inlineStr">
        <is>
          <t>MCLANE</t>
        </is>
      </c>
      <c r="D3797" s="144" t="n">
        <v>2107097598</v>
      </c>
      <c r="E3797" s="144" t="inlineStr">
        <is>
          <t>BOX</t>
        </is>
      </c>
      <c r="F3797" s="144" t="inlineStr">
        <is>
          <t>P1262257 IL</t>
        </is>
      </c>
      <c r="G3797" s="144" t="inlineStr">
        <is>
          <t>WHITE FREIGHTLINER</t>
        </is>
      </c>
      <c r="H3797" s="144" t="inlineStr">
        <is>
          <t>COMMISSARY</t>
        </is>
      </c>
      <c r="I3797" s="144" t="inlineStr">
        <is>
          <t>COMMERCIAL</t>
        </is>
      </c>
    </row>
    <row r="3798" ht="18" customHeight="1" s="7">
      <c r="A3798" s="144" t="inlineStr">
        <is>
          <t>PLUNKETT KATHLEEN</t>
        </is>
      </c>
      <c r="B3798" s="144" t="inlineStr">
        <is>
          <t>802255968 MIS</t>
        </is>
      </c>
      <c r="C3798" s="144" t="inlineStr">
        <is>
          <t>FEDEX</t>
        </is>
      </c>
      <c r="D3798" s="144" t="n">
        <v>6018962240</v>
      </c>
      <c r="E3798" s="144" t="inlineStr">
        <is>
          <t>BOX</t>
        </is>
      </c>
      <c r="F3798" s="144" t="inlineStr">
        <is>
          <t>PXC8778 OH</t>
        </is>
      </c>
      <c r="G3798" s="144" t="inlineStr">
        <is>
          <t>WHITE FREIGHTLINER</t>
        </is>
      </c>
      <c r="H3798" s="144" t="n">
        <v>1221</v>
      </c>
      <c r="I3798" s="144" t="inlineStr">
        <is>
          <t>COMMERCIAL</t>
        </is>
      </c>
    </row>
    <row r="3799" ht="18" customHeight="1" s="7">
      <c r="A3799" s="144" t="inlineStr">
        <is>
          <t>RABIE ALI</t>
        </is>
      </c>
      <c r="B3799" s="144" t="inlineStr">
        <is>
          <t>TG277485 OH</t>
        </is>
      </c>
      <c r="C3799" s="144" t="inlineStr">
        <is>
          <t>VZ TRANS</t>
        </is>
      </c>
      <c r="D3799" s="144" t="n">
        <v>6145789303</v>
      </c>
      <c r="E3799" s="144" t="inlineStr">
        <is>
          <t>BOX</t>
        </is>
      </c>
      <c r="F3799" s="144" t="inlineStr">
        <is>
          <t>P1297425 IL</t>
        </is>
      </c>
      <c r="G3799" s="144" t="inlineStr">
        <is>
          <t>BLUE KENWORTH</t>
        </is>
      </c>
      <c r="H3799" s="144" t="n">
        <v>1221</v>
      </c>
      <c r="I3799" s="144" t="inlineStr">
        <is>
          <t>COMMERCIAL</t>
        </is>
      </c>
    </row>
    <row r="3800" ht="18" customHeight="1" s="7">
      <c r="A3800" s="144" t="inlineStr">
        <is>
          <t>DAVIS PAGE</t>
        </is>
      </c>
      <c r="B3800" s="144" t="inlineStr">
        <is>
          <t>*059536572 GA</t>
        </is>
      </c>
      <c r="C3800" s="144" t="inlineStr">
        <is>
          <t>METRO POWER</t>
        </is>
      </c>
      <c r="D3800" s="144" t="n">
        <v>2292887556</v>
      </c>
      <c r="E3800" s="144" t="inlineStr">
        <is>
          <t>BOX</t>
        </is>
      </c>
      <c r="F3800" s="144" t="inlineStr">
        <is>
          <t>CAN6787 GA</t>
        </is>
      </c>
      <c r="G3800" s="144" t="inlineStr">
        <is>
          <t>WHITE FORD</t>
        </is>
      </c>
      <c r="H3800" s="144" t="inlineStr">
        <is>
          <t>POWERWORKS</t>
        </is>
      </c>
      <c r="I3800" s="144" t="inlineStr">
        <is>
          <t>CONTRACTOR</t>
        </is>
      </c>
    </row>
    <row r="3801" ht="18" customHeight="1" s="7">
      <c r="A3801" s="144" t="inlineStr">
        <is>
          <t>SOKOLAN IGOR</t>
        </is>
      </c>
      <c r="B3801" s="144" t="inlineStr">
        <is>
          <t>WDL7Z39B113B WAS</t>
        </is>
      </c>
      <c r="C3801" s="144" t="inlineStr">
        <is>
          <t>WEST CASCADE</t>
        </is>
      </c>
      <c r="D3801" s="144" t="n">
        <v>2063567359</v>
      </c>
      <c r="E3801" s="144" t="inlineStr">
        <is>
          <t>BOX</t>
        </is>
      </c>
      <c r="F3801" s="144" t="inlineStr">
        <is>
          <t>70184RP WA</t>
        </is>
      </c>
      <c r="G3801" s="144" t="inlineStr">
        <is>
          <t>WHITE FREIGHTLINER</t>
        </is>
      </c>
      <c r="H3801" s="144" t="n">
        <v>1221</v>
      </c>
      <c r="I3801" s="144" t="inlineStr">
        <is>
          <t>COMMERCIAL</t>
        </is>
      </c>
    </row>
    <row r="3802" ht="18" customHeight="1" s="7">
      <c r="A3802" s="144" t="inlineStr">
        <is>
          <t>HERIBERTO VELEZ</t>
        </is>
      </c>
      <c r="B3802" s="144" t="inlineStr">
        <is>
          <t>*059815020 GA</t>
        </is>
      </c>
      <c r="C3802" s="144" t="inlineStr">
        <is>
          <t>DD&amp;S LOGISTICS</t>
        </is>
      </c>
      <c r="D3802" s="144" t="n">
        <v>8482195799</v>
      </c>
      <c r="E3802" s="144" t="inlineStr">
        <is>
          <t>FLAT</t>
        </is>
      </c>
      <c r="F3802" s="144" t="inlineStr">
        <is>
          <t>3039581 IN</t>
        </is>
      </c>
      <c r="G3802" s="144" t="inlineStr">
        <is>
          <t>TAN KENWORTH</t>
        </is>
      </c>
      <c r="H3802" s="144" t="n">
        <v>1221</v>
      </c>
      <c r="I3802" s="144" t="inlineStr">
        <is>
          <t>COMMERCIAL</t>
        </is>
      </c>
    </row>
    <row r="3803" ht="18" customHeight="1" s="7">
      <c r="A3803" s="144" t="inlineStr">
        <is>
          <t>SKELTON TIMOTHY</t>
        </is>
      </c>
      <c r="B3803" s="144" t="inlineStr">
        <is>
          <t>S43580363085 FL</t>
        </is>
      </c>
      <c r="C3803" s="144" t="inlineStr">
        <is>
          <t>FEDEX</t>
        </is>
      </c>
      <c r="D3803" s="144" t="n">
        <v>8504457066</v>
      </c>
      <c r="E3803" s="144" t="inlineStr">
        <is>
          <t>BOX</t>
        </is>
      </c>
      <c r="F3803" s="144" t="inlineStr">
        <is>
          <t>C344HT TN</t>
        </is>
      </c>
      <c r="G3803" s="144" t="inlineStr">
        <is>
          <t>WHITE FREIGHTLINER</t>
        </is>
      </c>
      <c r="H3803" s="144" t="inlineStr">
        <is>
          <t>BASEWIDE</t>
        </is>
      </c>
      <c r="I3803" s="144" t="inlineStr">
        <is>
          <t>COMMERCIAL</t>
        </is>
      </c>
    </row>
    <row r="3804" ht="18" customHeight="1" s="7">
      <c r="A3804" s="144" t="inlineStr">
        <is>
          <t>CARY THOMAS</t>
        </is>
      </c>
      <c r="B3804" s="144" t="inlineStr">
        <is>
          <t>*056075897 GA</t>
        </is>
      </c>
      <c r="C3804" s="144" t="inlineStr">
        <is>
          <t>CME TRUCKING</t>
        </is>
      </c>
      <c r="D3804" s="144" t="n">
        <v>7069751039</v>
      </c>
      <c r="E3804" s="144" t="inlineStr">
        <is>
          <t>FLAT</t>
        </is>
      </c>
      <c r="F3804" s="144" t="inlineStr">
        <is>
          <t>3388974 IN</t>
        </is>
      </c>
      <c r="G3804" s="144" t="inlineStr">
        <is>
          <t>SILVER PETERBILT</t>
        </is>
      </c>
      <c r="H3804" s="144" t="n">
        <v>1221</v>
      </c>
      <c r="I3804" s="144" t="inlineStr">
        <is>
          <t>COMMERCIAL</t>
        </is>
      </c>
    </row>
    <row r="3805" ht="18" customHeight="1" s="7">
      <c r="A3805" s="144" t="inlineStr">
        <is>
          <t>CASON TURNER</t>
        </is>
      </c>
      <c r="B3805" s="144" t="inlineStr">
        <is>
          <t>*060988852 GA</t>
        </is>
      </c>
      <c r="C3805" s="144" t="inlineStr">
        <is>
          <t>SOUTHEAST</t>
        </is>
      </c>
      <c r="D3805" s="144" t="n">
        <v>9124245133</v>
      </c>
      <c r="E3805" s="144" t="inlineStr">
        <is>
          <t>PU</t>
        </is>
      </c>
      <c r="F3805" s="144" t="inlineStr">
        <is>
          <t>GNY478 GA</t>
        </is>
      </c>
      <c r="G3805" s="144" t="inlineStr">
        <is>
          <t>WHITE FORD</t>
        </is>
      </c>
      <c r="H3805" s="144" t="inlineStr">
        <is>
          <t>BW</t>
        </is>
      </c>
      <c r="I3805" s="144" t="inlineStr">
        <is>
          <t>CONTRACTOR</t>
        </is>
      </c>
    </row>
    <row r="3806" ht="18" customHeight="1" s="7">
      <c r="A3806" s="144" t="inlineStr">
        <is>
          <t xml:space="preserve">SINGH JASPREET </t>
        </is>
      </c>
      <c r="B3806" s="144" t="inlineStr">
        <is>
          <t>Y8140960 CAL</t>
        </is>
      </c>
      <c r="C3806" s="144" t="inlineStr">
        <is>
          <t>SQUARE TRUCKING</t>
        </is>
      </c>
      <c r="D3806" s="144" t="n">
        <v>6619799263</v>
      </c>
      <c r="E3806" s="144" t="inlineStr">
        <is>
          <t>BOX</t>
        </is>
      </c>
      <c r="F3806" s="144" t="inlineStr">
        <is>
          <t>ZP56900 CAL</t>
        </is>
      </c>
      <c r="G3806" s="144" t="inlineStr">
        <is>
          <t>WHITE FREIGHTLINER</t>
        </is>
      </c>
      <c r="H3806" s="144" t="n">
        <v>5400</v>
      </c>
      <c r="I3806" s="144" t="inlineStr">
        <is>
          <t>COMMERCIAL</t>
        </is>
      </c>
    </row>
    <row r="3807" ht="18" customHeight="1" s="7">
      <c r="A3807" s="144" t="inlineStr">
        <is>
          <t>SAMCROFT ROMAINE</t>
        </is>
      </c>
      <c r="B3807" s="144" t="inlineStr">
        <is>
          <t>S605259129000 FL</t>
        </is>
      </c>
      <c r="C3807" s="144" t="inlineStr">
        <is>
          <t>CARLINE LEG</t>
        </is>
      </c>
      <c r="D3807" s="144" t="n">
        <v>3472512371</v>
      </c>
      <c r="E3807" s="144" t="inlineStr">
        <is>
          <t>BOX</t>
        </is>
      </c>
      <c r="F3807" s="144" t="inlineStr">
        <is>
          <t>TE8042 NC</t>
        </is>
      </c>
      <c r="G3807" s="144" t="inlineStr">
        <is>
          <t>GREY INTERNATNIAL</t>
        </is>
      </c>
      <c r="H3807" s="144" t="n">
        <v>1221</v>
      </c>
      <c r="I3807" s="144" t="inlineStr">
        <is>
          <t>COMMERCIAL</t>
        </is>
      </c>
    </row>
    <row r="3808" ht="18" customHeight="1" s="7">
      <c r="A3808" s="144" t="inlineStr">
        <is>
          <t>TONY BELLE</t>
        </is>
      </c>
      <c r="B3808" s="144" t="inlineStr">
        <is>
          <t>B400804970820</t>
        </is>
      </c>
      <c r="C3808" s="144" t="inlineStr">
        <is>
          <t>EMR EXPRESS</t>
        </is>
      </c>
      <c r="D3808" s="144" t="n">
        <v>4236209265</v>
      </c>
      <c r="E3808" s="144" t="inlineStr">
        <is>
          <t>BOX</t>
        </is>
      </c>
      <c r="F3808" s="144" t="inlineStr">
        <is>
          <t>P1211379 IL</t>
        </is>
      </c>
      <c r="G3808" s="144" t="inlineStr">
        <is>
          <t>RED FREIGHTLINER</t>
        </is>
      </c>
      <c r="H3808" s="144" t="n">
        <v>1221</v>
      </c>
      <c r="I3808" s="144" t="inlineStr">
        <is>
          <t>COMMERCIAL</t>
        </is>
      </c>
    </row>
    <row r="3809" ht="18" customHeight="1" s="7">
      <c r="A3809" s="144" t="inlineStr">
        <is>
          <t>GERALD VANZANT</t>
        </is>
      </c>
      <c r="B3809" s="144" t="inlineStr">
        <is>
          <t>*049717358 GA</t>
        </is>
      </c>
      <c r="C3809" s="144" t="inlineStr">
        <is>
          <t>CONCRETE ENTERP</t>
        </is>
      </c>
      <c r="D3809" s="144" t="n">
        <v>2298881904</v>
      </c>
      <c r="E3809" s="144" t="inlineStr">
        <is>
          <t>DUMP</t>
        </is>
      </c>
      <c r="F3809" s="144" t="inlineStr">
        <is>
          <t>EXV270 GA</t>
        </is>
      </c>
      <c r="G3809" s="144" t="inlineStr">
        <is>
          <t>WHITE KENWORTH</t>
        </is>
      </c>
      <c r="H3809" s="144" t="inlineStr">
        <is>
          <t>GATE 15</t>
        </is>
      </c>
      <c r="I3809" s="144" t="inlineStr">
        <is>
          <t>COMMERCIAL</t>
        </is>
      </c>
    </row>
    <row r="3810" ht="18" customHeight="1" s="7">
      <c r="A3810" s="144" t="inlineStr">
        <is>
          <t>SAN BENNY</t>
        </is>
      </c>
      <c r="B3810" s="144" t="inlineStr">
        <is>
          <t>*070129029 GA</t>
        </is>
      </c>
      <c r="C3810" s="144" t="inlineStr">
        <is>
          <t>MAG CARRIERS</t>
        </is>
      </c>
      <c r="D3810" s="144" t="n">
        <v>6193416217</v>
      </c>
      <c r="E3810" s="144" t="inlineStr">
        <is>
          <t>BOX</t>
        </is>
      </c>
      <c r="F3810" s="144" t="inlineStr">
        <is>
          <t>C170FD GA</t>
        </is>
      </c>
      <c r="G3810" s="144" t="inlineStr">
        <is>
          <t>WHITE VOLVO</t>
        </is>
      </c>
      <c r="H3810" s="144" t="n">
        <v>1221</v>
      </c>
      <c r="I3810" s="144" t="inlineStr">
        <is>
          <t>COMMERCIAL</t>
        </is>
      </c>
    </row>
    <row r="3811" ht="18" customHeight="1" s="7">
      <c r="A3811" s="144" t="inlineStr">
        <is>
          <t>NICHOLS EARL</t>
        </is>
      </c>
      <c r="B3811" s="144" t="inlineStr">
        <is>
          <t>*007267565 SC</t>
        </is>
      </c>
      <c r="C3811" s="144" t="inlineStr">
        <is>
          <t>EAGEL</t>
        </is>
      </c>
      <c r="D3811" s="144" t="n">
        <v>2403967800</v>
      </c>
      <c r="E3811" s="144" t="inlineStr">
        <is>
          <t>BOX</t>
        </is>
      </c>
      <c r="F3811" s="144" t="inlineStr">
        <is>
          <t>901F53 MD</t>
        </is>
      </c>
      <c r="G3811" s="144" t="inlineStr">
        <is>
          <t>WHITE FREIGHTLINER</t>
        </is>
      </c>
      <c r="H3811" s="144" t="inlineStr">
        <is>
          <t>PMO</t>
        </is>
      </c>
      <c r="I3811" s="144" t="inlineStr">
        <is>
          <t>COMMERCIAL</t>
        </is>
      </c>
    </row>
    <row r="3812" ht="18" customHeight="1" s="7">
      <c r="A3812" s="144" t="inlineStr">
        <is>
          <t>JOHN FORDE</t>
        </is>
      </c>
      <c r="B3812" s="144" t="inlineStr">
        <is>
          <t>F630465823830 FL</t>
        </is>
      </c>
      <c r="C3812" s="144" t="inlineStr">
        <is>
          <t>EFFICTIANT FREIGHT</t>
        </is>
      </c>
      <c r="D3812" s="144" t="n">
        <v>4707804080</v>
      </c>
      <c r="E3812" s="144" t="inlineStr">
        <is>
          <t>BOX</t>
        </is>
      </c>
      <c r="F3812" s="144" t="inlineStr">
        <is>
          <t>CJ63BK FL</t>
        </is>
      </c>
      <c r="G3812" s="144" t="inlineStr">
        <is>
          <t>RED FREIGHTLINER</t>
        </is>
      </c>
      <c r="H3812" s="144" t="inlineStr">
        <is>
          <t>PMO</t>
        </is>
      </c>
      <c r="I3812" s="144" t="inlineStr">
        <is>
          <t>COMMERCIAL</t>
        </is>
      </c>
    </row>
    <row r="3813" ht="18" customHeight="1" s="7">
      <c r="A3813" s="144" t="inlineStr">
        <is>
          <t>CLAK HEATH</t>
        </is>
      </c>
      <c r="B3813" s="144" t="inlineStr">
        <is>
          <t>*052296593</t>
        </is>
      </c>
      <c r="C3813" s="144" t="inlineStr">
        <is>
          <t>EQUIPMENT SHARES</t>
        </is>
      </c>
      <c r="D3813" s="144" t="n">
        <v>4708136102</v>
      </c>
      <c r="E3813" s="144" t="inlineStr">
        <is>
          <t>PU</t>
        </is>
      </c>
      <c r="F3813" s="144" t="inlineStr">
        <is>
          <t>FL253AHK IN</t>
        </is>
      </c>
      <c r="G3813" s="144" t="inlineStr">
        <is>
          <t>WHITE FORD</t>
        </is>
      </c>
      <c r="H3813" s="144" t="inlineStr">
        <is>
          <t>BASE WIDE</t>
        </is>
      </c>
      <c r="I3813" s="144" t="inlineStr">
        <is>
          <t>CONTRACTOR</t>
        </is>
      </c>
    </row>
    <row r="3814" ht="18" customHeight="1" s="7">
      <c r="A3814" s="144" t="inlineStr">
        <is>
          <t>CALDWELL FUREOUS</t>
        </is>
      </c>
      <c r="B3814" s="144" t="inlineStr">
        <is>
          <t>*057539401 GA</t>
        </is>
      </c>
      <c r="C3814" s="144" t="inlineStr">
        <is>
          <t>CARDEX</t>
        </is>
      </c>
      <c r="D3814" s="144" t="n">
        <v>4042913743</v>
      </c>
      <c r="E3814" s="144" t="inlineStr">
        <is>
          <t>PU</t>
        </is>
      </c>
      <c r="F3814" s="144" t="inlineStr">
        <is>
          <t>TCJ1936 GA</t>
        </is>
      </c>
      <c r="G3814" s="144" t="inlineStr">
        <is>
          <t>WHITE FORD</t>
        </is>
      </c>
      <c r="H3814" s="144" t="inlineStr">
        <is>
          <t>BASEWIDE</t>
        </is>
      </c>
      <c r="I3814" s="144" t="inlineStr">
        <is>
          <t>CONTRACTOR</t>
        </is>
      </c>
    </row>
    <row r="3815" ht="18" customHeight="1" s="7">
      <c r="A3815" s="144" t="inlineStr">
        <is>
          <t>ROWE JAMES</t>
        </is>
      </c>
      <c r="B3815" s="144" t="inlineStr">
        <is>
          <t>*053081838 GA</t>
        </is>
      </c>
      <c r="C3815" s="144" t="inlineStr">
        <is>
          <t>ACE TECH</t>
        </is>
      </c>
      <c r="D3815" s="144" t="n">
        <v>2056394516</v>
      </c>
      <c r="E3815" s="144" t="inlineStr">
        <is>
          <t>PU</t>
        </is>
      </c>
      <c r="F3815" s="144" t="inlineStr">
        <is>
          <t>DAT4680 GA</t>
        </is>
      </c>
      <c r="G3815" s="144" t="inlineStr">
        <is>
          <t>RED FORD</t>
        </is>
      </c>
      <c r="H3815" s="144" t="inlineStr">
        <is>
          <t>BASE WIDE</t>
        </is>
      </c>
      <c r="I3815" s="144" t="inlineStr">
        <is>
          <t>CONTRACTOR</t>
        </is>
      </c>
    </row>
    <row r="3816" ht="18" customHeight="1" s="7">
      <c r="A3816" s="144" t="inlineStr">
        <is>
          <t>NOSOVSKIY ILYA</t>
        </is>
      </c>
      <c r="B3816" s="144" t="inlineStr">
        <is>
          <t>107773636 SC</t>
        </is>
      </c>
      <c r="C3816" s="144" t="inlineStr">
        <is>
          <t>JATO LOGISTIC</t>
        </is>
      </c>
      <c r="D3816" s="144" t="n">
        <v>3153733121</v>
      </c>
      <c r="E3816" s="144" t="inlineStr">
        <is>
          <t>FLAT</t>
        </is>
      </c>
      <c r="F3816" s="144" t="inlineStr">
        <is>
          <t>RP22350 WA</t>
        </is>
      </c>
      <c r="G3816" s="144" t="inlineStr">
        <is>
          <t>WHITE KENWORTH</t>
        </is>
      </c>
      <c r="H3816" s="144" t="n">
        <v>1221</v>
      </c>
      <c r="I3816" s="144" t="inlineStr">
        <is>
          <t>COMMERCIAL</t>
        </is>
      </c>
    </row>
    <row r="3817" ht="18" customHeight="1" s="7">
      <c r="A3817" s="144" t="inlineStr">
        <is>
          <t xml:space="preserve">CEDRIC MATHIS </t>
        </is>
      </c>
      <c r="B3817" s="144" t="inlineStr">
        <is>
          <t>*054304987 GA</t>
        </is>
      </c>
      <c r="C3817" s="144" t="inlineStr">
        <is>
          <t xml:space="preserve">SOUTHEASTERN </t>
        </is>
      </c>
      <c r="D3817" s="144" t="n">
        <v>2299421284</v>
      </c>
      <c r="E3817" s="144" t="inlineStr">
        <is>
          <t>BOX</t>
        </is>
      </c>
      <c r="F3817" s="144" t="inlineStr">
        <is>
          <t>S1951HY TN</t>
        </is>
      </c>
      <c r="G3817" s="144" t="inlineStr">
        <is>
          <t>RED INTERNATIONAL</t>
        </is>
      </c>
      <c r="H3817" s="144" t="inlineStr">
        <is>
          <t>BASEWIDE</t>
        </is>
      </c>
      <c r="I3817" s="144" t="inlineStr">
        <is>
          <t>COMMERCIAL</t>
        </is>
      </c>
    </row>
    <row r="3818" ht="18" customHeight="1" s="7">
      <c r="A3818" s="144" t="inlineStr">
        <is>
          <t>STEVE HOLTON</t>
        </is>
      </c>
      <c r="B3818" s="144" t="inlineStr">
        <is>
          <t>*051192310 GA</t>
        </is>
      </c>
      <c r="C3818" s="144" t="inlineStr">
        <is>
          <t>XPO</t>
        </is>
      </c>
      <c r="D3818" s="144" t="n">
        <v>2292543665</v>
      </c>
      <c r="E3818" s="144" t="inlineStr">
        <is>
          <t>BOX</t>
        </is>
      </c>
      <c r="F3818" s="144" t="inlineStr">
        <is>
          <t>3556938 IN</t>
        </is>
      </c>
      <c r="G3818" s="144" t="inlineStr">
        <is>
          <t>WHITE FREIGHTLINER</t>
        </is>
      </c>
      <c r="H3818" s="144" t="n">
        <v>1221</v>
      </c>
      <c r="I3818" s="144" t="inlineStr">
        <is>
          <t>COMMERCIAL</t>
        </is>
      </c>
    </row>
    <row r="3819" ht="18" customHeight="1" s="7">
      <c r="A3819" s="144" t="inlineStr">
        <is>
          <t>DIEUDONNE ARONNES</t>
        </is>
      </c>
      <c r="B3819" s="144" t="inlineStr">
        <is>
          <t>50377792 TX</t>
        </is>
      </c>
      <c r="C3819" s="144" t="inlineStr">
        <is>
          <t>CARAVAN</t>
        </is>
      </c>
      <c r="D3819" s="144" t="n">
        <v>9362905337</v>
      </c>
      <c r="E3819" s="144" t="inlineStr">
        <is>
          <t>BOX</t>
        </is>
      </c>
      <c r="F3819" s="144" t="inlineStr">
        <is>
          <t>R724854 TX</t>
        </is>
      </c>
      <c r="G3819" s="144" t="inlineStr">
        <is>
          <t>WHITE WESTERN STAR</t>
        </is>
      </c>
      <c r="H3819" s="144" t="n">
        <v>1221</v>
      </c>
      <c r="I3819" s="144" t="inlineStr">
        <is>
          <t>COMMERCIAL</t>
        </is>
      </c>
    </row>
    <row r="3820" ht="18" customHeight="1" s="7">
      <c r="A3820" s="144" t="inlineStr">
        <is>
          <t>SHEILDS CORA</t>
        </is>
      </c>
      <c r="B3820" s="144" t="inlineStr">
        <is>
          <t>S432112688660 FL</t>
        </is>
      </c>
      <c r="C3820" s="144" t="inlineStr">
        <is>
          <t>10 FOUR GROUP</t>
        </is>
      </c>
      <c r="D3820" s="144" t="n">
        <v>6012125393</v>
      </c>
      <c r="E3820" s="144" t="inlineStr">
        <is>
          <t>BOX</t>
        </is>
      </c>
      <c r="F3820" s="144" t="inlineStr">
        <is>
          <t>P1263439</t>
        </is>
      </c>
      <c r="G3820" s="144" t="inlineStr">
        <is>
          <t>GREEN FREIGHTLINER</t>
        </is>
      </c>
      <c r="H3820" s="144" t="n">
        <v>1221</v>
      </c>
      <c r="I3820" s="144" t="inlineStr">
        <is>
          <t>COMMERCIAL</t>
        </is>
      </c>
    </row>
    <row r="3821" ht="18" customHeight="1" s="7">
      <c r="A3821" s="144" t="inlineStr">
        <is>
          <t>MAXFIELD ABEL</t>
        </is>
      </c>
      <c r="B3821" s="144" t="inlineStr">
        <is>
          <t>M214001000170 FL</t>
        </is>
      </c>
      <c r="C3821" s="144" t="inlineStr">
        <is>
          <t>GOLF COAST</t>
        </is>
      </c>
      <c r="D3821" s="144" t="n">
        <v>8503244293</v>
      </c>
      <c r="E3821" s="144" t="inlineStr">
        <is>
          <t>PU</t>
        </is>
      </c>
      <c r="F3821" s="144" t="inlineStr">
        <is>
          <t>DJ34CS FL</t>
        </is>
      </c>
      <c r="G3821" s="144" t="inlineStr">
        <is>
          <t>WHITE FORD</t>
        </is>
      </c>
      <c r="H3821" s="144" t="n">
        <v>2600</v>
      </c>
      <c r="I3821" s="144" t="inlineStr">
        <is>
          <t>CONTRACTOR</t>
        </is>
      </c>
    </row>
    <row r="3822" ht="18" customHeight="1" s="7">
      <c r="A3822" s="144" t="inlineStr">
        <is>
          <t>MCNEALY LAPANGLE</t>
        </is>
      </c>
      <c r="B3822" s="144" t="inlineStr">
        <is>
          <t>*055492450 GA</t>
        </is>
      </c>
      <c r="C3822" s="144" t="inlineStr">
        <is>
          <t>SPECIAL SERVICE</t>
        </is>
      </c>
      <c r="D3822" s="144" t="n">
        <v>6788305045</v>
      </c>
      <c r="E3822" s="144" t="inlineStr">
        <is>
          <t>BOX</t>
        </is>
      </c>
      <c r="F3822" s="144" t="inlineStr">
        <is>
          <t>K178448 TX</t>
        </is>
      </c>
      <c r="G3822" s="144" t="inlineStr">
        <is>
          <t>WHITE FREIGHTLINER</t>
        </is>
      </c>
      <c r="H3822" s="144" t="n">
        <v>1330</v>
      </c>
      <c r="I3822" s="144" t="inlineStr">
        <is>
          <t>COMMERCIAL</t>
        </is>
      </c>
    </row>
    <row r="3823" ht="18" customHeight="1" s="7">
      <c r="A3823" s="144" t="inlineStr">
        <is>
          <t>TREY NGUYEN</t>
        </is>
      </c>
      <c r="B3823" s="144" t="inlineStr">
        <is>
          <t>F4871303 CA</t>
        </is>
      </c>
      <c r="C3823" s="144" t="inlineStr">
        <is>
          <t>TREY EXPRESS</t>
        </is>
      </c>
      <c r="D3823" s="144" t="n">
        <v>7147869094</v>
      </c>
      <c r="E3823" s="144" t="inlineStr">
        <is>
          <t>BOX</t>
        </is>
      </c>
      <c r="F3823" s="144" t="inlineStr">
        <is>
          <t>YPO4406 CA</t>
        </is>
      </c>
      <c r="G3823" s="144" t="inlineStr">
        <is>
          <t>WHITE FREIGHTLINER</t>
        </is>
      </c>
      <c r="H3823" s="144" t="n">
        <v>5400</v>
      </c>
      <c r="I3823" s="144" t="inlineStr">
        <is>
          <t>COMMERCIAL</t>
        </is>
      </c>
    </row>
    <row r="3824" ht="18" customHeight="1" s="7">
      <c r="A3824" s="144" t="inlineStr">
        <is>
          <t>SCHAUBHUT STEPHEN</t>
        </is>
      </c>
      <c r="B3824" s="144" t="inlineStr">
        <is>
          <t>31671153 PA</t>
        </is>
      </c>
      <c r="C3824" s="144" t="inlineStr">
        <is>
          <t>EAGLE TRANS</t>
        </is>
      </c>
      <c r="D3824" s="144" t="n">
        <v>7036230511</v>
      </c>
      <c r="E3824" s="144" t="inlineStr">
        <is>
          <t>PU</t>
        </is>
      </c>
      <c r="F3824" s="144" t="inlineStr">
        <is>
          <t>AH74860 PA</t>
        </is>
      </c>
      <c r="G3824" s="144" t="inlineStr">
        <is>
          <t>WHITE DODGE</t>
        </is>
      </c>
      <c r="H3824" s="144" t="n">
        <v>1221</v>
      </c>
      <c r="I3824" s="144" t="inlineStr">
        <is>
          <t>CONTRACTOR</t>
        </is>
      </c>
    </row>
    <row r="3825" ht="18" customHeight="1" s="7">
      <c r="A3825" s="144" t="inlineStr">
        <is>
          <t>ALIYEV MIKAIL</t>
        </is>
      </c>
      <c r="B3825" s="144" t="inlineStr">
        <is>
          <t>WDL5713B513B WA</t>
        </is>
      </c>
      <c r="C3825" s="144" t="inlineStr">
        <is>
          <t>TRUCK LINE</t>
        </is>
      </c>
      <c r="D3825" s="144" t="n">
        <v>2534315261</v>
      </c>
      <c r="E3825" s="144" t="inlineStr">
        <is>
          <t>FLAT</t>
        </is>
      </c>
      <c r="F3825" s="144" t="inlineStr">
        <is>
          <t>RP00103 WA</t>
        </is>
      </c>
      <c r="G3825" s="144" t="inlineStr">
        <is>
          <t>WHITE VOLVO</t>
        </is>
      </c>
      <c r="H3825" s="144" t="n">
        <v>1221</v>
      </c>
      <c r="I3825" s="144" t="inlineStr">
        <is>
          <t>COMMERCIAL</t>
        </is>
      </c>
    </row>
    <row r="3826" ht="18" customHeight="1" s="7">
      <c r="A3826" s="144" t="inlineStr">
        <is>
          <t>TIMOTHY BRISLIN</t>
        </is>
      </c>
      <c r="B3826" s="144" t="inlineStr">
        <is>
          <t>*072657365 GA</t>
        </is>
      </c>
      <c r="C3826" s="144" t="inlineStr">
        <is>
          <t>CURRENT EDGE</t>
        </is>
      </c>
      <c r="D3826" s="144" t="n">
        <v>6095487371</v>
      </c>
      <c r="E3826" s="144" t="inlineStr">
        <is>
          <t>PU</t>
        </is>
      </c>
      <c r="F3826" s="144" t="inlineStr">
        <is>
          <t>SKZ9294 GA</t>
        </is>
      </c>
      <c r="G3826" s="144" t="inlineStr">
        <is>
          <t>WHITE CHEVY</t>
        </is>
      </c>
      <c r="H3826" s="144" t="inlineStr">
        <is>
          <t>BASEWIDE</t>
        </is>
      </c>
      <c r="I3826" s="144" t="inlineStr">
        <is>
          <t>CONTRACTOR</t>
        </is>
      </c>
    </row>
    <row r="3827" ht="18" customHeight="1" s="7">
      <c r="A3827" s="144" t="inlineStr">
        <is>
          <t>RODGER COX II</t>
        </is>
      </c>
      <c r="B3827" s="144" t="inlineStr">
        <is>
          <t>*061657325 GA</t>
        </is>
      </c>
      <c r="C3827" s="144" t="inlineStr">
        <is>
          <t>CURRENT EDGE</t>
        </is>
      </c>
      <c r="D3827" s="144" t="n">
        <v>6095487371</v>
      </c>
      <c r="E3827" s="144" t="inlineStr">
        <is>
          <t>PU</t>
        </is>
      </c>
      <c r="F3827" s="144" t="inlineStr">
        <is>
          <t>SHS1570 GA</t>
        </is>
      </c>
      <c r="G3827" s="144" t="inlineStr">
        <is>
          <t>WHITE CHEVY</t>
        </is>
      </c>
      <c r="H3827" s="144" t="inlineStr">
        <is>
          <t>BASEWIDE</t>
        </is>
      </c>
      <c r="I3827" s="144" t="inlineStr">
        <is>
          <t>CONTRACTOR</t>
        </is>
      </c>
    </row>
    <row r="3828" ht="18" customHeight="1" s="7">
      <c r="A3828" s="144" t="inlineStr">
        <is>
          <t>ELDAR SADYKOV</t>
        </is>
      </c>
      <c r="B3828" s="144" t="inlineStr">
        <is>
          <t>TT652278 OH</t>
        </is>
      </c>
      <c r="C3828" s="144" t="inlineStr">
        <is>
          <t>KAYK</t>
        </is>
      </c>
      <c r="D3828" s="144" t="n">
        <v>9373215295</v>
      </c>
      <c r="E3828" s="144" t="inlineStr">
        <is>
          <t>BOX</t>
        </is>
      </c>
      <c r="F3828" s="144" t="inlineStr">
        <is>
          <t>RP24729 WA</t>
        </is>
      </c>
      <c r="G3828" s="144" t="inlineStr">
        <is>
          <t>VOLVO</t>
        </is>
      </c>
      <c r="H3828" s="144" t="n">
        <v>1221</v>
      </c>
      <c r="I3828" s="144" t="inlineStr">
        <is>
          <t>COMMERICAL</t>
        </is>
      </c>
    </row>
    <row r="3829" ht="18" customHeight="1" s="7">
      <c r="A3829" s="144" t="inlineStr">
        <is>
          <t>CLINTON BEHRENS</t>
        </is>
      </c>
      <c r="B3829" s="144" t="inlineStr">
        <is>
          <t>*060981082 GA</t>
        </is>
      </c>
      <c r="C3829" s="144" t="inlineStr">
        <is>
          <t>ALBANY ELEVATOR</t>
        </is>
      </c>
      <c r="D3829" s="144" t="n">
        <v>2298542560</v>
      </c>
      <c r="E3829" s="144" t="inlineStr">
        <is>
          <t>PU</t>
        </is>
      </c>
      <c r="F3829" s="144" t="inlineStr">
        <is>
          <t>HD4213 GA</t>
        </is>
      </c>
      <c r="G3829" s="144" t="inlineStr">
        <is>
          <t>WHITE FORD</t>
        </is>
      </c>
      <c r="H3829" s="144" t="n">
        <v>3700</v>
      </c>
      <c r="I3829" s="144" t="inlineStr">
        <is>
          <t>CONTRACTOR</t>
        </is>
      </c>
    </row>
    <row r="3830" ht="18" customHeight="1" s="7">
      <c r="A3830" s="144" t="inlineStr">
        <is>
          <t>MOZIA BELL</t>
        </is>
      </c>
      <c r="B3830" s="144" t="inlineStr">
        <is>
          <t>16093183 TX</t>
        </is>
      </c>
      <c r="C3830" s="144" t="inlineStr">
        <is>
          <t>J&amp;H</t>
        </is>
      </c>
      <c r="D3830" s="144" t="n">
        <v>7705218921</v>
      </c>
      <c r="E3830" s="144" t="inlineStr">
        <is>
          <t>FLAT</t>
        </is>
      </c>
      <c r="F3830" s="144" t="inlineStr">
        <is>
          <t>C883EU GA</t>
        </is>
      </c>
      <c r="G3830" s="144" t="inlineStr">
        <is>
          <t>BLUE KENWORTH</t>
        </is>
      </c>
      <c r="H3830" s="144" t="n">
        <v>1221</v>
      </c>
      <c r="I3830" s="144" t="inlineStr">
        <is>
          <t>COMMERICAL</t>
        </is>
      </c>
    </row>
    <row r="3831" ht="18" customHeight="1" s="7">
      <c r="A3831" s="144" t="inlineStr">
        <is>
          <t>MARQUETTE REDWINE</t>
        </is>
      </c>
      <c r="B3831" s="144" t="inlineStr">
        <is>
          <t>*060762174 GA</t>
        </is>
      </c>
      <c r="C3831" s="144" t="inlineStr">
        <is>
          <t>LIQUID</t>
        </is>
      </c>
      <c r="D3831" s="144" t="n">
        <v>18666947327</v>
      </c>
      <c r="E3831" s="144" t="inlineStr">
        <is>
          <t>FLAT</t>
        </is>
      </c>
      <c r="F3831" s="144" t="inlineStr">
        <is>
          <t>R152898 TX</t>
        </is>
      </c>
      <c r="G3831" s="144" t="inlineStr">
        <is>
          <t>WHITE FREIGHTLINER</t>
        </is>
      </c>
      <c r="H3831" s="144" t="n">
        <v>1221</v>
      </c>
      <c r="I3831" s="144" t="inlineStr">
        <is>
          <t>COMMERCIAL</t>
        </is>
      </c>
    </row>
    <row r="3832" ht="18" customHeight="1" s="7">
      <c r="A3832" s="144" t="inlineStr">
        <is>
          <t>JEREMIACH FREEMAN</t>
        </is>
      </c>
      <c r="B3832" s="144" t="inlineStr">
        <is>
          <t>*052720149 GA</t>
        </is>
      </c>
      <c r="C3832" s="144" t="inlineStr">
        <is>
          <t>GA POWER</t>
        </is>
      </c>
      <c r="D3832" s="144" t="n">
        <v>2293935207</v>
      </c>
      <c r="E3832" s="144" t="inlineStr">
        <is>
          <t>PU</t>
        </is>
      </c>
      <c r="F3832" s="144" t="inlineStr">
        <is>
          <t>CUW2440 GA</t>
        </is>
      </c>
      <c r="G3832" s="144" t="inlineStr">
        <is>
          <t>WHITE FORD</t>
        </is>
      </c>
      <c r="H3832" s="144" t="inlineStr">
        <is>
          <t>HOUSING</t>
        </is>
      </c>
      <c r="I3832" s="144" t="inlineStr">
        <is>
          <t>CONTRACTOR</t>
        </is>
      </c>
    </row>
    <row r="3833" ht="18" customHeight="1" s="7">
      <c r="A3833" s="144" t="inlineStr">
        <is>
          <t>COREY SULLIVAN</t>
        </is>
      </c>
      <c r="B3833" s="144" t="inlineStr">
        <is>
          <t>*054294323 GA</t>
        </is>
      </c>
      <c r="C3833" s="144" t="inlineStr">
        <is>
          <t>PEERLESS MANF</t>
        </is>
      </c>
      <c r="D3833" s="144" t="n">
        <v>2296795353</v>
      </c>
      <c r="E3833" s="144" t="inlineStr">
        <is>
          <t>PU</t>
        </is>
      </c>
      <c r="F3833" s="144" t="inlineStr">
        <is>
          <t>RBN2602 GA</t>
        </is>
      </c>
      <c r="G3833" s="144" t="inlineStr">
        <is>
          <t>WHITE CHEVY</t>
        </is>
      </c>
      <c r="H3833" s="144" t="n">
        <v>2200</v>
      </c>
      <c r="I3833" s="144" t="inlineStr">
        <is>
          <t>CONTRACTOR</t>
        </is>
      </c>
    </row>
    <row r="3834" ht="18" customHeight="1" s="7">
      <c r="A3834" s="144" t="inlineStr">
        <is>
          <t>GRAMS GAVIN</t>
        </is>
      </c>
      <c r="B3834" s="144" t="inlineStr">
        <is>
          <t>G632635385000 FL</t>
        </is>
      </c>
      <c r="C3834" s="144" t="inlineStr">
        <is>
          <t>ENSAFE</t>
        </is>
      </c>
      <c r="D3834" s="144" t="n">
        <v>6129914469</v>
      </c>
      <c r="E3834" s="144" t="inlineStr">
        <is>
          <t>PU</t>
        </is>
      </c>
      <c r="F3834" s="144" t="inlineStr">
        <is>
          <t>95BQJC FL</t>
        </is>
      </c>
      <c r="G3834" s="144" t="inlineStr">
        <is>
          <t>WHITE FORD</t>
        </is>
      </c>
      <c r="H3834" s="144" t="inlineStr">
        <is>
          <t>BASEWIDE</t>
        </is>
      </c>
      <c r="I3834" s="144" t="inlineStr">
        <is>
          <t>CONTRACTOR</t>
        </is>
      </c>
    </row>
    <row r="3835" ht="18" customHeight="1" s="7">
      <c r="A3835" s="144" t="inlineStr">
        <is>
          <t>ARRON ACKLEY</t>
        </is>
      </c>
      <c r="B3835" s="144" t="inlineStr">
        <is>
          <t>*052445858 GA</t>
        </is>
      </c>
      <c r="C3835" s="144" t="inlineStr">
        <is>
          <t>QUALITY</t>
        </is>
      </c>
      <c r="D3835" s="144" t="n">
        <v>2293950893</v>
      </c>
      <c r="E3835" s="144" t="inlineStr">
        <is>
          <t>WRECKER</t>
        </is>
      </c>
      <c r="F3835" s="144" t="inlineStr">
        <is>
          <t>XEN635 GA</t>
        </is>
      </c>
      <c r="G3835" s="144" t="inlineStr">
        <is>
          <t>YELLOW FREIGHTLINER</t>
        </is>
      </c>
      <c r="H3835" s="144" t="n">
        <v>2200</v>
      </c>
      <c r="I3835" s="144" t="inlineStr">
        <is>
          <t>CONTRACTOR</t>
        </is>
      </c>
    </row>
    <row r="3836" ht="18" customHeight="1" s="7">
      <c r="A3836" s="144" t="inlineStr">
        <is>
          <t>JUSTIN SEABOLT</t>
        </is>
      </c>
      <c r="B3836" s="144" t="inlineStr">
        <is>
          <t>*060771062 GA</t>
        </is>
      </c>
      <c r="C3836" s="144" t="inlineStr">
        <is>
          <t>CONGER FUELING</t>
        </is>
      </c>
      <c r="D3836" s="144" t="n">
        <v>2209856942</v>
      </c>
      <c r="E3836" s="144" t="inlineStr">
        <is>
          <t>PU</t>
        </is>
      </c>
      <c r="F3836" s="144" t="inlineStr">
        <is>
          <t>HF47A GA</t>
        </is>
      </c>
      <c r="G3836" s="144" t="inlineStr">
        <is>
          <t>WHITE CHEVY</t>
        </is>
      </c>
      <c r="H3836" s="144" t="inlineStr">
        <is>
          <t>HOUSING</t>
        </is>
      </c>
      <c r="I3836" s="144" t="inlineStr">
        <is>
          <t>CONTRACTOR</t>
        </is>
      </c>
    </row>
    <row r="3837" ht="18" customHeight="1" s="7">
      <c r="A3837" s="144" t="inlineStr">
        <is>
          <t>PETER GILLS</t>
        </is>
      </c>
      <c r="B3837" s="144" t="inlineStr">
        <is>
          <t>*051542255 GA</t>
        </is>
      </c>
      <c r="C3837" s="144" t="inlineStr">
        <is>
          <t>LEGACY</t>
        </is>
      </c>
      <c r="D3837" s="144" t="n">
        <v>2293524300</v>
      </c>
      <c r="E3837" s="144" t="inlineStr">
        <is>
          <t>DUMP</t>
        </is>
      </c>
      <c r="F3837" s="144" t="inlineStr">
        <is>
          <t>GIQ294 GA</t>
        </is>
      </c>
      <c r="G3837" s="144" t="inlineStr">
        <is>
          <t>WHITE WESTERN STAR</t>
        </is>
      </c>
      <c r="H3837" s="144" t="inlineStr">
        <is>
          <t>BASEWIDE</t>
        </is>
      </c>
      <c r="I3837" s="144" t="inlineStr">
        <is>
          <t>COMMERCIAL</t>
        </is>
      </c>
    </row>
    <row r="3838" ht="18" customHeight="1" s="7">
      <c r="A3838" s="144" t="inlineStr">
        <is>
          <t>JACOB REGISTE</t>
        </is>
      </c>
      <c r="B3838" s="144" t="inlineStr">
        <is>
          <t>*070385501 GA</t>
        </is>
      </c>
      <c r="C3838" s="144" t="inlineStr">
        <is>
          <t>USA SILK WAY</t>
        </is>
      </c>
      <c r="D3838" s="144" t="n">
        <v>4804559978</v>
      </c>
      <c r="E3838" s="144" t="inlineStr">
        <is>
          <t>BOX</t>
        </is>
      </c>
      <c r="F3838" s="144" t="inlineStr">
        <is>
          <t>P1301563 IL</t>
        </is>
      </c>
      <c r="G3838" s="144" t="inlineStr">
        <is>
          <t>WHITE FREIGHTLINER</t>
        </is>
      </c>
      <c r="H3838" s="144" t="n">
        <v>1221</v>
      </c>
      <c r="I3838" s="144" t="inlineStr">
        <is>
          <t>COMMERCIAL</t>
        </is>
      </c>
    </row>
    <row r="3839" ht="18" customHeight="1" s="7">
      <c r="A3839" s="144" t="inlineStr">
        <is>
          <t>NEAL VONGSAVANTHONG</t>
        </is>
      </c>
      <c r="B3839" s="144" t="inlineStr">
        <is>
          <t>947980675 AK</t>
        </is>
      </c>
      <c r="C3839" s="144" t="inlineStr">
        <is>
          <t>RELIABLE EXPRESS</t>
        </is>
      </c>
      <c r="D3839" s="144" t="n">
        <v>5094797140</v>
      </c>
      <c r="E3839" s="144" t="inlineStr">
        <is>
          <t>BOX</t>
        </is>
      </c>
      <c r="F3839" s="144" t="inlineStr">
        <is>
          <t>YP35584 CA</t>
        </is>
      </c>
      <c r="G3839" s="144" t="inlineStr">
        <is>
          <t>RED PETERBILT</t>
        </is>
      </c>
      <c r="H3839" s="144" t="n">
        <v>5400</v>
      </c>
      <c r="I3839" s="144" t="inlineStr">
        <is>
          <t>COMMERICAL</t>
        </is>
      </c>
    </row>
    <row r="3840" ht="18" customHeight="1" s="7">
      <c r="A3840" s="144" t="inlineStr">
        <is>
          <t>WADE HORNSBY</t>
        </is>
      </c>
      <c r="B3840" s="144" t="inlineStr">
        <is>
          <t>026641297 GA</t>
        </is>
      </c>
      <c r="C3840" s="144" t="inlineStr">
        <is>
          <t>METTLER SERVICES</t>
        </is>
      </c>
      <c r="D3840" s="144" t="n">
        <v>3343225399</v>
      </c>
      <c r="E3840" s="144" t="inlineStr">
        <is>
          <t>VAN</t>
        </is>
      </c>
      <c r="F3840" s="144" t="inlineStr">
        <is>
          <t>SHF6086 GA</t>
        </is>
      </c>
      <c r="G3840" s="144" t="inlineStr">
        <is>
          <t>WHITE FORD</t>
        </is>
      </c>
      <c r="H3840" s="144" t="n">
        <v>7501</v>
      </c>
      <c r="I3840" s="144" t="inlineStr">
        <is>
          <t>CONTRACTOR</t>
        </is>
      </c>
    </row>
    <row r="3841" ht="18" customHeight="1" s="7">
      <c r="A3841" s="144" t="inlineStr">
        <is>
          <t>ANTHONY SHOWERS</t>
        </is>
      </c>
      <c r="B3841" s="144" t="inlineStr">
        <is>
          <t>061755524 GA</t>
        </is>
      </c>
      <c r="C3841" s="144" t="inlineStr">
        <is>
          <t>IMPERIAL EXPRESS</t>
        </is>
      </c>
      <c r="D3841" s="144" t="n">
        <v>7063666286</v>
      </c>
      <c r="E3841" s="144" t="inlineStr">
        <is>
          <t>BOX</t>
        </is>
      </c>
      <c r="F3841" s="144" t="inlineStr">
        <is>
          <t>GIL778 GA</t>
        </is>
      </c>
      <c r="G3841" s="144" t="inlineStr">
        <is>
          <t>WHITE FREIGHTLINER</t>
        </is>
      </c>
      <c r="H3841" s="144" t="inlineStr">
        <is>
          <t>POWERWORKS</t>
        </is>
      </c>
      <c r="I3841" s="144" t="inlineStr">
        <is>
          <t>CONTRACTOR</t>
        </is>
      </c>
    </row>
    <row r="3842" ht="18" customHeight="1" s="7">
      <c r="A3842" s="144" t="inlineStr">
        <is>
          <t>ELWAHSH KHALED</t>
        </is>
      </c>
      <c r="B3842" s="144" t="inlineStr">
        <is>
          <t>E420513733800 FL</t>
        </is>
      </c>
      <c r="C3842" s="144" t="inlineStr">
        <is>
          <t>GLOBE TRANS</t>
        </is>
      </c>
      <c r="D3842" s="144" t="n">
        <v>3477079361</v>
      </c>
      <c r="E3842" s="144" t="inlineStr">
        <is>
          <t>BOX</t>
        </is>
      </c>
      <c r="F3842" s="144" t="inlineStr">
        <is>
          <t>P1227383 IL</t>
        </is>
      </c>
      <c r="G3842" s="144" t="inlineStr">
        <is>
          <t>WHITE VOLVO</t>
        </is>
      </c>
      <c r="H3842" s="144" t="n">
        <v>1221</v>
      </c>
      <c r="I3842" s="144" t="inlineStr">
        <is>
          <t>COMMERCIAL</t>
        </is>
      </c>
    </row>
    <row r="3843" ht="18" customHeight="1" s="7">
      <c r="A3843" s="144" t="inlineStr">
        <is>
          <t>TABORDA YEIMER</t>
        </is>
      </c>
      <c r="B3843" s="144" t="inlineStr">
        <is>
          <t>T447271390000 FL</t>
        </is>
      </c>
      <c r="C3843" s="144" t="inlineStr">
        <is>
          <t>AMERICAN MADE</t>
        </is>
      </c>
      <c r="D3843" s="144" t="n">
        <v>3054342251</v>
      </c>
      <c r="E3843" s="144" t="inlineStr">
        <is>
          <t>FLAT</t>
        </is>
      </c>
      <c r="F3843" s="144" t="inlineStr">
        <is>
          <t>XE545V FL</t>
        </is>
      </c>
      <c r="G3843" s="144" t="inlineStr">
        <is>
          <t>WHITE FREIGHTLINER</t>
        </is>
      </c>
      <c r="H3843" s="144" t="n">
        <v>1221</v>
      </c>
      <c r="I3843" s="144" t="inlineStr">
        <is>
          <t>COMMERCIAL</t>
        </is>
      </c>
    </row>
    <row r="3844" ht="18" customHeight="1" s="7">
      <c r="A3844" s="144" t="inlineStr">
        <is>
          <t>REID JERMAINE</t>
        </is>
      </c>
      <c r="B3844" s="144" t="inlineStr">
        <is>
          <t>*004108556 SC</t>
        </is>
      </c>
      <c r="C3844" s="144" t="inlineStr">
        <is>
          <t>MAG</t>
        </is>
      </c>
      <c r="D3844" s="144" t="n">
        <v>8435357621</v>
      </c>
      <c r="E3844" s="144" t="inlineStr">
        <is>
          <t>BOX</t>
        </is>
      </c>
      <c r="F3844" s="144" t="inlineStr">
        <is>
          <t>A015244 SC</t>
        </is>
      </c>
      <c r="G3844" s="144" t="inlineStr">
        <is>
          <t>RED KENWORTH</t>
        </is>
      </c>
      <c r="H3844" s="144" t="n">
        <v>1221</v>
      </c>
      <c r="I3844" s="144" t="inlineStr">
        <is>
          <t>COMMERCIAL</t>
        </is>
      </c>
    </row>
    <row r="3845" ht="18" customHeight="1" s="7">
      <c r="A3845" s="144" t="inlineStr">
        <is>
          <t>JOHNSON STEVEN</t>
        </is>
      </c>
      <c r="B3845" s="144" t="inlineStr">
        <is>
          <t>J221187405000 FL</t>
        </is>
      </c>
      <c r="C3845" s="144" t="inlineStr">
        <is>
          <t>AMRITT TRANS</t>
        </is>
      </c>
      <c r="D3845" s="144" t="n">
        <v>6787551135</v>
      </c>
      <c r="E3845" s="144" t="inlineStr">
        <is>
          <t>BOX</t>
        </is>
      </c>
      <c r="F3845" s="144" t="inlineStr">
        <is>
          <t>JD89TZ FL</t>
        </is>
      </c>
      <c r="G3845" s="144" t="inlineStr">
        <is>
          <t>WHITE FREIGHTLINER</t>
        </is>
      </c>
      <c r="H3845" s="144" t="n">
        <v>1221</v>
      </c>
      <c r="I3845" s="144" t="inlineStr">
        <is>
          <t>COMMERCIAL</t>
        </is>
      </c>
    </row>
    <row r="3846" ht="18" customHeight="1" s="7">
      <c r="A3846" s="144" t="inlineStr">
        <is>
          <t>GEORGE ADAMS III</t>
        </is>
      </c>
      <c r="B3846" s="144" t="inlineStr">
        <is>
          <t>*050949729 GA</t>
        </is>
      </c>
      <c r="C3846" s="144" t="inlineStr">
        <is>
          <t>ALBANY A/C</t>
        </is>
      </c>
      <c r="D3846" s="144" t="n">
        <v>2294360341</v>
      </c>
      <c r="E3846" s="144" t="inlineStr">
        <is>
          <t>PU</t>
        </is>
      </c>
      <c r="F3846" s="144" t="inlineStr">
        <is>
          <t>CRW4035 GA</t>
        </is>
      </c>
      <c r="G3846" s="144" t="inlineStr">
        <is>
          <t>WHITE FORD</t>
        </is>
      </c>
      <c r="H3846" s="144" t="n">
        <v>7450</v>
      </c>
      <c r="I3846" s="144" t="inlineStr">
        <is>
          <t>CONTRACTOR</t>
        </is>
      </c>
    </row>
    <row r="3847" ht="18" customHeight="1" s="7">
      <c r="A3847" s="144" t="inlineStr">
        <is>
          <t>MOLOON RUBEN</t>
        </is>
      </c>
      <c r="B3847" s="144" t="inlineStr">
        <is>
          <t>M236560560000 FL</t>
        </is>
      </c>
      <c r="C3847" s="144" t="inlineStr">
        <is>
          <t>SAFE LINE</t>
        </is>
      </c>
      <c r="D3847" s="144" t="n">
        <v>7188129608</v>
      </c>
      <c r="E3847" s="144" t="inlineStr">
        <is>
          <t>BOX</t>
        </is>
      </c>
      <c r="F3847" s="144" t="inlineStr">
        <is>
          <t>XE591A FL</t>
        </is>
      </c>
      <c r="G3847" s="144" t="inlineStr">
        <is>
          <t>WHITE VOLVO</t>
        </is>
      </c>
      <c r="H3847" s="144" t="n">
        <v>1221</v>
      </c>
      <c r="I3847" s="144" t="inlineStr">
        <is>
          <t>COMMERCIAL</t>
        </is>
      </c>
    </row>
    <row r="3848" ht="18" customHeight="1" s="7">
      <c r="A3848" s="144" t="inlineStr">
        <is>
          <t>ASHTON PYE</t>
        </is>
      </c>
      <c r="B3848" s="144" t="inlineStr">
        <is>
          <t>*055265879 GA</t>
        </is>
      </c>
      <c r="C3848" s="144" t="inlineStr">
        <is>
          <t>LANE E4XPRESS</t>
        </is>
      </c>
      <c r="D3848" s="144" t="n">
        <v>4042931186</v>
      </c>
      <c r="E3848" s="144" t="inlineStr">
        <is>
          <t>BOX</t>
        </is>
      </c>
      <c r="F3848" s="144" t="inlineStr">
        <is>
          <t>1191676 AL</t>
        </is>
      </c>
      <c r="G3848" s="144" t="inlineStr">
        <is>
          <t>WHITE FREIGHTLINER</t>
        </is>
      </c>
      <c r="H3848" s="144" t="n">
        <v>1221</v>
      </c>
      <c r="I3848" s="144" t="inlineStr">
        <is>
          <t>COMMERCIAL</t>
        </is>
      </c>
    </row>
    <row r="3849" ht="18" customHeight="1" s="7">
      <c r="A3849" s="144" t="inlineStr">
        <is>
          <t>LAVELLE WILSON</t>
        </is>
      </c>
      <c r="B3849" s="144" t="inlineStr">
        <is>
          <t>*050657238 GA</t>
        </is>
      </c>
      <c r="C3849" s="144" t="inlineStr">
        <is>
          <t>VISTA TRANS</t>
        </is>
      </c>
      <c r="D3849" s="144" t="n">
        <v>7062248222</v>
      </c>
      <c r="E3849" s="144" t="inlineStr">
        <is>
          <t>BOX</t>
        </is>
      </c>
      <c r="F3849" s="144" t="inlineStr">
        <is>
          <t>P1120664 IL</t>
        </is>
      </c>
      <c r="G3849" s="144" t="inlineStr">
        <is>
          <t>WHITE VOVLO</t>
        </is>
      </c>
      <c r="H3849" s="144" t="n">
        <v>1221</v>
      </c>
      <c r="I3849" s="144" t="inlineStr">
        <is>
          <t>COMMERCIAL</t>
        </is>
      </c>
    </row>
    <row r="3850" ht="18" customHeight="1" s="7">
      <c r="A3850" s="144" t="inlineStr">
        <is>
          <t>BARQUIN JUAN</t>
        </is>
      </c>
      <c r="B3850" s="144" t="inlineStr">
        <is>
          <t>B316293330000 FL</t>
        </is>
      </c>
      <c r="C3850" s="144" t="inlineStr">
        <is>
          <t>REVOLUTION TRANS</t>
        </is>
      </c>
      <c r="D3850" s="144" t="n">
        <v>4077667029</v>
      </c>
      <c r="E3850" s="144" t="inlineStr">
        <is>
          <t>BOX</t>
        </is>
      </c>
      <c r="F3850" s="144" t="inlineStr">
        <is>
          <t>DFO2FY FL</t>
        </is>
      </c>
      <c r="G3850" s="144" t="inlineStr">
        <is>
          <t>WHITE VOLVO</t>
        </is>
      </c>
      <c r="H3850" s="144" t="n">
        <v>1221</v>
      </c>
      <c r="I3850" s="144" t="inlineStr">
        <is>
          <t>COMMERCIAL</t>
        </is>
      </c>
    </row>
    <row r="3851" ht="18" customHeight="1" s="7">
      <c r="A3851" s="144" t="inlineStr">
        <is>
          <t>JOHN WOODY III</t>
        </is>
      </c>
      <c r="B3851" s="144" t="inlineStr">
        <is>
          <t>*054302749 GA</t>
        </is>
      </c>
      <c r="C3851" s="144" t="inlineStr">
        <is>
          <t>LEWIS TREE</t>
        </is>
      </c>
      <c r="D3851" s="144" t="n">
        <v>2294994578</v>
      </c>
      <c r="E3851" s="144" t="inlineStr">
        <is>
          <t>PU</t>
        </is>
      </c>
      <c r="F3851" s="144" t="inlineStr">
        <is>
          <t>P7232920 GA</t>
        </is>
      </c>
      <c r="G3851" s="144" t="inlineStr">
        <is>
          <t>WHITE CHEVY</t>
        </is>
      </c>
      <c r="H3851" s="144" t="inlineStr">
        <is>
          <t>POWERWORKS</t>
        </is>
      </c>
      <c r="I3851" s="144" t="inlineStr">
        <is>
          <t>CONTRACTOR</t>
        </is>
      </c>
    </row>
    <row r="3852" ht="18" customHeight="1" s="7">
      <c r="A3852" s="144" t="inlineStr">
        <is>
          <t>STEPHEN STOCKS</t>
        </is>
      </c>
      <c r="B3852" s="144" t="inlineStr">
        <is>
          <t>*054034359 GA</t>
        </is>
      </c>
      <c r="C3852" s="144" t="inlineStr">
        <is>
          <t>LEWIS TREE</t>
        </is>
      </c>
      <c r="D3852" s="144" t="n">
        <v>2294353852</v>
      </c>
      <c r="E3852" s="144" t="inlineStr">
        <is>
          <t>PU</t>
        </is>
      </c>
      <c r="F3852" s="144" t="inlineStr">
        <is>
          <t>TCD7649 GA</t>
        </is>
      </c>
      <c r="G3852" s="144" t="inlineStr">
        <is>
          <t>WHITE FORD</t>
        </is>
      </c>
      <c r="H3852" s="144" t="inlineStr">
        <is>
          <t>POWERWORKS</t>
        </is>
      </c>
      <c r="I3852" s="144" t="inlineStr">
        <is>
          <t>CONTRACTOR</t>
        </is>
      </c>
    </row>
    <row r="3853" ht="18" customHeight="1" s="7">
      <c r="A3853" s="144" t="inlineStr">
        <is>
          <t>DAVID PAYNE</t>
        </is>
      </c>
      <c r="B3853" s="144" t="inlineStr">
        <is>
          <t>*054291086 GA</t>
        </is>
      </c>
      <c r="C3853" s="144" t="inlineStr">
        <is>
          <t>LEWIS TREE</t>
        </is>
      </c>
      <c r="D3853" s="144" t="n">
        <v>2294353852</v>
      </c>
      <c r="E3853" s="144" t="inlineStr">
        <is>
          <t>CRANE</t>
        </is>
      </c>
      <c r="F3853" s="144" t="inlineStr">
        <is>
          <t>GMG796 GA</t>
        </is>
      </c>
      <c r="G3853" s="144" t="inlineStr">
        <is>
          <t>WHITE INTER</t>
        </is>
      </c>
      <c r="H3853" s="144" t="inlineStr">
        <is>
          <t>POWERWORKS</t>
        </is>
      </c>
      <c r="I3853" s="144" t="inlineStr">
        <is>
          <t>COMMERCIAL</t>
        </is>
      </c>
    </row>
    <row r="3854" ht="18" customHeight="1" s="7">
      <c r="A3854" s="144" t="inlineStr">
        <is>
          <t>SCOTT CHARLES</t>
        </is>
      </c>
      <c r="B3854" s="144" t="inlineStr">
        <is>
          <t>K621760115711 MI</t>
        </is>
      </c>
      <c r="C3854" s="144" t="inlineStr">
        <is>
          <t>DMN TRANS</t>
        </is>
      </c>
      <c r="D3854" s="144" t="n">
        <v>5865633220</v>
      </c>
      <c r="E3854" s="144" t="inlineStr">
        <is>
          <t>BOX</t>
        </is>
      </c>
      <c r="F3854" s="144" t="inlineStr">
        <is>
          <t>P990570 IL</t>
        </is>
      </c>
      <c r="G3854" s="144" t="inlineStr">
        <is>
          <t>WHITE FREIGHTLINER</t>
        </is>
      </c>
      <c r="H3854" s="144" t="n">
        <v>1221</v>
      </c>
      <c r="I3854" s="144" t="inlineStr">
        <is>
          <t>COMMERCIAL</t>
        </is>
      </c>
    </row>
    <row r="3855" ht="18" customHeight="1" s="7">
      <c r="A3855" s="144" t="inlineStr">
        <is>
          <t>GORDON JULIAN</t>
        </is>
      </c>
      <c r="B3855" s="144" t="inlineStr">
        <is>
          <t>G635433752650 FL</t>
        </is>
      </c>
      <c r="C3855" s="144" t="inlineStr">
        <is>
          <t>YK EXPRESS</t>
        </is>
      </c>
      <c r="D3855" s="144" t="n">
        <v>5612943211</v>
      </c>
      <c r="E3855" s="144" t="inlineStr">
        <is>
          <t>FLAT</t>
        </is>
      </c>
      <c r="F3855" s="144" t="inlineStr">
        <is>
          <t>XE819S FL</t>
        </is>
      </c>
      <c r="G3855" s="144" t="inlineStr">
        <is>
          <t>GREEN PETERBILT</t>
        </is>
      </c>
      <c r="H3855" s="144" t="n">
        <v>1221</v>
      </c>
      <c r="I3855" s="144" t="inlineStr">
        <is>
          <t>COMMERCIAL</t>
        </is>
      </c>
    </row>
    <row r="3856" ht="18" customHeight="1" s="7">
      <c r="A3856" s="144" t="inlineStr">
        <is>
          <t>TERRY ALAN</t>
        </is>
      </c>
      <c r="B3856" s="144" t="inlineStr">
        <is>
          <t>T450663680000 FL</t>
        </is>
      </c>
      <c r="C3856" s="144" t="inlineStr">
        <is>
          <t>EMR</t>
        </is>
      </c>
      <c r="D3856" s="144" t="n">
        <v>8502728762</v>
      </c>
      <c r="E3856" s="144" t="inlineStr">
        <is>
          <t>PU</t>
        </is>
      </c>
      <c r="F3856" s="144" t="inlineStr">
        <is>
          <t>RSGH95 FL</t>
        </is>
      </c>
      <c r="G3856" s="144" t="inlineStr">
        <is>
          <t>WHITE FORD</t>
        </is>
      </c>
      <c r="H3856" s="144" t="inlineStr">
        <is>
          <t>K-9</t>
        </is>
      </c>
      <c r="I3856" s="144" t="inlineStr">
        <is>
          <t>CONTRACTOR</t>
        </is>
      </c>
    </row>
    <row r="3857" ht="18" customHeight="1" s="7">
      <c r="A3857" s="144" t="inlineStr">
        <is>
          <t>HAYNAM DANIEL</t>
        </is>
      </c>
      <c r="B3857" s="144" t="inlineStr">
        <is>
          <t>11832080 TN</t>
        </is>
      </c>
      <c r="C3857" s="144" t="inlineStr">
        <is>
          <t>PERIMETER SECURIT</t>
        </is>
      </c>
      <c r="D3857" s="144" t="n">
        <v>9545586030</v>
      </c>
      <c r="E3857" s="144" t="inlineStr">
        <is>
          <t>VAN</t>
        </is>
      </c>
      <c r="F3857" s="144" t="inlineStr">
        <is>
          <t>CP23784 TN</t>
        </is>
      </c>
      <c r="G3857" s="144" t="inlineStr">
        <is>
          <t>WHITE FORD</t>
        </is>
      </c>
      <c r="H3857" s="144" t="inlineStr">
        <is>
          <t>GATE 15</t>
        </is>
      </c>
      <c r="I3857" s="144" t="inlineStr">
        <is>
          <t>CONTRACTOR</t>
        </is>
      </c>
    </row>
    <row r="3858" ht="18" customHeight="1" s="7">
      <c r="A3858" s="144" t="inlineStr">
        <is>
          <t>HOWARD JUSTIN</t>
        </is>
      </c>
      <c r="B3858" s="144" t="inlineStr">
        <is>
          <t>*071553276 GA</t>
        </is>
      </c>
      <c r="C3858" s="144" t="inlineStr">
        <is>
          <t>MORRI CO</t>
        </is>
      </c>
      <c r="D3858" s="144" t="n">
        <v>8123257919</v>
      </c>
      <c r="E3858" s="144" t="inlineStr">
        <is>
          <t>BOX</t>
        </is>
      </c>
      <c r="F3858" s="144" t="inlineStr">
        <is>
          <t>C418EA GA</t>
        </is>
      </c>
      <c r="G3858" s="144" t="inlineStr">
        <is>
          <t>WHITE INTERNATIONAL</t>
        </is>
      </c>
      <c r="H3858" s="144" t="n">
        <v>1221</v>
      </c>
      <c r="I3858" s="144" t="inlineStr">
        <is>
          <t>COMMERCIAL</t>
        </is>
      </c>
    </row>
    <row r="3859" ht="18" customHeight="1" s="7">
      <c r="A3859" s="144" t="inlineStr">
        <is>
          <t>MARSHALL TABIYON</t>
        </is>
      </c>
      <c r="B3859" s="144" t="inlineStr">
        <is>
          <t>*051159114 GA</t>
        </is>
      </c>
      <c r="C3859" s="144" t="inlineStr">
        <is>
          <t>PENSKE</t>
        </is>
      </c>
      <c r="D3859" s="144" t="n">
        <v>4043228609</v>
      </c>
      <c r="E3859" s="144" t="inlineStr">
        <is>
          <t>BOX</t>
        </is>
      </c>
      <c r="F3859" s="144" t="inlineStr">
        <is>
          <t>3395248 IN</t>
        </is>
      </c>
      <c r="G3859" s="144" t="inlineStr">
        <is>
          <t>YELLOW FREIGHTLINER</t>
        </is>
      </c>
      <c r="H3859" s="144" t="n">
        <v>1221</v>
      </c>
      <c r="I3859" s="144" t="inlineStr">
        <is>
          <t>COMMERCIAL</t>
        </is>
      </c>
    </row>
    <row r="3860" ht="18" customHeight="1" s="7">
      <c r="A3860" s="144" t="inlineStr">
        <is>
          <t>JONES MICHAEL</t>
        </is>
      </c>
      <c r="B3860" s="144" t="inlineStr">
        <is>
          <t>*050915529 GA</t>
        </is>
      </c>
      <c r="C3860" s="144" t="inlineStr">
        <is>
          <t>ONE LOVE TRUCKING</t>
        </is>
      </c>
      <c r="D3860" s="144" t="n">
        <v>8652937636</v>
      </c>
      <c r="E3860" s="144" t="inlineStr">
        <is>
          <t>BOX</t>
        </is>
      </c>
      <c r="F3860" s="144" t="inlineStr">
        <is>
          <t>C974FE GA</t>
        </is>
      </c>
      <c r="G3860" s="144" t="inlineStr">
        <is>
          <t>TAN FREIGHTLINER</t>
        </is>
      </c>
      <c r="H3860" s="144" t="n">
        <v>1221</v>
      </c>
      <c r="I3860" s="144" t="inlineStr">
        <is>
          <t>COMMERCIAL</t>
        </is>
      </c>
    </row>
    <row r="3861" ht="18" customHeight="1" s="7">
      <c r="A3861" s="144" t="inlineStr">
        <is>
          <t>GILL WARREN</t>
        </is>
      </c>
      <c r="B3861" s="144" t="inlineStr">
        <is>
          <t>*055015379 GA</t>
        </is>
      </c>
      <c r="C3861" s="144" t="inlineStr">
        <is>
          <t>GILL'S</t>
        </is>
      </c>
      <c r="D3861" s="144" t="n">
        <v>2293441450</v>
      </c>
      <c r="E3861" s="144" t="inlineStr">
        <is>
          <t>BOX</t>
        </is>
      </c>
      <c r="F3861" s="144" t="inlineStr">
        <is>
          <t>3172661  IN</t>
        </is>
      </c>
      <c r="G3861" s="144" t="inlineStr">
        <is>
          <t>BLACK ISUZU</t>
        </is>
      </c>
      <c r="H3861" s="144" t="inlineStr">
        <is>
          <t>HOUSING</t>
        </is>
      </c>
      <c r="I3861" s="144" t="inlineStr">
        <is>
          <t>COMMERCIAL</t>
        </is>
      </c>
    </row>
    <row r="3862" ht="18" customHeight="1" s="7">
      <c r="A3862" s="144" t="inlineStr">
        <is>
          <t>KENNELL JOHNSON</t>
        </is>
      </c>
      <c r="B3862" s="144" t="inlineStr">
        <is>
          <t>053751707 GA</t>
        </is>
      </c>
      <c r="C3862" s="144" t="inlineStr">
        <is>
          <t>TIGER LOGISTICS</t>
        </is>
      </c>
      <c r="D3862" s="144" t="n">
        <v>4708127905</v>
      </c>
      <c r="E3862" s="144" t="inlineStr">
        <is>
          <t>FLAT</t>
        </is>
      </c>
      <c r="F3862" s="144" t="inlineStr">
        <is>
          <t>C835EZ GA</t>
        </is>
      </c>
      <c r="G3862" s="144" t="inlineStr">
        <is>
          <t>WHITE VOLVO</t>
        </is>
      </c>
      <c r="H3862" s="144" t="n">
        <v>1221</v>
      </c>
      <c r="I3862" s="144" t="inlineStr">
        <is>
          <t>COMMERICAL</t>
        </is>
      </c>
    </row>
    <row r="3863" ht="18" customHeight="1" s="7">
      <c r="A3863" s="144" t="inlineStr">
        <is>
          <t>RYAN PAULK</t>
        </is>
      </c>
      <c r="B3863" s="144" t="inlineStr">
        <is>
          <t>057486972 GA</t>
        </is>
      </c>
      <c r="C3863" s="144" t="inlineStr">
        <is>
          <t>METRO POWER</t>
        </is>
      </c>
      <c r="D3863" s="144" t="n">
        <v>2293953184</v>
      </c>
      <c r="E3863" s="144" t="inlineStr">
        <is>
          <t>PU</t>
        </is>
      </c>
      <c r="F3863" s="144" t="inlineStr">
        <is>
          <t>RYX6284 GA</t>
        </is>
      </c>
      <c r="G3863" s="144" t="inlineStr">
        <is>
          <t>WHITE FORD</t>
        </is>
      </c>
      <c r="H3863" s="144" t="n">
        <v>2236</v>
      </c>
      <c r="I3863" s="144" t="inlineStr">
        <is>
          <t>CONTRACTOR</t>
        </is>
      </c>
    </row>
    <row r="3864" ht="18" customHeight="1" s="7">
      <c r="A3864" s="144" t="inlineStr">
        <is>
          <t>MUMINOV SHAKHZOD</t>
        </is>
      </c>
      <c r="B3864" s="144" t="inlineStr">
        <is>
          <t>1707814494 NV</t>
        </is>
      </c>
      <c r="C3864" s="144" t="inlineStr">
        <is>
          <t>RS CARGO</t>
        </is>
      </c>
      <c r="D3864" s="144" t="n">
        <v>4152335636</v>
      </c>
      <c r="E3864" s="144" t="inlineStr">
        <is>
          <t>BOX</t>
        </is>
      </c>
      <c r="F3864" s="144" t="inlineStr">
        <is>
          <t>AH72765 PA</t>
        </is>
      </c>
      <c r="G3864" s="144" t="inlineStr">
        <is>
          <t>BLACK FREIGHTLINER</t>
        </is>
      </c>
      <c r="H3864" s="144" t="n">
        <v>1221</v>
      </c>
      <c r="I3864" s="144" t="inlineStr">
        <is>
          <t>COMMERICAL</t>
        </is>
      </c>
    </row>
    <row r="3865" ht="18" customHeight="1" s="7">
      <c r="A3865" s="144" t="inlineStr">
        <is>
          <t>SHEKAY MOHAMED</t>
        </is>
      </c>
      <c r="B3865" s="144" t="inlineStr">
        <is>
          <t>S629102909000 FL</t>
        </is>
      </c>
      <c r="C3865" s="144" t="inlineStr">
        <is>
          <t>VZ TRANS</t>
        </is>
      </c>
      <c r="D3865" s="144" t="n">
        <v>7164248361</v>
      </c>
      <c r="E3865" s="144" t="inlineStr">
        <is>
          <t>BOX</t>
        </is>
      </c>
      <c r="F3865" s="144" t="inlineStr">
        <is>
          <t>P1297422 IL</t>
        </is>
      </c>
      <c r="G3865" s="144" t="inlineStr">
        <is>
          <t>BLUE KENWORTH</t>
        </is>
      </c>
      <c r="H3865" s="144" t="n">
        <v>1221</v>
      </c>
      <c r="I3865" s="144" t="inlineStr">
        <is>
          <t>COMMERICAL</t>
        </is>
      </c>
    </row>
    <row r="3866" ht="18" customHeight="1" s="7">
      <c r="A3866" s="144" t="inlineStr">
        <is>
          <t>CHANTEL LABOY</t>
        </is>
      </c>
      <c r="B3866" s="144" t="inlineStr">
        <is>
          <t>061665815 GA</t>
        </is>
      </c>
      <c r="C3866" s="144" t="inlineStr">
        <is>
          <t>TICTACTOW</t>
        </is>
      </c>
      <c r="D3866" s="144" t="n">
        <v>2295863068</v>
      </c>
      <c r="E3866" s="144" t="inlineStr">
        <is>
          <t>BOX</t>
        </is>
      </c>
      <c r="F3866" s="144" t="inlineStr">
        <is>
          <t>SLJ6179 GA</t>
        </is>
      </c>
      <c r="G3866" s="144" t="inlineStr">
        <is>
          <t>WHITE</t>
        </is>
      </c>
      <c r="H3866" s="144" t="n">
        <v>1221</v>
      </c>
      <c r="I3866" s="144" t="inlineStr">
        <is>
          <t>CONTRACTOR</t>
        </is>
      </c>
    </row>
    <row r="3867" ht="18" customHeight="1" s="7">
      <c r="A3867" s="144" t="inlineStr">
        <is>
          <t>CURTIS DUKES</t>
        </is>
      </c>
      <c r="B3867" s="144" t="inlineStr">
        <is>
          <t>*061068225 GA</t>
        </is>
      </c>
      <c r="C3867" s="144" t="inlineStr">
        <is>
          <t>WESCO</t>
        </is>
      </c>
      <c r="D3867" s="144" t="n">
        <v>2294216501</v>
      </c>
      <c r="E3867" s="144" t="inlineStr">
        <is>
          <t>FLAT</t>
        </is>
      </c>
      <c r="F3867" s="144" t="inlineStr">
        <is>
          <t>43ERP FL</t>
        </is>
      </c>
      <c r="G3867" s="144" t="inlineStr">
        <is>
          <t>WHITE FREIGHTLINER</t>
        </is>
      </c>
      <c r="H3867" s="144" t="n">
        <v>1221</v>
      </c>
      <c r="I3867" s="144" t="inlineStr">
        <is>
          <t>COMMERCIAL</t>
        </is>
      </c>
    </row>
    <row r="3868" ht="18" customHeight="1" s="7">
      <c r="A3868" s="144" t="inlineStr">
        <is>
          <t>STEVEN  MONEER</t>
        </is>
      </c>
      <c r="B3868" s="144" t="inlineStr">
        <is>
          <t>7732227 AL</t>
        </is>
      </c>
      <c r="C3868" s="144" t="inlineStr">
        <is>
          <t>HTC</t>
        </is>
      </c>
      <c r="D3868" s="144" t="n">
        <v>7065865568</v>
      </c>
      <c r="E3868" s="144" t="inlineStr">
        <is>
          <t>BOX</t>
        </is>
      </c>
      <c r="F3868" s="144" t="inlineStr">
        <is>
          <t>IC05HR GA</t>
        </is>
      </c>
      <c r="G3868" s="144" t="inlineStr">
        <is>
          <t>WHITE FREIGHTLINER</t>
        </is>
      </c>
      <c r="H3868" s="144" t="n">
        <v>1221</v>
      </c>
      <c r="I3868" s="144" t="inlineStr">
        <is>
          <t>COMMERICAL</t>
        </is>
      </c>
    </row>
    <row r="3869" ht="18" customHeight="1" s="7">
      <c r="A3869" s="144" t="inlineStr">
        <is>
          <t>CARLOS FERNANDES</t>
        </is>
      </c>
      <c r="B3869" s="144" t="inlineStr">
        <is>
          <t>F631977743000 FL</t>
        </is>
      </c>
      <c r="C3869" s="144" t="inlineStr">
        <is>
          <t>BIA GROUP+C3A3869:C3870</t>
        </is>
      </c>
      <c r="D3869" s="144" t="n">
        <v>6174558273</v>
      </c>
      <c r="E3869" s="144" t="inlineStr">
        <is>
          <t>BOX</t>
        </is>
      </c>
      <c r="F3869" s="144" t="inlineStr">
        <is>
          <t>P1226286 IL</t>
        </is>
      </c>
      <c r="G3869" s="144" t="inlineStr">
        <is>
          <t>SILVER FREIGHTLINER</t>
        </is>
      </c>
      <c r="H3869" s="144" t="n">
        <v>1221</v>
      </c>
      <c r="I3869" s="144" t="inlineStr">
        <is>
          <t>COMMERCIAL</t>
        </is>
      </c>
    </row>
    <row r="3870" ht="18" customHeight="1" s="7">
      <c r="A3870" s="144" t="inlineStr">
        <is>
          <t>MICKEY GIVENS</t>
        </is>
      </c>
      <c r="B3870" s="144" t="inlineStr">
        <is>
          <t>*056532543 GA</t>
        </is>
      </c>
      <c r="C3870" s="144" t="inlineStr">
        <is>
          <t xml:space="preserve">SOUTHEASTERN </t>
        </is>
      </c>
      <c r="D3870" s="144" t="n">
        <v>2298883300</v>
      </c>
      <c r="E3870" s="144" t="inlineStr">
        <is>
          <t>PU</t>
        </is>
      </c>
      <c r="F3870" s="144" t="inlineStr">
        <is>
          <t>YEB458 GA</t>
        </is>
      </c>
      <c r="G3870" s="144" t="inlineStr">
        <is>
          <t>WHITE CHEVY</t>
        </is>
      </c>
      <c r="H3870" s="144" t="n">
        <v>1221</v>
      </c>
      <c r="I3870" s="144" t="inlineStr">
        <is>
          <t>COMMERCIAL</t>
        </is>
      </c>
    </row>
    <row r="3871" ht="18" customHeight="1" s="7">
      <c r="A3871" s="144" t="inlineStr">
        <is>
          <t>SIMANJUNTAK YUSUF</t>
        </is>
      </c>
      <c r="B3871" s="144" t="inlineStr">
        <is>
          <t>48836684 TX</t>
        </is>
      </c>
      <c r="C3871" s="144" t="inlineStr">
        <is>
          <t>RUSSO BROTHERS</t>
        </is>
      </c>
      <c r="D3871" s="144" t="n">
        <v>9092751652</v>
      </c>
      <c r="E3871" s="144" t="inlineStr">
        <is>
          <t>BOX</t>
        </is>
      </c>
      <c r="F3871" s="144" t="inlineStr">
        <is>
          <t>YP48850 CA</t>
        </is>
      </c>
      <c r="G3871" s="144" t="inlineStr">
        <is>
          <t>BROWN VOLVO</t>
        </is>
      </c>
      <c r="H3871" s="144" t="n">
        <v>1221</v>
      </c>
      <c r="I3871" s="144" t="inlineStr">
        <is>
          <t>COMMERICAL</t>
        </is>
      </c>
    </row>
    <row r="3872" ht="18" customHeight="1" s="7">
      <c r="A3872" s="144" t="inlineStr">
        <is>
          <t>HURBERT DROGOSZ</t>
        </is>
      </c>
      <c r="B3872" s="144" t="inlineStr">
        <is>
          <t>*02442884 SD</t>
        </is>
      </c>
      <c r="C3872" s="144" t="inlineStr">
        <is>
          <t>KING PIN</t>
        </is>
      </c>
      <c r="D3872" s="144" t="n">
        <v>6056502086</v>
      </c>
      <c r="E3872" s="144" t="inlineStr">
        <is>
          <t>FLAT</t>
        </is>
      </c>
      <c r="F3872" s="144" t="inlineStr">
        <is>
          <t>84465 IL</t>
        </is>
      </c>
      <c r="G3872" s="144" t="inlineStr">
        <is>
          <t>BLUE PETERBUILT</t>
        </is>
      </c>
      <c r="H3872" s="144" t="n">
        <v>1221</v>
      </c>
      <c r="I3872" s="144" t="inlineStr">
        <is>
          <t>COMMERCIAL</t>
        </is>
      </c>
    </row>
    <row r="3873" ht="18" customHeight="1" s="7">
      <c r="A3873" s="144" t="inlineStr">
        <is>
          <t>AHMED ADAN</t>
        </is>
      </c>
      <c r="B3873" s="144" t="inlineStr">
        <is>
          <t>170600126 CO</t>
        </is>
      </c>
      <c r="C3873" s="144" t="inlineStr">
        <is>
          <t>CADEN TRANS</t>
        </is>
      </c>
      <c r="D3873" s="144" t="n">
        <v>7207078344</v>
      </c>
      <c r="E3873" s="144" t="inlineStr">
        <is>
          <t>BOX</t>
        </is>
      </c>
      <c r="F3873" s="144" t="inlineStr">
        <is>
          <t>BLDN96 CO</t>
        </is>
      </c>
      <c r="G3873" s="144" t="inlineStr">
        <is>
          <t>RED VOLVO</t>
        </is>
      </c>
      <c r="H3873" s="144" t="n">
        <v>1221</v>
      </c>
      <c r="I3873" s="144" t="inlineStr">
        <is>
          <t>COMMERCIAL</t>
        </is>
      </c>
    </row>
    <row r="3874" ht="18" customHeight="1" s="7">
      <c r="A3874" s="144" t="inlineStr">
        <is>
          <t>BROKS DANNY</t>
        </is>
      </c>
      <c r="B3874" s="144" t="inlineStr">
        <is>
          <t>B09623453 AZ</t>
        </is>
      </c>
      <c r="C3874" s="144" t="inlineStr">
        <is>
          <t>AD FREIGHT</t>
        </is>
      </c>
      <c r="D3874" s="144" t="n">
        <v>9283887559</v>
      </c>
      <c r="E3874" s="144" t="inlineStr">
        <is>
          <t>BOX</t>
        </is>
      </c>
      <c r="F3874" s="144" t="inlineStr">
        <is>
          <t>P1176775 IL</t>
        </is>
      </c>
      <c r="G3874" s="144" t="inlineStr">
        <is>
          <t>WHITE FREIGHTLINER</t>
        </is>
      </c>
      <c r="H3874" s="144" t="n">
        <v>1221</v>
      </c>
      <c r="I3874" s="144" t="inlineStr">
        <is>
          <t>COMMERCIAL</t>
        </is>
      </c>
    </row>
    <row r="3875" ht="18" customHeight="1" s="7">
      <c r="A3875" s="144" t="inlineStr">
        <is>
          <t>THOMAS JOHNSON</t>
        </is>
      </c>
      <c r="B3875" s="144" t="inlineStr">
        <is>
          <t>092485561 TN</t>
        </is>
      </c>
      <c r="C3875" s="144" t="inlineStr">
        <is>
          <t>GT EXPRESS</t>
        </is>
      </c>
      <c r="D3875" s="144" t="n">
        <v>8502840896</v>
      </c>
      <c r="E3875" s="144" t="inlineStr">
        <is>
          <t>FLAT</t>
        </is>
      </c>
      <c r="F3875" s="144" t="inlineStr">
        <is>
          <t xml:space="preserve">P1159650 IL </t>
        </is>
      </c>
      <c r="G3875" s="144" t="inlineStr">
        <is>
          <t>RED KENWORTH</t>
        </is>
      </c>
      <c r="H3875" s="144" t="n">
        <v>1221</v>
      </c>
      <c r="I3875" s="144" t="inlineStr">
        <is>
          <t>COMMERICAL</t>
        </is>
      </c>
    </row>
    <row r="3876" ht="18" customHeight="1" s="7">
      <c r="A3876" s="144" t="inlineStr">
        <is>
          <t>BRYAN BRUNER</t>
        </is>
      </c>
      <c r="B3876" s="144" t="inlineStr">
        <is>
          <t>054158511 GA</t>
        </is>
      </c>
      <c r="C3876" s="144" t="inlineStr">
        <is>
          <t>RHC</t>
        </is>
      </c>
      <c r="D3876" s="144" t="n">
        <v>2292887533</v>
      </c>
      <c r="E3876" s="144" t="inlineStr">
        <is>
          <t>PU</t>
        </is>
      </c>
      <c r="F3876" s="144" t="inlineStr">
        <is>
          <t>SGV9176 GA</t>
        </is>
      </c>
      <c r="G3876" s="144" t="inlineStr">
        <is>
          <t>BLACK FORD</t>
        </is>
      </c>
      <c r="H3876" s="144" t="n">
        <v>5300</v>
      </c>
      <c r="I3876" s="144" t="inlineStr">
        <is>
          <t>CONTRACTOR</t>
        </is>
      </c>
    </row>
    <row r="3877" ht="18" customHeight="1" s="7">
      <c r="A3877" s="144" t="inlineStr">
        <is>
          <t>WYATT TURNER</t>
        </is>
      </c>
      <c r="B3877" s="144" t="inlineStr">
        <is>
          <t>060545840 GA</t>
        </is>
      </c>
      <c r="C3877" s="144" t="inlineStr">
        <is>
          <t>SOUTHEAST PIPE</t>
        </is>
      </c>
      <c r="D3877" s="144" t="n">
        <v>9122889412</v>
      </c>
      <c r="E3877" s="144" t="inlineStr">
        <is>
          <t>PU</t>
        </is>
      </c>
      <c r="F3877" s="144" t="inlineStr">
        <is>
          <t>GNY478 GA</t>
        </is>
      </c>
      <c r="G3877" s="144" t="inlineStr">
        <is>
          <t>WHITE FORD</t>
        </is>
      </c>
      <c r="H3877" s="144" t="inlineStr">
        <is>
          <t>WATER PLANT</t>
        </is>
      </c>
      <c r="I3877" s="144" t="inlineStr">
        <is>
          <t>CONTRACTOR</t>
        </is>
      </c>
    </row>
    <row r="3878" ht="18" customHeight="1" s="7">
      <c r="A3878" s="144" t="inlineStr">
        <is>
          <t xml:space="preserve">TALBOT MATTHEW </t>
        </is>
      </c>
      <c r="B3878" s="144" t="inlineStr">
        <is>
          <t>T223197860000 FL</t>
        </is>
      </c>
      <c r="C3878" s="144" t="inlineStr">
        <is>
          <t>MUNTER SERVICES</t>
        </is>
      </c>
      <c r="D3878" s="144" t="n">
        <v>8636032933</v>
      </c>
      <c r="E3878" s="144" t="inlineStr">
        <is>
          <t>CAR</t>
        </is>
      </c>
      <c r="F3878" s="144" t="inlineStr">
        <is>
          <t>DW42ZG FL</t>
        </is>
      </c>
      <c r="G3878" s="144" t="inlineStr">
        <is>
          <t>WHITE DODGE</t>
        </is>
      </c>
      <c r="H3878" s="144" t="n">
        <v>1320</v>
      </c>
      <c r="I3878" s="144" t="inlineStr">
        <is>
          <t>CONTRACTOR</t>
        </is>
      </c>
    </row>
    <row r="3879" ht="18" customHeight="1" s="7">
      <c r="A3879" s="144" t="inlineStr">
        <is>
          <t>DARREN WILSON</t>
        </is>
      </c>
      <c r="B3879" s="144" t="inlineStr">
        <is>
          <t>057999229 GA</t>
        </is>
      </c>
      <c r="C3879" s="144" t="inlineStr">
        <is>
          <t>SOUTHEAST PIPE</t>
        </is>
      </c>
      <c r="D3879" s="144" t="n">
        <v>9122826441</v>
      </c>
      <c r="E3879" s="144" t="inlineStr">
        <is>
          <t>PU</t>
        </is>
      </c>
      <c r="F3879" s="144" t="inlineStr">
        <is>
          <t>SKS6090 GA</t>
        </is>
      </c>
      <c r="G3879" s="144" t="inlineStr">
        <is>
          <t>WHITE FORD</t>
        </is>
      </c>
      <c r="H3879" s="144" t="inlineStr">
        <is>
          <t>BASEWIDE</t>
        </is>
      </c>
      <c r="I3879" s="144" t="inlineStr">
        <is>
          <t>CONTRACTOR</t>
        </is>
      </c>
    </row>
    <row r="3880" ht="18" customHeight="1" s="7">
      <c r="A3880" s="144" t="inlineStr">
        <is>
          <t>DEREK LEGGETT</t>
        </is>
      </c>
      <c r="B3880" s="144" t="inlineStr">
        <is>
          <t>L3856923300000 FL</t>
        </is>
      </c>
      <c r="C3880" s="144" t="inlineStr">
        <is>
          <t>SOUTHEAST PIPE</t>
        </is>
      </c>
      <c r="D3880" s="144" t="n">
        <v>8132553636</v>
      </c>
      <c r="E3880" s="144" t="inlineStr">
        <is>
          <t>FLAT</t>
        </is>
      </c>
      <c r="F3880" s="144" t="inlineStr">
        <is>
          <t>P490CK GA</t>
        </is>
      </c>
      <c r="G3880" s="144" t="inlineStr">
        <is>
          <t>RED VOLVO</t>
        </is>
      </c>
      <c r="H3880" s="144" t="inlineStr">
        <is>
          <t>BASEWIDE</t>
        </is>
      </c>
      <c r="I3880" s="144" t="inlineStr">
        <is>
          <t>COMMERICAL</t>
        </is>
      </c>
    </row>
    <row r="3881" ht="18" customHeight="1" s="7">
      <c r="A3881" s="144" t="inlineStr">
        <is>
          <t>MICHAEL LAWSON</t>
        </is>
      </c>
      <c r="B3881" s="144" t="inlineStr">
        <is>
          <t>800671538 MS</t>
        </is>
      </c>
      <c r="C3881" s="144" t="inlineStr">
        <is>
          <t>BEEMAC</t>
        </is>
      </c>
      <c r="D3881" s="144" t="n">
        <v>2282635199</v>
      </c>
      <c r="E3881" s="144" t="inlineStr">
        <is>
          <t>FLAT</t>
        </is>
      </c>
      <c r="F3881" s="144" t="inlineStr">
        <is>
          <t>PWL7468 OH</t>
        </is>
      </c>
      <c r="G3881" s="144" t="inlineStr">
        <is>
          <t>GREEN WESTERN</t>
        </is>
      </c>
      <c r="H3881" s="144" t="n">
        <v>1221</v>
      </c>
      <c r="I3881" s="144" t="inlineStr">
        <is>
          <t>COMMERICAL</t>
        </is>
      </c>
    </row>
    <row r="3882" ht="18" customHeight="1" s="7">
      <c r="A3882" s="144" t="inlineStr">
        <is>
          <t>CHARLES HOLLOWAY</t>
        </is>
      </c>
      <c r="B3882" s="144" t="inlineStr">
        <is>
          <t>049140234 GA</t>
        </is>
      </c>
      <c r="C3882" s="144" t="inlineStr">
        <is>
          <t>ESS</t>
        </is>
      </c>
      <c r="D3882" s="144" t="n">
        <v>2293442649</v>
      </c>
      <c r="E3882" s="144" t="inlineStr">
        <is>
          <t>VAN</t>
        </is>
      </c>
      <c r="F3882" s="144" t="inlineStr">
        <is>
          <t>TCF4879 GA</t>
        </is>
      </c>
      <c r="G3882" s="144" t="inlineStr">
        <is>
          <t>WHITE CHEV</t>
        </is>
      </c>
      <c r="H3882" s="144" t="inlineStr">
        <is>
          <t>BASEWIDE</t>
        </is>
      </c>
      <c r="I3882" s="144" t="inlineStr">
        <is>
          <t>CONTRACTOR</t>
        </is>
      </c>
    </row>
    <row r="3883" ht="18" customHeight="1" s="7">
      <c r="A3883" s="144" t="inlineStr">
        <is>
          <t>DELVIN MARSHALL</t>
        </is>
      </c>
      <c r="B3883" s="144" t="inlineStr">
        <is>
          <t>056848556 GA</t>
        </is>
      </c>
      <c r="C3883" s="144" t="inlineStr">
        <is>
          <t>SOUNDERS</t>
        </is>
      </c>
      <c r="D3883" s="144" t="n">
        <v>678775091</v>
      </c>
      <c r="E3883" s="144" t="inlineStr">
        <is>
          <t>FLAT</t>
        </is>
      </c>
      <c r="F3883" s="144" t="inlineStr">
        <is>
          <t>C202ES GA</t>
        </is>
      </c>
      <c r="G3883" s="144" t="inlineStr">
        <is>
          <t>SILVER KENWORTH</t>
        </is>
      </c>
      <c r="H3883" s="144" t="n">
        <v>1221</v>
      </c>
      <c r="I3883" s="144" t="inlineStr">
        <is>
          <t>CONTRACTOR</t>
        </is>
      </c>
    </row>
    <row r="3884" ht="18" customHeight="1" s="7">
      <c r="A3884" s="144" t="inlineStr">
        <is>
          <t>PATRICK SLATER</t>
        </is>
      </c>
      <c r="B3884" s="144" t="inlineStr">
        <is>
          <t>S436677913740 FL</t>
        </is>
      </c>
      <c r="C3884" s="144" t="inlineStr">
        <is>
          <t>WBT TRUCKING</t>
        </is>
      </c>
      <c r="D3884" s="144" t="n">
        <v>9123757777</v>
      </c>
      <c r="E3884" s="144" t="inlineStr">
        <is>
          <t>FLAT</t>
        </is>
      </c>
      <c r="F3884" s="144" t="inlineStr">
        <is>
          <t>P716339 SC</t>
        </is>
      </c>
      <c r="G3884" s="144" t="inlineStr">
        <is>
          <t>WHITE VOLVO</t>
        </is>
      </c>
      <c r="H3884" s="144" t="n">
        <v>1221</v>
      </c>
      <c r="I3884" s="144" t="inlineStr">
        <is>
          <t>COMMERICAL</t>
        </is>
      </c>
    </row>
    <row r="3885" ht="18" customHeight="1" s="7">
      <c r="A3885" s="144" t="inlineStr">
        <is>
          <t>JOSIAS SOSA</t>
        </is>
      </c>
      <c r="B3885" s="144" t="inlineStr">
        <is>
          <t>058947606 GA</t>
        </is>
      </c>
      <c r="C3885" s="144" t="inlineStr">
        <is>
          <t>JYM TRANS</t>
        </is>
      </c>
      <c r="D3885" s="144" t="n">
        <v>7069566083</v>
      </c>
      <c r="E3885" s="144" t="inlineStr">
        <is>
          <t>BOX</t>
        </is>
      </c>
      <c r="F3885" s="144" t="inlineStr">
        <is>
          <t>ZKE275 GA</t>
        </is>
      </c>
      <c r="G3885" s="144" t="inlineStr">
        <is>
          <t>WHITE FREIGHTLINER</t>
        </is>
      </c>
      <c r="H3885" s="144" t="n">
        <v>1221</v>
      </c>
      <c r="I3885" s="144" t="inlineStr">
        <is>
          <t>CONTRACTOR</t>
        </is>
      </c>
    </row>
    <row r="3886" ht="18" customHeight="1" s="7">
      <c r="A3886" s="144" t="inlineStr">
        <is>
          <t>LATONYA CURRY</t>
        </is>
      </c>
      <c r="B3886" s="144" t="inlineStr">
        <is>
          <t>054136271 GA</t>
        </is>
      </c>
      <c r="C3886" s="144" t="inlineStr">
        <is>
          <t>PAT</t>
        </is>
      </c>
      <c r="D3886" s="144" t="n">
        <v>2292559498</v>
      </c>
      <c r="E3886" s="144" t="inlineStr">
        <is>
          <t>VAN</t>
        </is>
      </c>
      <c r="F3886" s="144" t="inlineStr">
        <is>
          <t>EMB097 GA</t>
        </is>
      </c>
      <c r="G3886" s="144" t="inlineStr">
        <is>
          <t>WHITE FORD</t>
        </is>
      </c>
      <c r="H3886" s="144" t="n">
        <v>7000</v>
      </c>
      <c r="I3886" s="144" t="inlineStr">
        <is>
          <t>CONTRACTOR</t>
        </is>
      </c>
    </row>
    <row r="3887" ht="18" customHeight="1" s="7">
      <c r="A3887" s="144" t="inlineStr">
        <is>
          <t>ANTONIO WILLIAMS</t>
        </is>
      </c>
      <c r="B3887" s="144" t="inlineStr">
        <is>
          <t>055584791 GA</t>
        </is>
      </c>
      <c r="C3887" s="144" t="inlineStr">
        <is>
          <t>BRENNTAG</t>
        </is>
      </c>
      <c r="D3887" s="144" t="n">
        <v>2296303027</v>
      </c>
      <c r="E3887" s="144" t="inlineStr">
        <is>
          <t>BOX</t>
        </is>
      </c>
      <c r="F3887" s="144" t="inlineStr">
        <is>
          <t>BA551306 WV</t>
        </is>
      </c>
      <c r="G3887" s="144" t="inlineStr">
        <is>
          <t>WHITE FREIGHTLINER</t>
        </is>
      </c>
      <c r="H3887" s="144" t="n">
        <v>1221</v>
      </c>
      <c r="I3887" s="144" t="inlineStr">
        <is>
          <t>COMMERICAL</t>
        </is>
      </c>
    </row>
    <row r="3888" ht="18" customHeight="1" s="7">
      <c r="A3888" s="144" t="inlineStr">
        <is>
          <t>ALEXANDER LOWE</t>
        </is>
      </c>
      <c r="B3888" s="144" t="inlineStr">
        <is>
          <t>118750934 TN</t>
        </is>
      </c>
      <c r="C3888" s="144" t="inlineStr">
        <is>
          <t>EW WALLY</t>
        </is>
      </c>
      <c r="D3888" s="144" t="n">
        <v>4237908640</v>
      </c>
      <c r="E3888" s="144" t="inlineStr">
        <is>
          <t>FLAT</t>
        </is>
      </c>
      <c r="F3888" s="144" t="inlineStr">
        <is>
          <t>46862P ND</t>
        </is>
      </c>
      <c r="G3888" s="144" t="inlineStr">
        <is>
          <t>YELLOW KENWORTH</t>
        </is>
      </c>
      <c r="H3888" s="144" t="n">
        <v>1221</v>
      </c>
      <c r="I3888" s="144" t="inlineStr">
        <is>
          <t>COMMERICAL</t>
        </is>
      </c>
    </row>
    <row r="3889" ht="18" customHeight="1" s="7">
      <c r="A3889" s="144" t="inlineStr">
        <is>
          <t>KIDANE TEGEGN</t>
        </is>
      </c>
      <c r="B3889" s="144" t="inlineStr">
        <is>
          <t>060123006 GA</t>
        </is>
      </c>
      <c r="C3889" s="144" t="inlineStr">
        <is>
          <t>TK TRANS</t>
        </is>
      </c>
      <c r="D3889" s="144" t="n">
        <v>6784993848</v>
      </c>
      <c r="E3889" s="144" t="inlineStr">
        <is>
          <t>BOX</t>
        </is>
      </c>
      <c r="F3889" s="144" t="inlineStr">
        <is>
          <t>C545DM GA</t>
        </is>
      </c>
      <c r="G3889" s="144" t="inlineStr">
        <is>
          <t>GREEN FREIGHTLINER</t>
        </is>
      </c>
      <c r="H3889" s="144" t="n">
        <v>1221</v>
      </c>
      <c r="I3889" s="144" t="inlineStr">
        <is>
          <t>COMMERICAL</t>
        </is>
      </c>
    </row>
    <row r="3890" ht="18" customHeight="1" s="7">
      <c r="A3890" s="144" t="inlineStr">
        <is>
          <t>KEITH HARRIS</t>
        </is>
      </c>
      <c r="B3890" s="144" t="inlineStr">
        <is>
          <t>*048510991 GA</t>
        </is>
      </c>
      <c r="C3890" s="144" t="inlineStr">
        <is>
          <t>SUPPERIOR</t>
        </is>
      </c>
      <c r="D3890" s="144" t="n">
        <v>229228420</v>
      </c>
      <c r="E3890" s="144" t="inlineStr">
        <is>
          <t>BOX</t>
        </is>
      </c>
      <c r="F3890" s="144" t="inlineStr">
        <is>
          <t>P1206164 IL</t>
        </is>
      </c>
      <c r="G3890" s="144" t="inlineStr">
        <is>
          <t>WHITE INTERNATIONAL</t>
        </is>
      </c>
      <c r="H3890" s="144" t="n">
        <v>1221</v>
      </c>
      <c r="I3890" s="144" t="inlineStr">
        <is>
          <t>COMMERCIAL</t>
        </is>
      </c>
    </row>
    <row r="3891" ht="18" customHeight="1" s="7">
      <c r="A3891" s="144" t="inlineStr">
        <is>
          <t>ROBERT ATKINSON</t>
        </is>
      </c>
      <c r="B3891" s="144" t="inlineStr">
        <is>
          <t>A301777110000 FL</t>
        </is>
      </c>
      <c r="C3891" s="144" t="inlineStr">
        <is>
          <t>AVILA</t>
        </is>
      </c>
      <c r="D3891" s="144" t="n">
        <v>8500511125</v>
      </c>
      <c r="E3891" s="144" t="inlineStr">
        <is>
          <t>BOX</t>
        </is>
      </c>
      <c r="F3891" s="144" t="inlineStr">
        <is>
          <t>89889Z WI</t>
        </is>
      </c>
      <c r="G3891" s="144" t="inlineStr">
        <is>
          <t>GREY FREIGHTLINER</t>
        </is>
      </c>
      <c r="H3891" s="144" t="n">
        <v>1221</v>
      </c>
      <c r="I3891" s="144" t="inlineStr">
        <is>
          <t>COMMERCIAL</t>
        </is>
      </c>
    </row>
    <row r="3892" ht="18" customHeight="1" s="7">
      <c r="A3892" s="144" t="inlineStr">
        <is>
          <t>WILLIAM COONEY</t>
        </is>
      </c>
      <c r="B3892" s="144" t="inlineStr">
        <is>
          <t>E024857658 OK</t>
        </is>
      </c>
      <c r="C3892" s="144" t="inlineStr">
        <is>
          <t>JHACKL</t>
        </is>
      </c>
      <c r="D3892" s="144" t="n">
        <v>7854582242</v>
      </c>
      <c r="E3892" s="144" t="inlineStr">
        <is>
          <t>FLAT</t>
        </is>
      </c>
      <c r="F3892" s="144" t="inlineStr">
        <is>
          <t>37212Z WS</t>
        </is>
      </c>
      <c r="G3892" s="144" t="inlineStr">
        <is>
          <t>BLUE PETERBILT</t>
        </is>
      </c>
      <c r="H3892" s="144" t="n">
        <v>1221</v>
      </c>
      <c r="I3892" s="144" t="inlineStr">
        <is>
          <t>COMMERICAL</t>
        </is>
      </c>
    </row>
    <row r="3893" ht="18" customHeight="1" s="7">
      <c r="A3893" s="144" t="inlineStr">
        <is>
          <t>MARK CHILDERS JR</t>
        </is>
      </c>
      <c r="B3893" s="144" t="inlineStr">
        <is>
          <t>061658847 GA</t>
        </is>
      </c>
      <c r="C3893" s="144" t="inlineStr">
        <is>
          <t>CHILDERS TRANS</t>
        </is>
      </c>
      <c r="D3893" s="144" t="n">
        <v>8046472184</v>
      </c>
      <c r="E3893" s="144" t="inlineStr">
        <is>
          <t>BOX</t>
        </is>
      </c>
      <c r="F3893" s="144" t="inlineStr">
        <is>
          <t>C748EJ GA</t>
        </is>
      </c>
      <c r="G3893" s="144" t="inlineStr">
        <is>
          <t>WHITE FREIGHTLINER</t>
        </is>
      </c>
      <c r="H3893" s="144" t="n">
        <v>1221</v>
      </c>
      <c r="I3893" s="144" t="inlineStr">
        <is>
          <t>COMMERICAL</t>
        </is>
      </c>
    </row>
    <row r="3894" ht="18" customHeight="1" s="7">
      <c r="A3894" s="144" t="inlineStr">
        <is>
          <t>ALEXANDER HILL</t>
        </is>
      </c>
      <c r="B3894" s="144" t="inlineStr">
        <is>
          <t>*057440583 GA</t>
        </is>
      </c>
      <c r="C3894" s="144" t="inlineStr">
        <is>
          <t>LIGHT COMMERCIAL</t>
        </is>
      </c>
      <c r="D3894" s="144" t="n">
        <v>7277423790</v>
      </c>
      <c r="E3894" s="144" t="inlineStr">
        <is>
          <t>VAN</t>
        </is>
      </c>
      <c r="F3894" s="144" t="inlineStr">
        <is>
          <t>73EEWS FL</t>
        </is>
      </c>
      <c r="G3894" s="144" t="inlineStr">
        <is>
          <t>WHITE CHEVY</t>
        </is>
      </c>
      <c r="H3894" s="144" t="inlineStr">
        <is>
          <t>COMMISSARY</t>
        </is>
      </c>
      <c r="I3894" s="144" t="inlineStr">
        <is>
          <t>CONTRACTOR</t>
        </is>
      </c>
    </row>
    <row r="3895" ht="18" customHeight="1" s="7">
      <c r="A3895" s="144" t="inlineStr">
        <is>
          <t>JACOB DYESS</t>
        </is>
      </c>
      <c r="B3895" s="144" t="inlineStr">
        <is>
          <t>105592820 SC</t>
        </is>
      </c>
      <c r="C3895" s="144" t="inlineStr">
        <is>
          <t>TRANS WOOD</t>
        </is>
      </c>
      <c r="D3895" s="144" t="n">
        <v>5622251841</v>
      </c>
      <c r="E3895" s="144" t="inlineStr">
        <is>
          <t>TANK</t>
        </is>
      </c>
      <c r="F3895" s="144" t="inlineStr">
        <is>
          <t>417184 NB</t>
        </is>
      </c>
      <c r="G3895" s="144" t="inlineStr">
        <is>
          <t>WHITE FREIGHTLINER</t>
        </is>
      </c>
      <c r="H3895" s="144" t="inlineStr">
        <is>
          <t>WTP</t>
        </is>
      </c>
      <c r="I3895" s="144" t="inlineStr">
        <is>
          <t>COMMERCIAL</t>
        </is>
      </c>
    </row>
    <row r="3896" ht="18" customHeight="1" s="7">
      <c r="A3896" s="144" t="inlineStr">
        <is>
          <t>DUSKO STANCEVIC</t>
        </is>
      </c>
      <c r="B3896" s="144" t="inlineStr">
        <is>
          <t>S3521606721908 WI</t>
        </is>
      </c>
      <c r="C3896" s="144" t="inlineStr">
        <is>
          <t>WIRE</t>
        </is>
      </c>
      <c r="D3896" s="144" t="n">
        <v>7708963429</v>
      </c>
      <c r="E3896" s="144" t="inlineStr">
        <is>
          <t>BOX</t>
        </is>
      </c>
      <c r="F3896" s="144" t="inlineStr">
        <is>
          <t>P1201266 IL</t>
        </is>
      </c>
      <c r="G3896" s="144" t="inlineStr">
        <is>
          <t>WHITE MACK</t>
        </is>
      </c>
      <c r="H3896" s="144" t="n">
        <v>1221</v>
      </c>
      <c r="I3896" s="144" t="inlineStr">
        <is>
          <t>COMMERCIAL</t>
        </is>
      </c>
    </row>
    <row r="3897" ht="18" customHeight="1" s="7">
      <c r="A3897" s="144" t="inlineStr">
        <is>
          <t>ALLEN LAYTON</t>
        </is>
      </c>
      <c r="B3897" s="144" t="inlineStr">
        <is>
          <t>L237673292000 FL</t>
        </is>
      </c>
      <c r="C3897" s="144" t="inlineStr">
        <is>
          <t>B&amp;T FENCING</t>
        </is>
      </c>
      <c r="D3897" s="144" t="n">
        <v>8509421003</v>
      </c>
      <c r="E3897" s="144" t="inlineStr">
        <is>
          <t>PU</t>
        </is>
      </c>
      <c r="F3897" s="144" t="inlineStr">
        <is>
          <t>34E7ZY FL</t>
        </is>
      </c>
      <c r="G3897" s="144" t="inlineStr">
        <is>
          <t>WHITE FORD</t>
        </is>
      </c>
      <c r="H3897" s="144" t="inlineStr">
        <is>
          <t>EMR</t>
        </is>
      </c>
      <c r="I3897" s="144" t="inlineStr">
        <is>
          <t>CONTRACTOR</t>
        </is>
      </c>
    </row>
    <row r="3898" ht="18" customHeight="1" s="7">
      <c r="A3898" s="144" t="inlineStr">
        <is>
          <t>KEITH BENNETT</t>
        </is>
      </c>
      <c r="B3898" s="144" t="inlineStr">
        <is>
          <t>*06729791 TN</t>
        </is>
      </c>
      <c r="C3898" s="144" t="inlineStr">
        <is>
          <t>STAR BG</t>
        </is>
      </c>
      <c r="D3898" s="144" t="n">
        <v>4236674420</v>
      </c>
      <c r="E3898" s="144" t="inlineStr">
        <is>
          <t>BOX</t>
        </is>
      </c>
      <c r="F3898" s="144" t="inlineStr">
        <is>
          <t>P1327277 IL</t>
        </is>
      </c>
      <c r="G3898" s="144" t="inlineStr">
        <is>
          <t>WHITE FREIGHTLINER</t>
        </is>
      </c>
      <c r="H3898" s="144" t="n">
        <v>1221</v>
      </c>
      <c r="I3898" s="144" t="inlineStr">
        <is>
          <t>COMMERCIAL</t>
        </is>
      </c>
    </row>
    <row r="3899" ht="18" customHeight="1" s="7">
      <c r="A3899" s="144" t="inlineStr">
        <is>
          <t>JOSHUAWA BURKE</t>
        </is>
      </c>
      <c r="B3899" s="144" t="inlineStr">
        <is>
          <t>B03959430</t>
        </is>
      </c>
      <c r="C3899" s="144" t="inlineStr">
        <is>
          <t>606 LOG</t>
        </is>
      </c>
      <c r="D3899" s="144" t="n">
        <v>6063097326</v>
      </c>
      <c r="E3899" s="144" t="inlineStr">
        <is>
          <t>BOX</t>
        </is>
      </c>
      <c r="F3899" s="144" t="inlineStr">
        <is>
          <t>TEMP</t>
        </is>
      </c>
      <c r="G3899" s="144" t="inlineStr">
        <is>
          <t>TEAL PETERBILT</t>
        </is>
      </c>
      <c r="H3899" s="144" t="n">
        <v>1221</v>
      </c>
      <c r="I3899" s="144" t="inlineStr">
        <is>
          <t>COMMERCIAL</t>
        </is>
      </c>
    </row>
    <row r="3900" ht="18" customHeight="1" s="7">
      <c r="A3900" s="144" t="inlineStr">
        <is>
          <t>K'VON JOHNSON</t>
        </is>
      </c>
      <c r="B3900" s="144" t="inlineStr">
        <is>
          <t>*011302782 LA</t>
        </is>
      </c>
      <c r="C3900" s="144" t="inlineStr">
        <is>
          <t>BUDGET</t>
        </is>
      </c>
      <c r="D3900" s="144" t="n">
        <v>2253054421</v>
      </c>
      <c r="E3900" s="144" t="inlineStr">
        <is>
          <t>BOX</t>
        </is>
      </c>
      <c r="F3900" s="144" t="inlineStr">
        <is>
          <t>3HT157 OK</t>
        </is>
      </c>
      <c r="G3900" s="144" t="inlineStr">
        <is>
          <t>WHITE FORD</t>
        </is>
      </c>
      <c r="H3900" s="144" t="inlineStr">
        <is>
          <t>HOUSING</t>
        </is>
      </c>
      <c r="I3900" s="144" t="inlineStr">
        <is>
          <t>COMMERCIAL</t>
        </is>
      </c>
    </row>
    <row r="3901" ht="18" customHeight="1" s="7">
      <c r="A3901" s="144" t="inlineStr">
        <is>
          <t>GLEN SIZEMORE</t>
        </is>
      </c>
      <c r="B3901" s="144" t="inlineStr">
        <is>
          <t>E377701 WV</t>
        </is>
      </c>
      <c r="C3901" s="144" t="inlineStr">
        <is>
          <t>KTI LTD</t>
        </is>
      </c>
      <c r="D3901" s="144" t="n">
        <v>6814279278</v>
      </c>
      <c r="E3901" s="144" t="inlineStr">
        <is>
          <t>BOX</t>
        </is>
      </c>
      <c r="F3901" s="144" t="inlineStr">
        <is>
          <t>44149PN VA</t>
        </is>
      </c>
      <c r="G3901" s="144" t="inlineStr">
        <is>
          <t>BLUE FREIGHTLINER</t>
        </is>
      </c>
      <c r="H3901" s="144" t="n">
        <v>1221</v>
      </c>
      <c r="I3901" s="144" t="inlineStr">
        <is>
          <t>COMMERCIAL</t>
        </is>
      </c>
    </row>
    <row r="3902" ht="18" customHeight="1" s="7">
      <c r="A3902" s="144" t="inlineStr">
        <is>
          <t>LENIN GAVILANES</t>
        </is>
      </c>
      <c r="B3902" s="144" t="inlineStr">
        <is>
          <t>*072650819 GA</t>
        </is>
      </c>
      <c r="C3902" s="144" t="inlineStr">
        <is>
          <t>NANVIC</t>
        </is>
      </c>
      <c r="D3902" s="144" t="n">
        <v>9089866477</v>
      </c>
      <c r="E3902" s="144" t="inlineStr">
        <is>
          <t>BOX</t>
        </is>
      </c>
      <c r="F3902" s="144" t="inlineStr">
        <is>
          <t>VV4660 SC</t>
        </is>
      </c>
      <c r="G3902" s="144" t="inlineStr">
        <is>
          <t>BLUE FREIGHTLINER</t>
        </is>
      </c>
      <c r="H3902" s="144" t="n">
        <v>1221</v>
      </c>
      <c r="I3902" s="144" t="inlineStr">
        <is>
          <t>COMMERCIAL</t>
        </is>
      </c>
    </row>
    <row r="3903" ht="18" customHeight="1" s="7">
      <c r="A3903" s="144" t="inlineStr">
        <is>
          <t>DERRICK MEYERS JR</t>
        </is>
      </c>
      <c r="B3903" s="144" t="inlineStr">
        <is>
          <t>*060221275 GA</t>
        </is>
      </c>
      <c r="C3903" s="144" t="inlineStr">
        <is>
          <t>TRI STAR</t>
        </is>
      </c>
      <c r="D3903" s="144" t="n">
        <v>9545485501</v>
      </c>
      <c r="E3903" s="144" t="inlineStr">
        <is>
          <t>BOX</t>
        </is>
      </c>
      <c r="F3903" s="144" t="inlineStr">
        <is>
          <t>P1310887 IL</t>
        </is>
      </c>
      <c r="G3903" s="144" t="inlineStr">
        <is>
          <t>BLUE FREIGHTLINER</t>
        </is>
      </c>
      <c r="H3903" s="144" t="n">
        <v>1221</v>
      </c>
      <c r="I3903" s="144" t="inlineStr">
        <is>
          <t>COMMERCIAL</t>
        </is>
      </c>
    </row>
    <row r="3904" ht="18" customHeight="1" s="7">
      <c r="A3904" s="144" t="inlineStr">
        <is>
          <t>VICTOR GONZALEZ</t>
        </is>
      </c>
      <c r="B3904" s="144" t="inlineStr">
        <is>
          <t>12542589 TX</t>
        </is>
      </c>
      <c r="C3904" s="144" t="inlineStr">
        <is>
          <t>BANCROFT</t>
        </is>
      </c>
      <c r="D3904" s="144" t="n">
        <v>9152601554</v>
      </c>
      <c r="E3904" s="144" t="inlineStr">
        <is>
          <t>BOX</t>
        </is>
      </c>
      <c r="F3904" s="144" t="inlineStr">
        <is>
          <t>R778756 TX</t>
        </is>
      </c>
      <c r="G3904" s="144" t="inlineStr">
        <is>
          <t>BLACK FREIGHTLINER</t>
        </is>
      </c>
      <c r="H3904" s="144" t="n">
        <v>1221</v>
      </c>
      <c r="I3904" s="144" t="inlineStr">
        <is>
          <t>COMMERCIAL</t>
        </is>
      </c>
    </row>
    <row r="3905" ht="18" customHeight="1" s="7">
      <c r="A3905" s="144" t="inlineStr">
        <is>
          <t>ROBERT PACE LEN</t>
        </is>
      </c>
      <c r="B3905" s="144" t="inlineStr">
        <is>
          <t>8923333558 IN</t>
        </is>
      </c>
      <c r="C3905" s="144" t="inlineStr">
        <is>
          <t>AXIS LOG</t>
        </is>
      </c>
      <c r="D3905" s="144" t="n">
        <v>8473231273</v>
      </c>
      <c r="E3905" s="144" t="inlineStr">
        <is>
          <t>BOX</t>
        </is>
      </c>
      <c r="F3905" s="144" t="inlineStr">
        <is>
          <t>3912051 IN</t>
        </is>
      </c>
      <c r="G3905" s="144" t="inlineStr">
        <is>
          <t>WHITE INTERNATIONAL</t>
        </is>
      </c>
      <c r="H3905" s="144" t="n">
        <v>1221</v>
      </c>
      <c r="I3905" s="144" t="inlineStr">
        <is>
          <t>COMMERCIAL</t>
        </is>
      </c>
    </row>
    <row r="3906" ht="18" customHeight="1" s="7">
      <c r="A3906" s="144" t="inlineStr">
        <is>
          <t>JESUS GARZA</t>
        </is>
      </c>
      <c r="B3906" s="144" t="inlineStr">
        <is>
          <t>134207272 TN</t>
        </is>
      </c>
      <c r="C3906" s="144" t="inlineStr">
        <is>
          <t>KEN CARGO</t>
        </is>
      </c>
      <c r="D3906" s="144" t="n">
        <v>7314189448</v>
      </c>
      <c r="E3906" s="144" t="inlineStr">
        <is>
          <t>BOX</t>
        </is>
      </c>
      <c r="F3906" s="144" t="inlineStr">
        <is>
          <t>3886042 IN</t>
        </is>
      </c>
      <c r="G3906" s="144" t="inlineStr">
        <is>
          <t>WHITE WESTERN STAR</t>
        </is>
      </c>
      <c r="H3906" s="144" t="n">
        <v>1221</v>
      </c>
      <c r="I3906" s="144" t="inlineStr">
        <is>
          <t>COMMERCIAL</t>
        </is>
      </c>
    </row>
    <row r="3907" ht="18" customHeight="1" s="7">
      <c r="A3907" s="144" t="inlineStr">
        <is>
          <t>KASHI RABILE</t>
        </is>
      </c>
      <c r="B3907" s="144" t="inlineStr">
        <is>
          <t>D03042159 AR</t>
        </is>
      </c>
      <c r="C3907" s="144" t="inlineStr">
        <is>
          <t>CHANDI TRUCKING</t>
        </is>
      </c>
      <c r="D3907" s="144" t="n">
        <v>6028857337</v>
      </c>
      <c r="E3907" s="144" t="inlineStr">
        <is>
          <t>BOX</t>
        </is>
      </c>
      <c r="F3907" s="144" t="inlineStr">
        <is>
          <t>3592991 IN</t>
        </is>
      </c>
      <c r="G3907" s="144" t="inlineStr">
        <is>
          <t>WHITE FREIGHTLINER</t>
        </is>
      </c>
      <c r="H3907" s="144" t="n">
        <v>5400</v>
      </c>
      <c r="I3907" s="144" t="inlineStr">
        <is>
          <t>COMMERCIAL</t>
        </is>
      </c>
    </row>
    <row r="3908" ht="18" customHeight="1" s="7">
      <c r="A3908" s="144" t="inlineStr">
        <is>
          <t>KEVIN MASON L</t>
        </is>
      </c>
      <c r="B3908" s="144" t="inlineStr">
        <is>
          <t>899788442 GA</t>
        </is>
      </c>
      <c r="C3908" s="144" t="inlineStr">
        <is>
          <t>FOX CARRIERS</t>
        </is>
      </c>
      <c r="D3908" s="144" t="n">
        <v>4042634585</v>
      </c>
      <c r="E3908" s="144" t="inlineStr">
        <is>
          <t>VAN</t>
        </is>
      </c>
      <c r="F3908" s="144" t="inlineStr">
        <is>
          <t>CYB9328 GA</t>
        </is>
      </c>
      <c r="G3908" s="144" t="inlineStr">
        <is>
          <t>WHITE DODGE</t>
        </is>
      </c>
      <c r="H3908" s="144" t="n">
        <v>1351</v>
      </c>
      <c r="I3908" s="144" t="inlineStr">
        <is>
          <t>COMMERCIAL</t>
        </is>
      </c>
    </row>
    <row r="3909" ht="18" customHeight="1" s="7">
      <c r="A3909" s="144" t="inlineStr">
        <is>
          <t>WILLIAMS FLETCHER</t>
        </is>
      </c>
      <c r="B3909" s="144" t="inlineStr">
        <is>
          <t>W452986920170 FL</t>
        </is>
      </c>
      <c r="C3909" s="144" t="inlineStr">
        <is>
          <t xml:space="preserve">PTS </t>
        </is>
      </c>
      <c r="D3909" s="144" t="n">
        <v>3864538221</v>
      </c>
      <c r="E3909" s="144" t="inlineStr">
        <is>
          <t>BOX</t>
        </is>
      </c>
      <c r="F3909" s="144" t="inlineStr">
        <is>
          <t>P1223223 IL</t>
        </is>
      </c>
      <c r="G3909" s="144" t="inlineStr">
        <is>
          <t>WHITE KENWORTH</t>
        </is>
      </c>
      <c r="H3909" s="144" t="n">
        <v>1221</v>
      </c>
      <c r="I3909" s="144" t="inlineStr">
        <is>
          <t>COMMERCIAL</t>
        </is>
      </c>
    </row>
    <row r="3910" ht="18" customHeight="1" s="7">
      <c r="A3910" s="144" t="inlineStr">
        <is>
          <t>IBRAHIM ABDIWAHAB</t>
        </is>
      </c>
      <c r="B3910" s="144" t="inlineStr">
        <is>
          <t>153450602 CO</t>
        </is>
      </c>
      <c r="C3910" s="144" t="inlineStr">
        <is>
          <t>SHINE TRANS</t>
        </is>
      </c>
      <c r="D3910" s="144" t="n">
        <v>7204607556</v>
      </c>
      <c r="E3910" s="144" t="inlineStr">
        <is>
          <t>BOX</t>
        </is>
      </c>
      <c r="F3910" s="144" t="inlineStr">
        <is>
          <t>PXD9216 OH</t>
        </is>
      </c>
      <c r="G3910" s="144" t="inlineStr">
        <is>
          <t>WHITE FREIGHTLINER</t>
        </is>
      </c>
      <c r="H3910" s="144" t="n">
        <v>1221</v>
      </c>
      <c r="I3910" s="144" t="inlineStr">
        <is>
          <t>COMMERCIAL</t>
        </is>
      </c>
    </row>
    <row r="3911" ht="18" customHeight="1" s="7">
      <c r="A3911" s="144" t="inlineStr">
        <is>
          <t>QUANTAVIUS KING</t>
        </is>
      </c>
      <c r="B3911" s="144" t="inlineStr">
        <is>
          <t xml:space="preserve">*059111977 GA </t>
        </is>
      </c>
      <c r="C3911" s="144" t="inlineStr">
        <is>
          <t>ALBANY ELEVATOR</t>
        </is>
      </c>
      <c r="D3911" s="144" t="n">
        <v>2295969924</v>
      </c>
      <c r="E3911" s="144" t="inlineStr">
        <is>
          <t>PU</t>
        </is>
      </c>
      <c r="F3911" s="144" t="inlineStr">
        <is>
          <t>CRS1861 GA</t>
        </is>
      </c>
      <c r="G3911" s="144" t="inlineStr">
        <is>
          <t>WHITE CHEVY</t>
        </is>
      </c>
      <c r="H3911" s="144" t="n">
        <v>7450</v>
      </c>
      <c r="I3911" s="144" t="inlineStr">
        <is>
          <t>CONTRACTOR</t>
        </is>
      </c>
    </row>
    <row r="3912" ht="18" customHeight="1" s="7">
      <c r="A3912" s="144" t="inlineStr">
        <is>
          <t>ABDULAHI FADIR</t>
        </is>
      </c>
      <c r="B3912" s="144" t="inlineStr">
        <is>
          <t>D08878722 AR</t>
        </is>
      </c>
      <c r="C3912" s="144" t="inlineStr">
        <is>
          <t>CHANDI TRUCKING</t>
        </is>
      </c>
      <c r="D3912" s="144" t="n">
        <v>6233881017</v>
      </c>
      <c r="E3912" s="144" t="inlineStr">
        <is>
          <t>BOX</t>
        </is>
      </c>
      <c r="F3912" s="144" t="inlineStr">
        <is>
          <t>YP88480 CAL</t>
        </is>
      </c>
      <c r="G3912" s="144" t="inlineStr">
        <is>
          <t>WHITE VOLVO</t>
        </is>
      </c>
      <c r="H3912" s="144" t="n">
        <v>5400</v>
      </c>
      <c r="I3912" s="144" t="inlineStr">
        <is>
          <t>COMMERCIAL</t>
        </is>
      </c>
    </row>
    <row r="3913" ht="18" customHeight="1" s="7">
      <c r="A3913" s="144" t="inlineStr">
        <is>
          <t>JAMES JONES</t>
        </is>
      </c>
      <c r="B3913" s="144" t="inlineStr">
        <is>
          <t>28517211 TX</t>
        </is>
      </c>
      <c r="C3913" s="144" t="inlineStr">
        <is>
          <t>DIBOR TRANS</t>
        </is>
      </c>
      <c r="D3913" s="144" t="n">
        <v>90355139666</v>
      </c>
      <c r="E3913" s="144" t="inlineStr">
        <is>
          <t>BOX</t>
        </is>
      </c>
      <c r="F3913" s="144" t="inlineStr">
        <is>
          <t>P1047109 IL</t>
        </is>
      </c>
      <c r="G3913" s="144" t="inlineStr">
        <is>
          <t>RED FREIGHTLINER</t>
        </is>
      </c>
      <c r="H3913" s="144" t="n">
        <v>1221</v>
      </c>
      <c r="I3913" s="144" t="inlineStr">
        <is>
          <t>COMMERCIAL</t>
        </is>
      </c>
    </row>
    <row r="3914" ht="18" customHeight="1" s="7">
      <c r="A3914" s="144" t="inlineStr">
        <is>
          <t>MICHAEL ROACH</t>
        </is>
      </c>
      <c r="B3914" s="144" t="inlineStr">
        <is>
          <t>*049554189 GA</t>
        </is>
      </c>
      <c r="C3914" s="144" t="inlineStr">
        <is>
          <t>OXFORD</t>
        </is>
      </c>
      <c r="D3914" s="144" t="n">
        <v>2297330729</v>
      </c>
      <c r="E3914" s="144" t="inlineStr">
        <is>
          <t>BOX</t>
        </is>
      </c>
      <c r="F3914" s="144" t="inlineStr">
        <is>
          <t>ELE027 GA</t>
        </is>
      </c>
      <c r="G3914" s="144" t="inlineStr">
        <is>
          <t>WHITE INTERNATIONAL</t>
        </is>
      </c>
      <c r="H3914" s="144" t="inlineStr">
        <is>
          <t>GATE 15</t>
        </is>
      </c>
      <c r="I3914" s="144" t="inlineStr">
        <is>
          <t>COMMERCIAL</t>
        </is>
      </c>
    </row>
    <row r="3915" ht="18" customHeight="1" s="7">
      <c r="A3915" s="144" t="inlineStr">
        <is>
          <t>PATRICK SIMS</t>
        </is>
      </c>
      <c r="B3915" s="144" t="inlineStr">
        <is>
          <t>*058099550 GA</t>
        </is>
      </c>
      <c r="C3915" s="144" t="inlineStr">
        <is>
          <t>IN PAY SHIPPING</t>
        </is>
      </c>
      <c r="D3915" s="144" t="n">
        <v>2293494966</v>
      </c>
      <c r="E3915" s="144" t="inlineStr">
        <is>
          <t>BOX</t>
        </is>
      </c>
      <c r="F3915" s="144" t="inlineStr">
        <is>
          <t>261118119 GA</t>
        </is>
      </c>
      <c r="G3915" s="144" t="inlineStr">
        <is>
          <t>WHITE FREIGHTLINER</t>
        </is>
      </c>
      <c r="H3915" s="144" t="n">
        <v>1221</v>
      </c>
      <c r="I3915" s="144" t="inlineStr">
        <is>
          <t>COMMERCIAL</t>
        </is>
      </c>
    </row>
    <row r="3916" ht="18" customHeight="1" s="7">
      <c r="A3916" s="144" t="inlineStr">
        <is>
          <t>KEVIN KNIGHT</t>
        </is>
      </c>
      <c r="B3916" s="144" t="inlineStr">
        <is>
          <t>19800143 TX</t>
        </is>
      </c>
      <c r="C3916" s="144" t="inlineStr">
        <is>
          <t>KUDA TRANS</t>
        </is>
      </c>
      <c r="D3916" s="144" t="n">
        <v>7132987880</v>
      </c>
      <c r="E3916" s="144" t="inlineStr">
        <is>
          <t>BOX</t>
        </is>
      </c>
      <c r="F3916" s="144" t="inlineStr">
        <is>
          <t>P1267890 IL</t>
        </is>
      </c>
      <c r="G3916" s="144" t="inlineStr">
        <is>
          <t>RED FREIGHTLINER</t>
        </is>
      </c>
      <c r="H3916" s="144" t="n">
        <v>1221</v>
      </c>
      <c r="I3916" s="144" t="inlineStr">
        <is>
          <t>COMMERCIAL</t>
        </is>
      </c>
    </row>
    <row r="3917" ht="18" customHeight="1" s="7">
      <c r="A3917" s="144" t="inlineStr">
        <is>
          <t>IGARZA RODOLFO</t>
        </is>
      </c>
      <c r="B3917" s="144" t="inlineStr">
        <is>
          <t>816AY7394 IA</t>
        </is>
      </c>
      <c r="C3917" s="144" t="inlineStr">
        <is>
          <t>YFC TRUCKING</t>
        </is>
      </c>
      <c r="D3917" s="144" t="n">
        <v>3054330471</v>
      </c>
      <c r="E3917" s="144" t="inlineStr">
        <is>
          <t>PU</t>
        </is>
      </c>
      <c r="F3917" s="144" t="inlineStr">
        <is>
          <t>NZF0073 TX</t>
        </is>
      </c>
      <c r="G3917" s="144" t="inlineStr">
        <is>
          <t>WHITE DODGE</t>
        </is>
      </c>
      <c r="H3917" s="144" t="n">
        <v>1221</v>
      </c>
      <c r="I3917" s="144" t="inlineStr">
        <is>
          <t>COMMERCIAL</t>
        </is>
      </c>
    </row>
    <row r="3918" ht="18" customHeight="1" s="7">
      <c r="A3918" s="144" t="inlineStr">
        <is>
          <t>RONALD DREW</t>
        </is>
      </c>
      <c r="B3918" s="144" t="inlineStr">
        <is>
          <t>33870353 TX</t>
        </is>
      </c>
      <c r="C3918" s="144" t="inlineStr">
        <is>
          <t>BLT TRUCKING</t>
        </is>
      </c>
      <c r="D3918" s="144" t="n">
        <v>2146367384</v>
      </c>
      <c r="E3918" s="144" t="inlineStr">
        <is>
          <t>PU</t>
        </is>
      </c>
      <c r="F3918" s="144" t="inlineStr">
        <is>
          <t>PZR9281 TX</t>
        </is>
      </c>
      <c r="G3918" s="144" t="inlineStr">
        <is>
          <t>WHITE FORD</t>
        </is>
      </c>
      <c r="H3918" s="144" t="inlineStr">
        <is>
          <t>PASS AND ID</t>
        </is>
      </c>
      <c r="I3918" s="144" t="inlineStr">
        <is>
          <t>COMMERCIAL</t>
        </is>
      </c>
    </row>
    <row r="3919" ht="18" customHeight="1" s="7">
      <c r="A3919" s="144" t="inlineStr">
        <is>
          <t>TYSON WEST</t>
        </is>
      </c>
      <c r="B3919" s="144" t="inlineStr">
        <is>
          <t>*061589313 GA</t>
        </is>
      </c>
      <c r="C3919" s="144" t="inlineStr">
        <is>
          <t>JENBACHER</t>
        </is>
      </c>
      <c r="D3919" s="144" t="n">
        <v>7702947040</v>
      </c>
      <c r="E3919" s="144" t="inlineStr">
        <is>
          <t>VAN</t>
        </is>
      </c>
      <c r="F3919" s="144" t="inlineStr">
        <is>
          <t>SLB6078 GA</t>
        </is>
      </c>
      <c r="G3919" s="144" t="inlineStr">
        <is>
          <t>WHITE FORD</t>
        </is>
      </c>
      <c r="H3919" s="144" t="n">
        <v>2299</v>
      </c>
      <c r="I3919" s="144" t="inlineStr">
        <is>
          <t>CONTRACTOR</t>
        </is>
      </c>
    </row>
    <row r="3920" ht="18" customHeight="1" s="7">
      <c r="A3920" s="144" t="inlineStr">
        <is>
          <t>JEFFREY ROSS</t>
        </is>
      </c>
      <c r="B3920" s="144" t="inlineStr">
        <is>
          <t>801200131 MS</t>
        </is>
      </c>
      <c r="C3920" s="144" t="inlineStr">
        <is>
          <t>JENBACHER</t>
        </is>
      </c>
      <c r="D3920" s="144" t="n">
        <v>6012977810</v>
      </c>
      <c r="E3920" s="144" t="inlineStr">
        <is>
          <t>VAN</t>
        </is>
      </c>
      <c r="F3920" s="144" t="inlineStr">
        <is>
          <t>IFB242 MS</t>
        </is>
      </c>
      <c r="G3920" s="144" t="inlineStr">
        <is>
          <t>WHITE FORD</t>
        </is>
      </c>
      <c r="H3920" s="144" t="n">
        <v>2299</v>
      </c>
      <c r="I3920" s="144" t="inlineStr">
        <is>
          <t>CONTRACTOR</t>
        </is>
      </c>
    </row>
    <row r="3921" ht="18" customHeight="1" s="7">
      <c r="A3921" s="144" t="inlineStr">
        <is>
          <t>NICHOLAUS MINTZ</t>
        </is>
      </c>
      <c r="B3921" s="144" t="inlineStr">
        <is>
          <t>*049844457 GA</t>
        </is>
      </c>
      <c r="C3921" s="144" t="inlineStr">
        <is>
          <t>FSC COMPRESS</t>
        </is>
      </c>
      <c r="D3921" s="144" t="n">
        <v>2293329820</v>
      </c>
      <c r="E3921" s="144" t="inlineStr">
        <is>
          <t>PU</t>
        </is>
      </c>
      <c r="F3921" s="144" t="inlineStr">
        <is>
          <t>QMZK69 FL</t>
        </is>
      </c>
      <c r="G3921" s="144" t="inlineStr">
        <is>
          <t>WHITE FORD</t>
        </is>
      </c>
      <c r="H3921" s="144" t="n">
        <v>2210</v>
      </c>
      <c r="I3921" s="144" t="inlineStr">
        <is>
          <t>CONTRACTOR</t>
        </is>
      </c>
    </row>
    <row r="3922" ht="18" customHeight="1" s="7">
      <c r="A3922" s="144" t="inlineStr">
        <is>
          <t>RICHARD VAUGHAN</t>
        </is>
      </c>
      <c r="B3922" s="144" t="inlineStr">
        <is>
          <t>*050401378 GA</t>
        </is>
      </c>
      <c r="C3922" s="144" t="inlineStr">
        <is>
          <t>BPC</t>
        </is>
      </c>
      <c r="D3922" s="144" t="n">
        <v>7068702692</v>
      </c>
      <c r="E3922" s="144" t="inlineStr">
        <is>
          <t>PU</t>
        </is>
      </c>
      <c r="F3922" s="144" t="inlineStr">
        <is>
          <t>CEH4012 GA</t>
        </is>
      </c>
      <c r="G3922" s="144" t="inlineStr">
        <is>
          <t>WHITE GMC</t>
        </is>
      </c>
      <c r="H3922" s="144" t="n">
        <v>1221</v>
      </c>
      <c r="I3922" s="144" t="inlineStr">
        <is>
          <t>CONTRACTOR</t>
        </is>
      </c>
    </row>
    <row r="3923" ht="18" customHeight="1" s="7">
      <c r="A3923" s="144" t="inlineStr">
        <is>
          <t>MAURICE NSENGA</t>
        </is>
      </c>
      <c r="B3923" s="144" t="inlineStr">
        <is>
          <t>M17932947 KY</t>
        </is>
      </c>
      <c r="C3923" s="144" t="inlineStr">
        <is>
          <t>UNITED LANE</t>
        </is>
      </c>
      <c r="D3923" s="144" t="n">
        <v>5027012686</v>
      </c>
      <c r="E3923" s="144" t="inlineStr">
        <is>
          <t>BOX</t>
        </is>
      </c>
      <c r="F3923" s="144" t="inlineStr">
        <is>
          <t>2695610 IN</t>
        </is>
      </c>
      <c r="G3923" s="144" t="inlineStr">
        <is>
          <t>ORANGE FREIGHTLINER</t>
        </is>
      </c>
      <c r="H3923" s="144" t="n">
        <v>1221</v>
      </c>
      <c r="I3923" s="144" t="inlineStr">
        <is>
          <t>COMMERCIAL</t>
        </is>
      </c>
    </row>
    <row r="3924" ht="18" customHeight="1" s="7">
      <c r="A3924" s="144" t="inlineStr">
        <is>
          <t>JAMAAL BAILEY</t>
        </is>
      </c>
      <c r="B3924" s="144" t="inlineStr">
        <is>
          <t>*053715960 GA</t>
        </is>
      </c>
      <c r="C3924" s="144" t="inlineStr">
        <is>
          <t>LANE EXPRESS</t>
        </is>
      </c>
      <c r="D3924" s="144" t="n">
        <v>7064746625</v>
      </c>
      <c r="E3924" s="144" t="inlineStr">
        <is>
          <t>BOX</t>
        </is>
      </c>
      <c r="F3924" s="144" t="inlineStr">
        <is>
          <t>P944497 IL</t>
        </is>
      </c>
      <c r="G3924" s="144" t="inlineStr">
        <is>
          <t>WHITE FREIGHTLINER</t>
        </is>
      </c>
      <c r="H3924" s="144" t="inlineStr">
        <is>
          <t>COMMISSARY</t>
        </is>
      </c>
      <c r="I3924" s="144" t="inlineStr">
        <is>
          <t>COMMERCIAL</t>
        </is>
      </c>
    </row>
    <row r="3925" ht="18" customHeight="1" s="7">
      <c r="A3925" s="144" t="inlineStr">
        <is>
          <t>THOMAS BENEDICT</t>
        </is>
      </c>
      <c r="B3925" s="144" t="inlineStr">
        <is>
          <t>B53283463240 IL</t>
        </is>
      </c>
      <c r="C3925" s="144" t="inlineStr">
        <is>
          <t>GLOBAL TRANS</t>
        </is>
      </c>
      <c r="D3925" s="144" t="n">
        <v>6157679336</v>
      </c>
      <c r="E3925" s="144" t="inlineStr">
        <is>
          <t>BOX</t>
        </is>
      </c>
      <c r="F3925" s="144" t="inlineStr">
        <is>
          <t>A87479 KT</t>
        </is>
      </c>
      <c r="G3925" s="144" t="inlineStr">
        <is>
          <t>RED VOLVO</t>
        </is>
      </c>
      <c r="H3925" s="144" t="n">
        <v>1221</v>
      </c>
      <c r="I3925" s="144" t="inlineStr">
        <is>
          <t>COMMERCIAL</t>
        </is>
      </c>
    </row>
    <row r="3926" ht="18" customHeight="1" s="7">
      <c r="A3926" s="144" t="inlineStr">
        <is>
          <t>SAMSON TAPPER</t>
        </is>
      </c>
      <c r="B3926" s="144" t="inlineStr">
        <is>
          <t>055035390 GA</t>
        </is>
      </c>
      <c r="C3926" s="144" t="inlineStr">
        <is>
          <t>SERVICE TRANSFER</t>
        </is>
      </c>
      <c r="D3926" s="144" t="n">
        <v>9124926272</v>
      </c>
      <c r="E3926" s="144" t="inlineStr">
        <is>
          <t>BOX</t>
        </is>
      </c>
      <c r="F3926" s="144" t="inlineStr">
        <is>
          <t>3453312 IN</t>
        </is>
      </c>
      <c r="G3926" s="144" t="inlineStr">
        <is>
          <t>WHITE FREIGHTLINER</t>
        </is>
      </c>
      <c r="H3926" s="144" t="n">
        <v>1221</v>
      </c>
      <c r="I3926" s="144" t="inlineStr">
        <is>
          <t>COMMERICAL</t>
        </is>
      </c>
    </row>
    <row r="3927" ht="18" customHeight="1" s="7">
      <c r="A3927" s="144" t="inlineStr">
        <is>
          <t>MARIE ROSS</t>
        </is>
      </c>
      <c r="B3927" s="144" t="inlineStr">
        <is>
          <t>064705448 GA</t>
        </is>
      </c>
      <c r="C3927" s="144" t="inlineStr">
        <is>
          <t>LANDSTAR</t>
        </is>
      </c>
      <c r="D3927" s="144" t="n">
        <v>4042171439</v>
      </c>
      <c r="E3927" s="144" t="inlineStr">
        <is>
          <t>BOX</t>
        </is>
      </c>
      <c r="F3927" s="144" t="inlineStr">
        <is>
          <t>361952 IN</t>
        </is>
      </c>
      <c r="G3927" s="144" t="inlineStr">
        <is>
          <t>WHITE FREIGHTLINER</t>
        </is>
      </c>
      <c r="H3927" s="144" t="n">
        <v>1221</v>
      </c>
      <c r="I3927" s="144" t="inlineStr">
        <is>
          <t>COMMERICAL</t>
        </is>
      </c>
    </row>
    <row r="3928" ht="18" customHeight="1" s="7">
      <c r="A3928" s="144" t="inlineStr">
        <is>
          <t xml:space="preserve">ROBERT PACE </t>
        </is>
      </c>
      <c r="B3928" s="144" t="inlineStr">
        <is>
          <t>8923333558 IN</t>
        </is>
      </c>
      <c r="C3928" s="144" t="inlineStr">
        <is>
          <t>AXIS LOG</t>
        </is>
      </c>
      <c r="D3928" s="144" t="n">
        <v>8473231273</v>
      </c>
      <c r="E3928" s="144" t="inlineStr">
        <is>
          <t>BOX</t>
        </is>
      </c>
      <c r="F3928" s="144" t="inlineStr">
        <is>
          <t>3912051 IN</t>
        </is>
      </c>
      <c r="G3928" s="144" t="inlineStr">
        <is>
          <t>WHITE INTERNATIONAL</t>
        </is>
      </c>
      <c r="H3928" s="144" t="n">
        <v>1221</v>
      </c>
      <c r="I3928" s="144" t="inlineStr">
        <is>
          <t>COMMERICAL</t>
        </is>
      </c>
    </row>
    <row r="3929" ht="18" customHeight="1" s="7">
      <c r="A3929" s="144" t="inlineStr">
        <is>
          <t>MARK BARRETT</t>
        </is>
      </c>
      <c r="B3929" s="144" t="inlineStr">
        <is>
          <t>000048538065 NC</t>
        </is>
      </c>
      <c r="C3929" s="144" t="inlineStr">
        <is>
          <t>XLG TRANS</t>
        </is>
      </c>
      <c r="D3929" s="144" t="n">
        <v>7143972352</v>
      </c>
      <c r="E3929" s="144" t="inlineStr">
        <is>
          <t>FLAT</t>
        </is>
      </c>
      <c r="F3929" s="144" t="inlineStr">
        <is>
          <t>3012358 IN</t>
        </is>
      </c>
      <c r="G3929" s="144" t="inlineStr">
        <is>
          <t>WHITE PETERBILT</t>
        </is>
      </c>
      <c r="H3929" s="144" t="n">
        <v>1221</v>
      </c>
      <c r="I3929" s="144" t="inlineStr">
        <is>
          <t>COMMERICAL</t>
        </is>
      </c>
    </row>
    <row r="3930" ht="18" customHeight="1" s="7">
      <c r="A3930" s="144" t="inlineStr">
        <is>
          <t>JEREMY MICHAL</t>
        </is>
      </c>
      <c r="B3930" s="144" t="inlineStr">
        <is>
          <t>D01093886 AZ</t>
        </is>
      </c>
      <c r="C3930" s="144" t="inlineStr">
        <is>
          <t>XLG TRANS</t>
        </is>
      </c>
      <c r="D3930" s="144" t="n">
        <v>4809252800</v>
      </c>
      <c r="E3930" s="144" t="inlineStr">
        <is>
          <t>FLAT</t>
        </is>
      </c>
      <c r="F3930" s="144" t="inlineStr">
        <is>
          <t>2204444 IN</t>
        </is>
      </c>
      <c r="G3930" s="144" t="inlineStr">
        <is>
          <t>YELLOW KENWORTH</t>
        </is>
      </c>
      <c r="H3930" s="144" t="n">
        <v>1221</v>
      </c>
      <c r="I3930" s="144" t="inlineStr">
        <is>
          <t>COMMERICAL</t>
        </is>
      </c>
    </row>
    <row r="3931" ht="18" customHeight="1" s="7">
      <c r="A3931" s="144" t="inlineStr">
        <is>
          <t>ROOSEVELT JACKSON</t>
        </is>
      </c>
      <c r="B3931" s="144" t="inlineStr">
        <is>
          <t>053334138 GA</t>
        </is>
      </c>
      <c r="C3931" s="144" t="inlineStr">
        <is>
          <t>SERVICE TRANSFER</t>
        </is>
      </c>
      <c r="D3931" s="144" t="n">
        <v>9123219508</v>
      </c>
      <c r="E3931" s="144" t="inlineStr">
        <is>
          <t>BOX</t>
        </is>
      </c>
      <c r="F3931" s="144" t="inlineStr">
        <is>
          <t>3407579 IN</t>
        </is>
      </c>
      <c r="G3931" s="144" t="inlineStr">
        <is>
          <t>WHITE FREIGHTLINER</t>
        </is>
      </c>
      <c r="H3931" s="144" t="n">
        <v>1360</v>
      </c>
      <c r="I3931" s="144" t="inlineStr">
        <is>
          <t>COMMERICAL</t>
        </is>
      </c>
    </row>
    <row r="3932" ht="18" customHeight="1" s="7">
      <c r="A3932" s="144" t="inlineStr">
        <is>
          <t>CORINA WILLIAMS</t>
        </is>
      </c>
      <c r="B3932" s="144" t="inlineStr">
        <is>
          <t>056127581 GA</t>
        </is>
      </c>
      <c r="C3932" s="144" t="inlineStr">
        <is>
          <t>SERVICE TRANSFER</t>
        </is>
      </c>
      <c r="D3932" s="144" t="n">
        <v>9125156599</v>
      </c>
      <c r="E3932" s="144" t="inlineStr">
        <is>
          <t>BOX</t>
        </is>
      </c>
      <c r="F3932" s="144" t="inlineStr">
        <is>
          <t>3415967 IN</t>
        </is>
      </c>
      <c r="G3932" s="144" t="inlineStr">
        <is>
          <t>WHITE FREIGHTLINER</t>
        </is>
      </c>
      <c r="H3932" s="144" t="n">
        <v>1221</v>
      </c>
      <c r="I3932" s="144" t="inlineStr">
        <is>
          <t>COMMERIUCAL</t>
        </is>
      </c>
    </row>
    <row r="3933" ht="18" customHeight="1" s="7">
      <c r="A3933" s="144" t="inlineStr">
        <is>
          <t>KICHURA VALERY</t>
        </is>
      </c>
      <c r="B3933" s="144" t="inlineStr">
        <is>
          <t>K260860694570 FL</t>
        </is>
      </c>
      <c r="C3933" s="144" t="inlineStr">
        <is>
          <t>YK EXPRESS</t>
        </is>
      </c>
      <c r="D3933" s="144" t="n">
        <v>9042376223</v>
      </c>
      <c r="E3933" s="144" t="inlineStr">
        <is>
          <t>FLAT</t>
        </is>
      </c>
      <c r="F3933" s="144" t="inlineStr">
        <is>
          <t>XE421V FL</t>
        </is>
      </c>
      <c r="G3933" s="144" t="inlineStr">
        <is>
          <t>WHITE KENWORTH</t>
        </is>
      </c>
      <c r="H3933" s="144" t="n">
        <v>1221</v>
      </c>
      <c r="I3933" s="144" t="inlineStr">
        <is>
          <t>COMMERICAL</t>
        </is>
      </c>
    </row>
    <row r="3934" ht="18" customHeight="1" s="7">
      <c r="A3934" s="144" t="inlineStr">
        <is>
          <t>RAYDISE COOPER</t>
        </is>
      </c>
      <c r="B3934" s="144" t="inlineStr">
        <is>
          <t>053751054 GA</t>
        </is>
      </c>
      <c r="C3934" s="144" t="inlineStr">
        <is>
          <t>ABMERE INC</t>
        </is>
      </c>
      <c r="D3934" s="144" t="n">
        <v>2292910420</v>
      </c>
      <c r="E3934" s="144" t="inlineStr">
        <is>
          <t>BOX</t>
        </is>
      </c>
      <c r="F3934" s="144" t="inlineStr">
        <is>
          <t>C700EU GA</t>
        </is>
      </c>
      <c r="G3934" s="144" t="inlineStr">
        <is>
          <t>WHITE VOLVO</t>
        </is>
      </c>
      <c r="H3934" s="144" t="n">
        <v>1221</v>
      </c>
      <c r="I3934" s="144" t="inlineStr">
        <is>
          <t>COMMERICAL</t>
        </is>
      </c>
    </row>
    <row r="3935" ht="18" customHeight="1" s="7">
      <c r="A3935" s="144" t="inlineStr">
        <is>
          <t>SHANEEQUAH CANNON</t>
        </is>
      </c>
      <c r="B3935" s="144" t="inlineStr">
        <is>
          <t>049747629 GA</t>
        </is>
      </c>
      <c r="C3935" s="144" t="inlineStr">
        <is>
          <t>SERVICE TRANSFER</t>
        </is>
      </c>
      <c r="D3935" s="144" t="n">
        <v>9122718757</v>
      </c>
      <c r="E3935" s="144" t="inlineStr">
        <is>
          <t>BOX</t>
        </is>
      </c>
      <c r="F3935" s="144" t="inlineStr">
        <is>
          <t>3624652 IN</t>
        </is>
      </c>
      <c r="G3935" s="144" t="inlineStr">
        <is>
          <t>WHITE VOLVO</t>
        </is>
      </c>
      <c r="H3935" s="144" t="n">
        <v>1221</v>
      </c>
      <c r="I3935" s="144" t="inlineStr">
        <is>
          <t>COMMERICAL</t>
        </is>
      </c>
    </row>
    <row r="3936" ht="18" customHeight="1" s="7">
      <c r="A3936" s="144" t="inlineStr">
        <is>
          <t>EUGENE KIRKLAND</t>
        </is>
      </c>
      <c r="B3936" s="144" t="inlineStr">
        <is>
          <t>008574939 SC</t>
        </is>
      </c>
      <c r="C3936" s="144" t="inlineStr">
        <is>
          <t>SERVICE TRANSFER</t>
        </is>
      </c>
      <c r="D3936" s="144" t="n">
        <v>8038422184</v>
      </c>
      <c r="E3936" s="144" t="inlineStr">
        <is>
          <t>BOX</t>
        </is>
      </c>
      <c r="F3936" s="144" t="inlineStr">
        <is>
          <t>3407580 IN</t>
        </is>
      </c>
      <c r="G3936" s="144" t="inlineStr">
        <is>
          <t>WHITE IN</t>
        </is>
      </c>
      <c r="H3936" s="144" t="n">
        <v>1221</v>
      </c>
      <c r="I3936" s="144" t="inlineStr">
        <is>
          <t>COMMERICAL</t>
        </is>
      </c>
    </row>
    <row r="3937" ht="18" customHeight="1" s="7">
      <c r="A3937" s="144" t="inlineStr">
        <is>
          <t>KAJTEZOVIC RASIM</t>
        </is>
      </c>
      <c r="B3937" s="144" t="inlineStr">
        <is>
          <t>W200319009 MI</t>
        </is>
      </c>
      <c r="C3937" s="144" t="inlineStr">
        <is>
          <t>YU TRANS</t>
        </is>
      </c>
      <c r="D3937" s="144" t="n">
        <v>3145568676</v>
      </c>
      <c r="E3937" s="144" t="inlineStr">
        <is>
          <t>BOX</t>
        </is>
      </c>
      <c r="F3937" s="144" t="inlineStr">
        <is>
          <t>09KS6M MI</t>
        </is>
      </c>
      <c r="G3937" s="144" t="inlineStr">
        <is>
          <t>PURPLE FREIGHTLINER</t>
        </is>
      </c>
      <c r="H3937" s="144" t="n">
        <v>1221</v>
      </c>
      <c r="I3937" s="144" t="inlineStr">
        <is>
          <t>COMMERICAL</t>
        </is>
      </c>
    </row>
    <row r="3938" ht="18" customHeight="1" s="7">
      <c r="A3938" s="144" t="inlineStr">
        <is>
          <t>JOHN MCCOY</t>
        </is>
      </c>
      <c r="B3938" s="144" t="inlineStr">
        <is>
          <t>053917449 GA</t>
        </is>
      </c>
      <c r="C3938" s="144" t="inlineStr">
        <is>
          <t>STI TRANS</t>
        </is>
      </c>
      <c r="D3938" s="144" t="n">
        <v>7064136400</v>
      </c>
      <c r="E3938" s="144" t="inlineStr">
        <is>
          <t>BOX</t>
        </is>
      </c>
      <c r="F3938" s="144" t="inlineStr">
        <is>
          <t>C431EL GA</t>
        </is>
      </c>
      <c r="G3938" s="144" t="inlineStr">
        <is>
          <t>WHITE FREIGHTLINER</t>
        </is>
      </c>
      <c r="H3938" s="144" t="n">
        <v>1221</v>
      </c>
      <c r="I3938" s="144" t="inlineStr">
        <is>
          <t>COMMERICAL</t>
        </is>
      </c>
    </row>
    <row r="3939" ht="18" customHeight="1" s="7">
      <c r="A3939" s="144" t="inlineStr">
        <is>
          <t>ANDREI LAZARENCU</t>
        </is>
      </c>
      <c r="B3939" s="144" t="inlineStr">
        <is>
          <t>L26500087217 IL</t>
        </is>
      </c>
      <c r="C3939" s="144" t="inlineStr">
        <is>
          <t>SD LOADED ITUP</t>
        </is>
      </c>
      <c r="D3939" s="144" t="n">
        <v>3312859988</v>
      </c>
      <c r="E3939" s="144" t="inlineStr">
        <is>
          <t>BOX</t>
        </is>
      </c>
      <c r="F3939" s="144" t="inlineStr">
        <is>
          <t>P1265453 IL</t>
        </is>
      </c>
      <c r="G3939" s="144" t="inlineStr">
        <is>
          <t>RED FREIGHTLINER</t>
        </is>
      </c>
      <c r="H3939" s="144" t="n">
        <v>1221</v>
      </c>
      <c r="I3939" s="144" t="inlineStr">
        <is>
          <t>COMMERICAL</t>
        </is>
      </c>
    </row>
    <row r="3940" ht="18" customHeight="1" s="7">
      <c r="A3940" s="144" t="inlineStr">
        <is>
          <t>CHRISTOPHER STRIPLING</t>
        </is>
      </c>
      <c r="B3940" s="144" t="inlineStr">
        <is>
          <t>055857687 GA</t>
        </is>
      </c>
      <c r="C3940" s="144" t="inlineStr">
        <is>
          <t>EQUIPMENT SHARES</t>
        </is>
      </c>
      <c r="D3940" s="144" t="n">
        <v>4783088693</v>
      </c>
      <c r="E3940" s="144" t="inlineStr">
        <is>
          <t>PU</t>
        </is>
      </c>
      <c r="F3940" s="144" t="inlineStr">
        <is>
          <t>3639675 IN</t>
        </is>
      </c>
      <c r="G3940" s="144" t="inlineStr">
        <is>
          <t>WHITE CHEV</t>
        </is>
      </c>
      <c r="H3940" s="144" t="inlineStr">
        <is>
          <t>WEED ST</t>
        </is>
      </c>
      <c r="I3940" s="144" t="inlineStr">
        <is>
          <t>CONTRACTOR</t>
        </is>
      </c>
    </row>
    <row r="3941" ht="18" customHeight="1" s="7">
      <c r="A3941" s="144" t="inlineStr">
        <is>
          <t>MAMED GADZHIYEV</t>
        </is>
      </c>
      <c r="B3941" s="144" t="inlineStr">
        <is>
          <t>053038567 GA</t>
        </is>
      </c>
      <c r="C3941" s="144" t="inlineStr">
        <is>
          <t>FAST TRANSP.</t>
        </is>
      </c>
      <c r="D3941" s="144" t="n">
        <v>6785494140</v>
      </c>
      <c r="E3941" s="144" t="inlineStr">
        <is>
          <t>FLAT</t>
        </is>
      </c>
      <c r="F3941" s="144" t="inlineStr">
        <is>
          <t>C558EY GA</t>
        </is>
      </c>
      <c r="G3941" s="144" t="inlineStr">
        <is>
          <t>GREY VOLVO</t>
        </is>
      </c>
      <c r="H3941" s="144" t="n">
        <v>1221</v>
      </c>
      <c r="I3941" s="144" t="inlineStr">
        <is>
          <t>COMMERICAL</t>
        </is>
      </c>
    </row>
    <row r="3942" ht="18" customHeight="1" s="7">
      <c r="A3942" s="144" t="inlineStr">
        <is>
          <t>NDAGIJMANA OLIVER</t>
        </is>
      </c>
      <c r="B3942" s="144" t="inlineStr">
        <is>
          <t>41465645 TX</t>
        </is>
      </c>
      <c r="C3942" s="144" t="inlineStr">
        <is>
          <t>EHC TRANS</t>
        </is>
      </c>
      <c r="D3942" s="144" t="n">
        <v>6467100941</v>
      </c>
      <c r="E3942" s="144" t="inlineStr">
        <is>
          <t>BOX</t>
        </is>
      </c>
      <c r="F3942" s="144" t="inlineStr">
        <is>
          <t>R719379 TX</t>
        </is>
      </c>
      <c r="G3942" s="144" t="inlineStr">
        <is>
          <t>GREY FREIGHTLINER</t>
        </is>
      </c>
      <c r="H3942" s="144" t="n">
        <v>1221</v>
      </c>
      <c r="I3942" s="144" t="inlineStr">
        <is>
          <t>COMMERICAL</t>
        </is>
      </c>
    </row>
    <row r="3943" ht="18" customHeight="1" s="7">
      <c r="A3943" s="144" t="inlineStr">
        <is>
          <t>ALI ASSAOUI</t>
        </is>
      </c>
      <c r="B3943" s="144" t="inlineStr">
        <is>
          <t>A20331858 KY</t>
        </is>
      </c>
      <c r="C3943" s="144" t="inlineStr">
        <is>
          <t>FUR X</t>
        </is>
      </c>
      <c r="D3943" s="144" t="n">
        <v>5023091359</v>
      </c>
      <c r="E3943" s="144" t="inlineStr">
        <is>
          <t>BOX</t>
        </is>
      </c>
      <c r="F3943" s="144" t="inlineStr">
        <is>
          <t>P1272617 IL</t>
        </is>
      </c>
      <c r="G3943" s="144" t="inlineStr">
        <is>
          <t>WHITE FREIGHTLINER</t>
        </is>
      </c>
      <c r="H3943" s="144" t="n">
        <v>1221</v>
      </c>
      <c r="I3943" s="144" t="inlineStr">
        <is>
          <t>COMMERICAL</t>
        </is>
      </c>
    </row>
    <row r="3944" ht="18" customHeight="1" s="7">
      <c r="A3944" s="144" t="inlineStr">
        <is>
          <t>ELIAS WISEMAN</t>
        </is>
      </c>
      <c r="B3944" s="144" t="inlineStr">
        <is>
          <t>T083274104</t>
        </is>
      </c>
      <c r="C3944" s="144" t="inlineStr">
        <is>
          <t xml:space="preserve">AATCO </t>
        </is>
      </c>
      <c r="D3944" s="144" t="n">
        <v>4057407674</v>
      </c>
      <c r="E3944" s="144" t="inlineStr">
        <is>
          <t>BOX</t>
        </is>
      </c>
      <c r="F3944" s="144" t="inlineStr">
        <is>
          <t>AM57020 AZ</t>
        </is>
      </c>
      <c r="G3944" s="144" t="inlineStr">
        <is>
          <t>SILVER VOLVO</t>
        </is>
      </c>
      <c r="H3944" s="144" t="n">
        <v>1221</v>
      </c>
      <c r="I3944" s="144" t="inlineStr">
        <is>
          <t>COMMERICAL</t>
        </is>
      </c>
    </row>
    <row r="3945" ht="18" customHeight="1" s="7">
      <c r="A3945" s="144" t="inlineStr">
        <is>
          <t>YEVGENY SOLOVIOV</t>
        </is>
      </c>
      <c r="B3945" s="144" t="inlineStr">
        <is>
          <t>S411961842920 FL</t>
        </is>
      </c>
      <c r="C3945" s="144" t="inlineStr">
        <is>
          <t>PTS WORLDWIDE</t>
        </is>
      </c>
      <c r="D3945" s="144" t="n">
        <v>38634110001</v>
      </c>
      <c r="E3945" s="144" t="inlineStr">
        <is>
          <t>BOX</t>
        </is>
      </c>
      <c r="F3945" s="144" t="inlineStr">
        <is>
          <t>P1267104 IL</t>
        </is>
      </c>
      <c r="G3945" s="144" t="inlineStr">
        <is>
          <t>WHITE KENWORTH</t>
        </is>
      </c>
      <c r="H3945" s="144" t="n">
        <v>1221</v>
      </c>
      <c r="I3945" s="144" t="inlineStr">
        <is>
          <t>COMMERICAL</t>
        </is>
      </c>
    </row>
    <row r="3946" ht="18" customHeight="1" s="7">
      <c r="A3946" s="144" t="inlineStr">
        <is>
          <t>MICHEAL ROGERS</t>
        </is>
      </c>
      <c r="B3946" s="144" t="inlineStr">
        <is>
          <t>057371789 GA</t>
        </is>
      </c>
      <c r="C3946" s="144" t="inlineStr">
        <is>
          <t>CONCRETE ENTERP</t>
        </is>
      </c>
      <c r="D3946" s="144" t="n">
        <v>2298881904</v>
      </c>
      <c r="E3946" s="144" t="inlineStr">
        <is>
          <t>DUMP</t>
        </is>
      </c>
      <c r="F3946" s="144" t="inlineStr">
        <is>
          <t>GHQ358 GA</t>
        </is>
      </c>
      <c r="G3946" s="144" t="inlineStr">
        <is>
          <t>WHITE FREIGHTLINER</t>
        </is>
      </c>
      <c r="H3946" s="144" t="inlineStr">
        <is>
          <t>BASEWIDE</t>
        </is>
      </c>
      <c r="I3946" s="144" t="inlineStr">
        <is>
          <t>CONTRACTOR</t>
        </is>
      </c>
    </row>
    <row r="3947" ht="18" customHeight="1" s="7">
      <c r="A3947" s="144" t="inlineStr">
        <is>
          <t>ETTI MIEZAN</t>
        </is>
      </c>
      <c r="B3947" s="144" t="inlineStr">
        <is>
          <t>E300546842470 FL</t>
        </is>
      </c>
      <c r="C3947" s="144" t="inlineStr">
        <is>
          <t>B&amp;I TRANS</t>
        </is>
      </c>
      <c r="D3947" s="144" t="n">
        <v>8135265467</v>
      </c>
      <c r="E3947" s="144" t="inlineStr">
        <is>
          <t>BOX</t>
        </is>
      </c>
      <c r="F3947" s="144" t="inlineStr">
        <is>
          <t>XE759D FL</t>
        </is>
      </c>
      <c r="G3947" s="144" t="inlineStr">
        <is>
          <t>RED KENWORTH</t>
        </is>
      </c>
      <c r="H3947" s="144" t="n">
        <v>1221</v>
      </c>
      <c r="I3947" s="144" t="inlineStr">
        <is>
          <t>COMMERICAL</t>
        </is>
      </c>
    </row>
    <row r="3948" ht="18" customHeight="1" s="7">
      <c r="A3948" s="144" t="inlineStr">
        <is>
          <t>MADU CHIKE</t>
        </is>
      </c>
      <c r="B3948" s="144" t="inlineStr">
        <is>
          <t>M238201578000 FL</t>
        </is>
      </c>
      <c r="C3948" s="144" t="inlineStr">
        <is>
          <t>BRYMAK</t>
        </is>
      </c>
      <c r="D3948" s="144" t="n">
        <v>4703305533</v>
      </c>
      <c r="E3948" s="144" t="inlineStr">
        <is>
          <t>BOX</t>
        </is>
      </c>
      <c r="F3948" s="144" t="inlineStr">
        <is>
          <t>XE485C FL</t>
        </is>
      </c>
      <c r="G3948" s="144" t="inlineStr">
        <is>
          <t>RED FREIGHTLINER</t>
        </is>
      </c>
      <c r="H3948" s="144" t="n">
        <v>1221</v>
      </c>
      <c r="I3948" s="144" t="inlineStr">
        <is>
          <t>COMMERCIAL</t>
        </is>
      </c>
    </row>
    <row r="3949" ht="18" customHeight="1" s="7">
      <c r="A3949" s="144" t="inlineStr">
        <is>
          <t>LEMOUR ABDIAS</t>
        </is>
      </c>
      <c r="B3949" s="144" t="inlineStr">
        <is>
          <t>L560000904640 FL</t>
        </is>
      </c>
      <c r="C3949" s="144" t="inlineStr">
        <is>
          <t>NNT</t>
        </is>
      </c>
      <c r="D3949" s="144" t="n">
        <v>9044370197</v>
      </c>
      <c r="E3949" s="144" t="inlineStr">
        <is>
          <t>BOX</t>
        </is>
      </c>
      <c r="F3949" s="144" t="inlineStr">
        <is>
          <t>P1274618 IL</t>
        </is>
      </c>
      <c r="G3949" s="144" t="inlineStr">
        <is>
          <t>WHITE FREIGHTLINER</t>
        </is>
      </c>
      <c r="H3949" s="144" t="n">
        <v>1260</v>
      </c>
      <c r="I3949" s="144" t="inlineStr">
        <is>
          <t>COMMERCIAL</t>
        </is>
      </c>
    </row>
    <row r="3950" ht="18" customHeight="1" s="7">
      <c r="A3950" s="144" t="inlineStr">
        <is>
          <t>MAVLUD BAYRAKHTAROV</t>
        </is>
      </c>
      <c r="B3950" s="144" t="inlineStr">
        <is>
          <t>*053315587 GA</t>
        </is>
      </c>
      <c r="C3950" s="144" t="inlineStr">
        <is>
          <t>ELITA TRANS</t>
        </is>
      </c>
      <c r="D3950" s="144" t="n">
        <v>6787584727</v>
      </c>
      <c r="E3950" s="144" t="inlineStr">
        <is>
          <t>FLAT</t>
        </is>
      </c>
      <c r="F3950" s="144" t="inlineStr">
        <is>
          <t>C4791B FL</t>
        </is>
      </c>
      <c r="G3950" s="144" t="inlineStr">
        <is>
          <t>WHITE FREIGHTLINER</t>
        </is>
      </c>
      <c r="H3950" s="144" t="n">
        <v>1221</v>
      </c>
      <c r="I3950" s="144" t="inlineStr">
        <is>
          <t>COMMERCIAL</t>
        </is>
      </c>
    </row>
    <row r="3951" ht="18" customHeight="1" s="7">
      <c r="A3951" s="144" t="inlineStr">
        <is>
          <t>KUZMIN IHOR</t>
        </is>
      </c>
      <c r="B3951" s="144" t="inlineStr">
        <is>
          <t>K635679179000 FL</t>
        </is>
      </c>
      <c r="C3951" s="144" t="inlineStr">
        <is>
          <t>YK EXPRESS</t>
        </is>
      </c>
      <c r="D3951" s="144" t="n">
        <v>9162750462</v>
      </c>
      <c r="E3951" s="144" t="inlineStr">
        <is>
          <t>FLAT</t>
        </is>
      </c>
      <c r="F3951" s="144" t="inlineStr">
        <is>
          <t>XE803S FL</t>
        </is>
      </c>
      <c r="G3951" s="144" t="inlineStr">
        <is>
          <t>WHITE PETERBILT</t>
        </is>
      </c>
      <c r="H3951" s="144" t="n">
        <v>1221</v>
      </c>
      <c r="I3951" s="144" t="inlineStr">
        <is>
          <t>COMMERICAL</t>
        </is>
      </c>
    </row>
    <row r="3952" ht="18" customHeight="1" s="7">
      <c r="A3952" s="144" t="inlineStr">
        <is>
          <t>MATTHEW YOUNG</t>
        </is>
      </c>
      <c r="B3952" s="144" t="inlineStr">
        <is>
          <t>058068442 GA</t>
        </is>
      </c>
      <c r="C3952" s="144" t="inlineStr">
        <is>
          <t>BUFFALO ROC</t>
        </is>
      </c>
      <c r="D3952" s="144" t="n">
        <v>2293768900</v>
      </c>
      <c r="E3952" s="144" t="inlineStr">
        <is>
          <t>VAN</t>
        </is>
      </c>
      <c r="F3952" s="144" t="inlineStr">
        <is>
          <t>CJX229 GA</t>
        </is>
      </c>
      <c r="G3952" s="144" t="inlineStr">
        <is>
          <t>WHITE FORD</t>
        </is>
      </c>
      <c r="H3952" s="144" t="n">
        <v>7500</v>
      </c>
      <c r="I3952" s="144" t="inlineStr">
        <is>
          <t>CONTRACTOR</t>
        </is>
      </c>
    </row>
    <row r="3953" ht="18" customHeight="1" s="7">
      <c r="A3953" s="144" t="inlineStr">
        <is>
          <t>MICHEAL DENT</t>
        </is>
      </c>
      <c r="B3953" s="144" t="inlineStr">
        <is>
          <t>RY947525 OH</t>
        </is>
      </c>
      <c r="C3953" s="144" t="inlineStr">
        <is>
          <t>XLG TRANS</t>
        </is>
      </c>
      <c r="D3953" s="144" t="n">
        <v>6145653419</v>
      </c>
      <c r="E3953" s="144" t="inlineStr">
        <is>
          <t>FLAT</t>
        </is>
      </c>
      <c r="F3953" s="144" t="inlineStr">
        <is>
          <t>3014220 IN</t>
        </is>
      </c>
      <c r="G3953" s="144" t="inlineStr">
        <is>
          <t>BLACK KENWORTH</t>
        </is>
      </c>
      <c r="H3953" s="144" t="n">
        <v>1221</v>
      </c>
      <c r="I3953" s="144" t="inlineStr">
        <is>
          <t>COMMERICAL</t>
        </is>
      </c>
    </row>
    <row r="3954" ht="18" customHeight="1" s="7">
      <c r="A3954" s="144" t="inlineStr">
        <is>
          <t>KAMALOV BAKHADIR</t>
        </is>
      </c>
      <c r="B3954" s="144" t="inlineStr">
        <is>
          <t>053113037 GA</t>
        </is>
      </c>
      <c r="C3954" s="144" t="inlineStr">
        <is>
          <t>TITAN EXPRESS</t>
        </is>
      </c>
      <c r="D3954" s="144" t="n">
        <v>4047899114</v>
      </c>
      <c r="E3954" s="144" t="inlineStr">
        <is>
          <t>FLAT</t>
        </is>
      </c>
      <c r="F3954" s="144" t="inlineStr">
        <is>
          <t>PWV9026 OH</t>
        </is>
      </c>
      <c r="G3954" s="144" t="inlineStr">
        <is>
          <t>RED VOLVO</t>
        </is>
      </c>
      <c r="H3954" s="144" t="n">
        <v>1221</v>
      </c>
      <c r="I3954" s="144" t="inlineStr">
        <is>
          <t>COMMERICAL</t>
        </is>
      </c>
    </row>
    <row r="3955" ht="18" customHeight="1" s="7">
      <c r="A3955" s="144" t="inlineStr">
        <is>
          <t>VAD FERENC GERGO</t>
        </is>
      </c>
      <c r="B3955" s="144" t="inlineStr">
        <is>
          <t>V300247781891 FL</t>
        </is>
      </c>
      <c r="C3955" s="144" t="inlineStr">
        <is>
          <t>ATLANTIC FREIGHT</t>
        </is>
      </c>
      <c r="D3955" s="144" t="n">
        <v>3863076640</v>
      </c>
      <c r="E3955" s="144" t="inlineStr">
        <is>
          <t>FLAT</t>
        </is>
      </c>
      <c r="F3955" s="144" t="inlineStr">
        <is>
          <t>XE001Y FL</t>
        </is>
      </c>
      <c r="G3955" s="144" t="inlineStr">
        <is>
          <t>RED FREIGHTLINER</t>
        </is>
      </c>
      <c r="H3955" s="144" t="n">
        <v>1221</v>
      </c>
      <c r="I3955" s="144" t="inlineStr">
        <is>
          <t>COMMERICAL</t>
        </is>
      </c>
    </row>
    <row r="3956" ht="18" customHeight="1" s="7">
      <c r="A3956" s="144" t="inlineStr">
        <is>
          <t>KEVIN BUCKLEY</t>
        </is>
      </c>
      <c r="B3956" s="144" t="inlineStr">
        <is>
          <t>1355218 DE</t>
        </is>
      </c>
      <c r="C3956" s="144" t="inlineStr">
        <is>
          <t>RYDER</t>
        </is>
      </c>
      <c r="D3956" s="144" t="n">
        <v>6107177710</v>
      </c>
      <c r="E3956" s="144" t="inlineStr">
        <is>
          <t>BOX</t>
        </is>
      </c>
      <c r="F3956" s="144" t="inlineStr">
        <is>
          <t>3159289 IN</t>
        </is>
      </c>
      <c r="G3956" s="144" t="inlineStr">
        <is>
          <t>WHITE FREIGHTLINER</t>
        </is>
      </c>
      <c r="H3956" s="144" t="n">
        <v>1221</v>
      </c>
      <c r="I3956" s="144" t="inlineStr">
        <is>
          <t>COMMERICAL</t>
        </is>
      </c>
    </row>
    <row r="3957" ht="18" customHeight="1" s="7">
      <c r="A3957" s="144" t="inlineStr">
        <is>
          <t>SAGE OLDS</t>
        </is>
      </c>
      <c r="B3957" s="144" t="inlineStr">
        <is>
          <t>A205344008 MI</t>
        </is>
      </c>
      <c r="C3957" s="144" t="inlineStr">
        <is>
          <t>XLG TRANS</t>
        </is>
      </c>
      <c r="D3957" s="144" t="n">
        <v>4173719311</v>
      </c>
      <c r="E3957" s="144" t="inlineStr">
        <is>
          <t>FLAT</t>
        </is>
      </c>
      <c r="F3957" s="144" t="inlineStr">
        <is>
          <t>3655374 IN</t>
        </is>
      </c>
      <c r="G3957" s="144" t="inlineStr">
        <is>
          <t>YELLOW PETERBILT</t>
        </is>
      </c>
      <c r="H3957" s="144" t="n">
        <v>1221</v>
      </c>
      <c r="I3957" s="144" t="inlineStr">
        <is>
          <t>COMMERICAL</t>
        </is>
      </c>
    </row>
    <row r="3958" ht="18" customHeight="1" s="7">
      <c r="A3958" s="144" t="inlineStr">
        <is>
          <t xml:space="preserve">JOANEL GUERRIER </t>
        </is>
      </c>
      <c r="B3958" s="144" t="inlineStr">
        <is>
          <t>G660434850910 FL</t>
        </is>
      </c>
      <c r="C3958" s="144" t="inlineStr">
        <is>
          <t>PENSKE</t>
        </is>
      </c>
      <c r="D3958" s="144" t="n">
        <v>3474164565</v>
      </c>
      <c r="E3958" s="144" t="inlineStr">
        <is>
          <t>BOX</t>
        </is>
      </c>
      <c r="F3958" s="144" t="inlineStr">
        <is>
          <t>T3551889 IN</t>
        </is>
      </c>
      <c r="G3958" s="144" t="inlineStr">
        <is>
          <t>WHITE VOLVO</t>
        </is>
      </c>
      <c r="H3958" s="144" t="n">
        <v>1221</v>
      </c>
      <c r="I3958" s="144" t="inlineStr">
        <is>
          <t>COMMERICAL</t>
        </is>
      </c>
    </row>
    <row r="3959" ht="18" customHeight="1" s="7">
      <c r="A3959" s="144" t="inlineStr">
        <is>
          <t>ROLANDO SANCHEZ</t>
        </is>
      </c>
      <c r="B3959" s="144" t="inlineStr">
        <is>
          <t>S221029828000 FL</t>
        </is>
      </c>
      <c r="C3959" s="144" t="inlineStr">
        <is>
          <t>K9 TRUCKING</t>
        </is>
      </c>
      <c r="D3959" s="144" t="n">
        <v>7025611231</v>
      </c>
      <c r="E3959" s="144" t="inlineStr">
        <is>
          <t>FLAT</t>
        </is>
      </c>
      <c r="F3959" s="144" t="inlineStr">
        <is>
          <t>R715565 TX</t>
        </is>
      </c>
      <c r="G3959" s="144" t="inlineStr">
        <is>
          <t>RED KENWORTH</t>
        </is>
      </c>
      <c r="H3959" s="144" t="n">
        <v>1221</v>
      </c>
      <c r="I3959" s="144" t="inlineStr">
        <is>
          <t>COMMERICAL</t>
        </is>
      </c>
    </row>
    <row r="3960" ht="18" customHeight="1" s="7">
      <c r="A3960" s="144" t="inlineStr">
        <is>
          <t>ADILET OMURBEKOV</t>
        </is>
      </c>
      <c r="B3960" s="144" t="inlineStr">
        <is>
          <t>O56100091255 IL</t>
        </is>
      </c>
      <c r="C3960" s="144" t="inlineStr">
        <is>
          <t xml:space="preserve">D&amp;D </t>
        </is>
      </c>
      <c r="D3960" s="144" t="n">
        <v>3127747380</v>
      </c>
      <c r="E3960" s="144" t="inlineStr">
        <is>
          <t>FLAT</t>
        </is>
      </c>
      <c r="F3960" s="144" t="inlineStr">
        <is>
          <t>P1019401 IL</t>
        </is>
      </c>
      <c r="G3960" s="144" t="inlineStr">
        <is>
          <t>BLUE PETERBILT</t>
        </is>
      </c>
      <c r="H3960" s="144" t="n">
        <v>1221</v>
      </c>
      <c r="I3960" s="144" t="inlineStr">
        <is>
          <t>COMMERCIAL</t>
        </is>
      </c>
    </row>
    <row r="3961" ht="18" customHeight="1" s="7">
      <c r="A3961" s="144" t="inlineStr">
        <is>
          <t>CAROL BROOKS</t>
        </is>
      </c>
      <c r="B3961" s="144" t="inlineStr">
        <is>
          <t>000022866902 NC</t>
        </is>
      </c>
      <c r="C3961" s="144" t="inlineStr">
        <is>
          <t>MAG CARRIERS</t>
        </is>
      </c>
      <c r="D3961" s="144" t="n">
        <v>3365756351</v>
      </c>
      <c r="E3961" s="144" t="inlineStr">
        <is>
          <t>BOX</t>
        </is>
      </c>
      <c r="F3961" s="144" t="inlineStr">
        <is>
          <t>VV7160 NC</t>
        </is>
      </c>
      <c r="G3961" s="144" t="inlineStr">
        <is>
          <t>WHITE PETERBILT</t>
        </is>
      </c>
      <c r="H3961" s="144" t="n">
        <v>1221</v>
      </c>
      <c r="I3961" s="144" t="inlineStr">
        <is>
          <t>COMMERCIAL</t>
        </is>
      </c>
    </row>
    <row r="3962" ht="18" customHeight="1" s="7">
      <c r="A3962" s="144" t="inlineStr">
        <is>
          <t>MARTIN PIZZOLATO</t>
        </is>
      </c>
      <c r="B3962" s="144" t="inlineStr">
        <is>
          <t>P24356169215 IL</t>
        </is>
      </c>
      <c r="C3962" s="144" t="inlineStr">
        <is>
          <t>TTI</t>
        </is>
      </c>
      <c r="D3962" s="144" t="n">
        <v>6303630310</v>
      </c>
      <c r="E3962" s="144" t="inlineStr">
        <is>
          <t>FLAT</t>
        </is>
      </c>
      <c r="F3962" s="144" t="inlineStr">
        <is>
          <t>T98591 WC</t>
        </is>
      </c>
      <c r="G3962" s="144" t="inlineStr">
        <is>
          <t>WHITE FREIGHTLINER</t>
        </is>
      </c>
      <c r="H3962" s="144" t="n">
        <v>1221</v>
      </c>
      <c r="I3962" s="144" t="inlineStr">
        <is>
          <t>COMMERCIAL</t>
        </is>
      </c>
    </row>
    <row r="3963" ht="18" customHeight="1" s="7">
      <c r="A3963" s="144" t="inlineStr">
        <is>
          <t>BRANDON MINOR</t>
        </is>
      </c>
      <c r="B3963" s="144" t="inlineStr">
        <is>
          <t>19914148 TX</t>
        </is>
      </c>
      <c r="C3963" s="144" t="inlineStr">
        <is>
          <t>VT TRANS</t>
        </is>
      </c>
      <c r="D3963" s="144" t="n">
        <v>4698631951</v>
      </c>
      <c r="E3963" s="144" t="inlineStr">
        <is>
          <t>BOX</t>
        </is>
      </c>
      <c r="F3963" s="144" t="inlineStr">
        <is>
          <t>155169 IN</t>
        </is>
      </c>
      <c r="G3963" s="144" t="inlineStr">
        <is>
          <t>WHITE FREIGHTLINER</t>
        </is>
      </c>
      <c r="H3963" s="144" t="n">
        <v>1221</v>
      </c>
      <c r="I3963" s="144" t="inlineStr">
        <is>
          <t>COMMERCIAL</t>
        </is>
      </c>
    </row>
    <row r="3964" ht="18" customHeight="1" s="7">
      <c r="A3964" s="144" t="inlineStr">
        <is>
          <t>JUSTIN HARPER</t>
        </is>
      </c>
      <c r="B3964" s="144" t="inlineStr">
        <is>
          <t>*051285363 GA</t>
        </is>
      </c>
      <c r="C3964" s="144" t="inlineStr">
        <is>
          <t>YANCEY RENTALS</t>
        </is>
      </c>
      <c r="D3964" s="144" t="n">
        <v>2292378964</v>
      </c>
      <c r="E3964" s="144" t="inlineStr">
        <is>
          <t>FLAT</t>
        </is>
      </c>
      <c r="F3964" s="144" t="inlineStr">
        <is>
          <t>P202CB GA</t>
        </is>
      </c>
      <c r="G3964" s="144" t="inlineStr">
        <is>
          <t>WHITE PETERBILT</t>
        </is>
      </c>
      <c r="H3964" s="144" t="inlineStr">
        <is>
          <t>WAREHOUSE</t>
        </is>
      </c>
      <c r="I3964" s="144" t="inlineStr">
        <is>
          <t>COMMERCIAL</t>
        </is>
      </c>
    </row>
    <row r="3965" ht="18" customHeight="1" s="7">
      <c r="A3965" s="144" t="inlineStr">
        <is>
          <t>LUGO OMAR</t>
        </is>
      </c>
      <c r="B3965" s="144" t="inlineStr">
        <is>
          <t>117296793 CC</t>
        </is>
      </c>
      <c r="C3965" s="144" t="inlineStr">
        <is>
          <t>ECHO LOGISTICS</t>
        </is>
      </c>
      <c r="D3965" s="144" t="n">
        <v>8608885355</v>
      </c>
      <c r="E3965" s="144" t="inlineStr">
        <is>
          <t>VAN</t>
        </is>
      </c>
      <c r="F3965" s="144" t="inlineStr">
        <is>
          <t>319406 CC</t>
        </is>
      </c>
      <c r="G3965" s="144" t="inlineStr">
        <is>
          <t>WHITE MERCEDES</t>
        </is>
      </c>
      <c r="H3965" s="144" t="n">
        <v>1221</v>
      </c>
      <c r="I3965" s="144" t="inlineStr">
        <is>
          <t>CONTRACTOR</t>
        </is>
      </c>
    </row>
    <row r="3966" ht="18" customHeight="1" s="7">
      <c r="A3966" s="144" t="inlineStr">
        <is>
          <t>SAMMIE BRIDGES JR</t>
        </is>
      </c>
      <c r="B3966" s="144" t="inlineStr">
        <is>
          <t>*052118087 GA</t>
        </is>
      </c>
      <c r="C3966" s="144" t="inlineStr">
        <is>
          <t xml:space="preserve">SOUTHEASTERN </t>
        </is>
      </c>
      <c r="D3966" s="144" t="n">
        <v>2299427578</v>
      </c>
      <c r="E3966" s="144" t="inlineStr">
        <is>
          <t>BOX</t>
        </is>
      </c>
      <c r="F3966" s="144" t="inlineStr">
        <is>
          <t>U8124HY TN</t>
        </is>
      </c>
      <c r="G3966" s="144" t="inlineStr">
        <is>
          <t>RED INTERNATIONAL</t>
        </is>
      </c>
      <c r="H3966" s="144" t="n">
        <v>1330</v>
      </c>
      <c r="I3966" s="144" t="inlineStr">
        <is>
          <t>COMMERCIAL</t>
        </is>
      </c>
    </row>
    <row r="3967" ht="18" customHeight="1" s="7">
      <c r="A3967" s="144" t="inlineStr">
        <is>
          <t>DZHANAYEV PAYLIVAN</t>
        </is>
      </c>
      <c r="B3967" s="144" t="inlineStr">
        <is>
          <t>106288148 SC</t>
        </is>
      </c>
      <c r="C3967" s="144" t="inlineStr">
        <is>
          <t>FAST TRANSP.</t>
        </is>
      </c>
      <c r="D3967" s="144" t="n">
        <v>7049069567</v>
      </c>
      <c r="E3967" s="144" t="inlineStr">
        <is>
          <t>FLAT</t>
        </is>
      </c>
      <c r="F3967" s="144" t="inlineStr">
        <is>
          <t>C361EK GA</t>
        </is>
      </c>
      <c r="G3967" s="144" t="inlineStr">
        <is>
          <t>BLUE VOLVO</t>
        </is>
      </c>
      <c r="H3967" s="144" t="n">
        <v>1221</v>
      </c>
      <c r="I3967" s="144" t="inlineStr">
        <is>
          <t>COMMERCIAL</t>
        </is>
      </c>
    </row>
    <row r="3968" ht="18" customHeight="1" s="7">
      <c r="A3968" s="144" t="inlineStr">
        <is>
          <t>JACOB HOPPER</t>
        </is>
      </c>
      <c r="B3968" s="144" t="inlineStr">
        <is>
          <t>*071803346 GA</t>
        </is>
      </c>
      <c r="C3968" s="144" t="inlineStr">
        <is>
          <t>ENERGY SYSTEM</t>
        </is>
      </c>
      <c r="D3968" s="144" t="n">
        <v>9372489919</v>
      </c>
      <c r="E3968" s="144" t="inlineStr">
        <is>
          <t>PU</t>
        </is>
      </c>
      <c r="F3968" s="144" t="inlineStr">
        <is>
          <t>RXL2346 GA</t>
        </is>
      </c>
      <c r="G3968" s="144" t="inlineStr">
        <is>
          <t>GREY FORD</t>
        </is>
      </c>
      <c r="H3968" s="144" t="n">
        <v>2299</v>
      </c>
      <c r="I3968" s="144" t="inlineStr">
        <is>
          <t>CONTRACTOR</t>
        </is>
      </c>
    </row>
    <row r="3969" ht="18" customHeight="1" s="7">
      <c r="A3969" s="144" t="inlineStr">
        <is>
          <t>MOSELEY DARREN</t>
        </is>
      </c>
      <c r="B3969" s="144" t="inlineStr">
        <is>
          <t>*051474766 GA</t>
        </is>
      </c>
      <c r="C3969" s="144" t="inlineStr">
        <is>
          <t>CONREETE ENT</t>
        </is>
      </c>
      <c r="D3969" s="144" t="n">
        <v>2298881904</v>
      </c>
      <c r="E3969" s="144" t="inlineStr">
        <is>
          <t>MIXER</t>
        </is>
      </c>
      <c r="F3969" s="144" t="inlineStr">
        <is>
          <t>EKH997 GA</t>
        </is>
      </c>
      <c r="G3969" s="144" t="inlineStr">
        <is>
          <t>WHITE MACK</t>
        </is>
      </c>
      <c r="H3969" s="144" t="inlineStr">
        <is>
          <t>GATE 15</t>
        </is>
      </c>
      <c r="I3969" s="144" t="inlineStr">
        <is>
          <t>CONTRACTOR</t>
        </is>
      </c>
    </row>
    <row r="3970" ht="18" customHeight="1" s="7">
      <c r="A3970" s="144" t="inlineStr">
        <is>
          <t xml:space="preserve">JOHN SMITH </t>
        </is>
      </c>
      <c r="B3970" s="144" t="inlineStr">
        <is>
          <t>*051846949 GA</t>
        </is>
      </c>
      <c r="C3970" s="144" t="inlineStr">
        <is>
          <t xml:space="preserve">SOUTHEASTERN </t>
        </is>
      </c>
      <c r="D3970" s="144" t="n">
        <v>2295738732</v>
      </c>
      <c r="E3970" s="144" t="inlineStr">
        <is>
          <t>BOX</t>
        </is>
      </c>
      <c r="F3970" s="144" t="inlineStr">
        <is>
          <t>D9326HY TN</t>
        </is>
      </c>
      <c r="G3970" s="144" t="inlineStr">
        <is>
          <t>RED INTERNATIONAL</t>
        </is>
      </c>
      <c r="H3970" s="144" t="inlineStr">
        <is>
          <t>BASEWIDE</t>
        </is>
      </c>
      <c r="I3970" s="144" t="inlineStr">
        <is>
          <t>COMMERCIAL</t>
        </is>
      </c>
    </row>
    <row r="3971" ht="18" customHeight="1" s="7">
      <c r="A3971" s="144" t="inlineStr">
        <is>
          <t>JOHN KEENER</t>
        </is>
      </c>
      <c r="B3971" s="144" t="inlineStr">
        <is>
          <t>*000037804460 NC</t>
        </is>
      </c>
      <c r="C3971" s="144" t="inlineStr">
        <is>
          <t>ADMERAL MERCHANT</t>
        </is>
      </c>
      <c r="D3971" s="144" t="n">
        <v>7049043105</v>
      </c>
      <c r="E3971" s="144" t="inlineStr">
        <is>
          <t>FLAT</t>
        </is>
      </c>
      <c r="F3971" s="144" t="inlineStr">
        <is>
          <t>A520945 MI</t>
        </is>
      </c>
      <c r="G3971" s="144" t="inlineStr">
        <is>
          <t>BLUE KENWORTH</t>
        </is>
      </c>
      <c r="H3971" s="144" t="n">
        <v>1221</v>
      </c>
      <c r="I3971" s="144" t="inlineStr">
        <is>
          <t>COMMERCIAL</t>
        </is>
      </c>
    </row>
    <row r="3972" ht="18" customHeight="1" s="7">
      <c r="A3972" s="144" t="inlineStr">
        <is>
          <t>DONALD SANKOLEWICZ</t>
        </is>
      </c>
      <c r="B3972" s="144" t="inlineStr">
        <is>
          <t>T6450384 VA</t>
        </is>
      </c>
      <c r="C3972" s="144" t="inlineStr">
        <is>
          <t>ADMERAL MERCHANT</t>
        </is>
      </c>
      <c r="D3972" s="144" t="n">
        <v>3366152401</v>
      </c>
      <c r="E3972" s="144" t="inlineStr">
        <is>
          <t>FLAT</t>
        </is>
      </c>
      <c r="F3972" s="144" t="inlineStr">
        <is>
          <t>A520940 MS</t>
        </is>
      </c>
      <c r="G3972" s="144" t="inlineStr">
        <is>
          <t>RED PETERBILT</t>
        </is>
      </c>
      <c r="H3972" s="144" t="n">
        <v>1221</v>
      </c>
      <c r="I3972" s="144" t="inlineStr">
        <is>
          <t>COMMERCIAL</t>
        </is>
      </c>
    </row>
    <row r="3973" ht="18" customHeight="1" s="7">
      <c r="A3973" s="144" t="inlineStr">
        <is>
          <t>ARKADIUSZ DZIENISZEWSKI</t>
        </is>
      </c>
      <c r="B3973" s="144" t="inlineStr">
        <is>
          <t>23389898 PA</t>
        </is>
      </c>
      <c r="C3973" s="144" t="inlineStr">
        <is>
          <t>JONES MOTOR</t>
        </is>
      </c>
      <c r="D3973" s="144" t="n">
        <v>2672216814</v>
      </c>
      <c r="E3973" s="144" t="inlineStr">
        <is>
          <t>FLAT</t>
        </is>
      </c>
      <c r="F3973" s="144" t="inlineStr">
        <is>
          <t>2596529 IN</t>
        </is>
      </c>
      <c r="G3973" s="144" t="inlineStr">
        <is>
          <t>WHITE KENWORTH</t>
        </is>
      </c>
      <c r="H3973" s="144" t="n">
        <v>1221</v>
      </c>
      <c r="I3973" s="144" t="inlineStr">
        <is>
          <t>COMMERCIAL</t>
        </is>
      </c>
    </row>
    <row r="3974" ht="18" customHeight="1" s="7">
      <c r="A3974" s="144" t="inlineStr">
        <is>
          <t>DWAYNE PARLER</t>
        </is>
      </c>
      <c r="B3974" s="144" t="inlineStr">
        <is>
          <t>27066876 PA</t>
        </is>
      </c>
      <c r="C3974" s="144" t="inlineStr">
        <is>
          <t>VAKULITCH</t>
        </is>
      </c>
      <c r="D3974" s="144" t="n">
        <v>7178312135</v>
      </c>
      <c r="E3974" s="144" t="inlineStr">
        <is>
          <t>VAN</t>
        </is>
      </c>
      <c r="F3974" s="144" t="inlineStr">
        <is>
          <t>LKY5682 NC</t>
        </is>
      </c>
      <c r="G3974" s="144" t="inlineStr">
        <is>
          <t>WHITE FORD</t>
        </is>
      </c>
      <c r="H3974" s="144" t="n">
        <v>1330</v>
      </c>
      <c r="I3974" s="144" t="inlineStr">
        <is>
          <t>COMMERCIAL</t>
        </is>
      </c>
    </row>
    <row r="3975" ht="18" customHeight="1" s="7">
      <c r="A3975" s="144" t="inlineStr">
        <is>
          <t>OVIDIO ALVAREZ</t>
        </is>
      </c>
      <c r="B3975" s="144" t="inlineStr">
        <is>
          <t>A416646754490 FL</t>
        </is>
      </c>
      <c r="C3975" s="144" t="inlineStr">
        <is>
          <t>AIP LOG</t>
        </is>
      </c>
      <c r="D3975" s="144" t="n">
        <v>8638587955</v>
      </c>
      <c r="E3975" s="144" t="inlineStr">
        <is>
          <t>FLAT</t>
        </is>
      </c>
      <c r="F3975" s="144" t="inlineStr">
        <is>
          <t>DG9OBH FL</t>
        </is>
      </c>
      <c r="G3975" s="144" t="inlineStr">
        <is>
          <t>WHITE PETERBILT</t>
        </is>
      </c>
      <c r="H3975" s="144" t="inlineStr">
        <is>
          <t>GATE 15</t>
        </is>
      </c>
      <c r="I3975" s="144" t="inlineStr">
        <is>
          <t>COMMERCIAL</t>
        </is>
      </c>
    </row>
    <row r="3976" ht="18" customHeight="1" s="7">
      <c r="A3976" s="144" t="inlineStr">
        <is>
          <t>DORON DORAVI</t>
        </is>
      </c>
      <c r="B3976" s="144" t="inlineStr">
        <is>
          <t>B13666989 AZ</t>
        </is>
      </c>
      <c r="C3976" s="144" t="inlineStr">
        <is>
          <t>AMERICA PRIDE</t>
        </is>
      </c>
      <c r="D3976" s="144" t="n">
        <v>6025255250</v>
      </c>
      <c r="E3976" s="144" t="inlineStr">
        <is>
          <t>FLAT</t>
        </is>
      </c>
      <c r="F3976" s="144" t="inlineStr">
        <is>
          <t>AL1013 AZ</t>
        </is>
      </c>
      <c r="G3976" s="144" t="inlineStr">
        <is>
          <t>TRAN KENWORTH</t>
        </is>
      </c>
      <c r="H3976" s="144" t="n">
        <v>1221</v>
      </c>
      <c r="I3976" s="144" t="inlineStr">
        <is>
          <t>COMMERCIAL</t>
        </is>
      </c>
    </row>
    <row r="3977" ht="18" customHeight="1" s="7">
      <c r="A3977" s="144" t="inlineStr">
        <is>
          <t>WILLIAM CARLISLE</t>
        </is>
      </c>
      <c r="B3977" s="144" t="inlineStr">
        <is>
          <t>3894371 AL</t>
        </is>
      </c>
      <c r="C3977" s="144" t="inlineStr">
        <is>
          <t>ADMERAL MERCHANT</t>
        </is>
      </c>
      <c r="D3977" s="144" t="n">
        <v>2054056268</v>
      </c>
      <c r="E3977" s="144" t="inlineStr">
        <is>
          <t>FLAT</t>
        </is>
      </c>
      <c r="F3977" s="144" t="inlineStr">
        <is>
          <t>PAT8691  MI</t>
        </is>
      </c>
      <c r="G3977" s="144" t="inlineStr">
        <is>
          <t>RED KENWORTH</t>
        </is>
      </c>
      <c r="H3977" s="144" t="n">
        <v>1221</v>
      </c>
      <c r="I3977" s="144" t="inlineStr">
        <is>
          <t>COMMERCAIL</t>
        </is>
      </c>
    </row>
    <row r="3978" ht="18" customHeight="1" s="7">
      <c r="A3978" s="144" t="inlineStr">
        <is>
          <t>DIEUSIBON DIELCE</t>
        </is>
      </c>
      <c r="B3978" s="144" t="inlineStr">
        <is>
          <t>45115053 TX</t>
        </is>
      </c>
      <c r="C3978" s="144" t="inlineStr">
        <is>
          <t>ADMERAL MERCHANT</t>
        </is>
      </c>
      <c r="D3978" s="144" t="n">
        <v>4307752216</v>
      </c>
      <c r="E3978" s="144" t="inlineStr">
        <is>
          <t>FLAT</t>
        </is>
      </c>
      <c r="F3978" s="144" t="inlineStr">
        <is>
          <t>PZB0642 MI</t>
        </is>
      </c>
      <c r="G3978" s="144" t="inlineStr">
        <is>
          <t>GREEN FREIGHTLINER</t>
        </is>
      </c>
      <c r="H3978" s="144" t="n">
        <v>1221</v>
      </c>
      <c r="I3978" s="144" t="inlineStr">
        <is>
          <t>COMMERCIAL</t>
        </is>
      </c>
    </row>
    <row r="3979" ht="18" customHeight="1" s="7">
      <c r="A3979" s="144" t="inlineStr">
        <is>
          <t>WILLIAMS ARTHUR</t>
        </is>
      </c>
      <c r="B3979" s="144" t="inlineStr">
        <is>
          <t>*056111867 GA</t>
        </is>
      </c>
      <c r="C3979" s="144" t="inlineStr">
        <is>
          <t>BARNES VAN LINES</t>
        </is>
      </c>
      <c r="D3979" s="144" t="n">
        <v>7063306565</v>
      </c>
      <c r="E3979" s="144" t="inlineStr">
        <is>
          <t>VAN</t>
        </is>
      </c>
      <c r="F3979" s="144" t="inlineStr">
        <is>
          <t>PFQ2767 GA</t>
        </is>
      </c>
      <c r="G3979" s="144" t="inlineStr">
        <is>
          <t>WHITE FORD</t>
        </is>
      </c>
      <c r="H3979" s="144" t="n">
        <v>7130</v>
      </c>
      <c r="I3979" s="144" t="inlineStr">
        <is>
          <t>CONTRACTOR</t>
        </is>
      </c>
    </row>
    <row r="3980" ht="18" customHeight="1" s="7">
      <c r="A3980" s="144" t="inlineStr">
        <is>
          <t>BLAKE STONE</t>
        </is>
      </c>
      <c r="B3980" s="144" t="inlineStr">
        <is>
          <t>*061125548 GA</t>
        </is>
      </c>
      <c r="C3980" s="144" t="inlineStr">
        <is>
          <t>MARK VON TILE</t>
        </is>
      </c>
      <c r="D3980" s="144" t="n">
        <v>9123091360</v>
      </c>
      <c r="E3980" s="144" t="inlineStr">
        <is>
          <t>PU</t>
        </is>
      </c>
      <c r="F3980" s="144" t="inlineStr">
        <is>
          <t>SGG3894 GA</t>
        </is>
      </c>
      <c r="G3980" s="144" t="inlineStr">
        <is>
          <t>WHITE FORD</t>
        </is>
      </c>
      <c r="H3980" s="144" t="n">
        <v>7130</v>
      </c>
      <c r="I3980" s="144" t="inlineStr">
        <is>
          <t>CONTRACTOR</t>
        </is>
      </c>
    </row>
    <row r="3981" ht="18" customHeight="1" s="7">
      <c r="A3981" s="144" t="inlineStr">
        <is>
          <t>LUIS OROZCO</t>
        </is>
      </c>
      <c r="B3981" s="144" t="inlineStr">
        <is>
          <t>O632481165000 FL</t>
        </is>
      </c>
      <c r="C3981" s="144" t="inlineStr">
        <is>
          <t>PERUCHO</t>
        </is>
      </c>
      <c r="D3981" s="144" t="n">
        <v>6452006611</v>
      </c>
      <c r="E3981" s="144" t="inlineStr">
        <is>
          <t>PU</t>
        </is>
      </c>
      <c r="F3981" s="144" t="inlineStr">
        <is>
          <t>FPL96 FL</t>
        </is>
      </c>
      <c r="G3981" s="144" t="inlineStr">
        <is>
          <t>BLACK FORD</t>
        </is>
      </c>
      <c r="H3981" s="144" t="n">
        <v>1360</v>
      </c>
      <c r="I3981" s="144" t="inlineStr">
        <is>
          <t>CONTRACTOR</t>
        </is>
      </c>
    </row>
    <row r="3982" ht="18" customHeight="1" s="7">
      <c r="A3982" s="144" t="inlineStr">
        <is>
          <t>SHON JOSEPH</t>
        </is>
      </c>
      <c r="B3982" s="144" t="inlineStr">
        <is>
          <t>13891079 TX</t>
        </is>
      </c>
      <c r="C3982" s="144" t="inlineStr">
        <is>
          <t>UNITED TRANS</t>
        </is>
      </c>
      <c r="D3982" s="144" t="n">
        <v>8329669001</v>
      </c>
      <c r="E3982" s="144" t="inlineStr">
        <is>
          <t>BOX</t>
        </is>
      </c>
      <c r="F3982" s="144" t="inlineStr">
        <is>
          <t>3666967 IN</t>
        </is>
      </c>
      <c r="G3982" s="144" t="inlineStr">
        <is>
          <t>BLUE FREIGHTLINER</t>
        </is>
      </c>
      <c r="H3982" s="144" t="n">
        <v>1221</v>
      </c>
      <c r="I3982" s="144" t="inlineStr">
        <is>
          <t>COMMERCIAL</t>
        </is>
      </c>
    </row>
    <row r="3983" ht="18" customHeight="1" s="7">
      <c r="A3983" s="144" t="inlineStr">
        <is>
          <t>JUDE LOUIS</t>
        </is>
      </c>
      <c r="B3983" s="144" t="inlineStr">
        <is>
          <t>*057212938 GA</t>
        </is>
      </c>
      <c r="C3983" s="144" t="inlineStr">
        <is>
          <t>SAW</t>
        </is>
      </c>
      <c r="D3983" s="144" t="n">
        <v>7067639742</v>
      </c>
      <c r="E3983" s="144" t="inlineStr">
        <is>
          <t>BOX</t>
        </is>
      </c>
      <c r="F3983" s="144" t="inlineStr">
        <is>
          <t>C252DS GA</t>
        </is>
      </c>
      <c r="G3983" s="144" t="inlineStr">
        <is>
          <t>WHITE FREIGHTLINER</t>
        </is>
      </c>
      <c r="H3983" s="144" t="n">
        <v>1221</v>
      </c>
      <c r="I3983" s="144" t="inlineStr">
        <is>
          <t>COMMERCIAL</t>
        </is>
      </c>
    </row>
    <row r="3984" ht="18" customHeight="1" s="7">
      <c r="A3984" s="144" t="inlineStr">
        <is>
          <t>DAVID KITCHEN</t>
        </is>
      </c>
      <c r="B3984" s="144" t="inlineStr">
        <is>
          <t>*000043887438 NC</t>
        </is>
      </c>
      <c r="C3984" s="144" t="inlineStr">
        <is>
          <t>ATI TRUCKING</t>
        </is>
      </c>
      <c r="D3984" s="144" t="n">
        <v>3215041111</v>
      </c>
      <c r="E3984" s="144" t="inlineStr">
        <is>
          <t>FLAT</t>
        </is>
      </c>
      <c r="F3984" s="144" t="inlineStr">
        <is>
          <t>P1325033 IL</t>
        </is>
      </c>
      <c r="G3984" s="144" t="inlineStr">
        <is>
          <t xml:space="preserve">BLACK INTERNATIONAL </t>
        </is>
      </c>
      <c r="H3984" s="144" t="n">
        <v>1221</v>
      </c>
      <c r="I3984" s="144" t="inlineStr">
        <is>
          <t>COMMERCIAL</t>
        </is>
      </c>
    </row>
    <row r="3985" ht="18" customHeight="1" s="7">
      <c r="A3985" s="144" t="inlineStr">
        <is>
          <t>GEORGI YURUKOV</t>
        </is>
      </c>
      <c r="B3985" s="144" t="inlineStr">
        <is>
          <t>Y621296880590 FL</t>
        </is>
      </c>
      <c r="C3985" s="144" t="inlineStr">
        <is>
          <t>24/7 ON TIME</t>
        </is>
      </c>
      <c r="D3985" s="144" t="n">
        <v>8502283860</v>
      </c>
      <c r="E3985" s="144" t="inlineStr">
        <is>
          <t>BOX</t>
        </is>
      </c>
      <c r="F3985" s="144" t="inlineStr">
        <is>
          <t>XE066W FL</t>
        </is>
      </c>
      <c r="G3985" s="144" t="inlineStr">
        <is>
          <t>BLACK VOLVO</t>
        </is>
      </c>
      <c r="H3985" s="144" t="n">
        <v>1221</v>
      </c>
      <c r="I3985" s="144" t="inlineStr">
        <is>
          <t>COMMERCIAL</t>
        </is>
      </c>
    </row>
    <row r="3986" ht="18" customHeight="1" s="7">
      <c r="A3986" s="144" t="inlineStr">
        <is>
          <t>JESSE ARMSTRONG</t>
        </is>
      </c>
      <c r="B3986" s="144" t="inlineStr">
        <is>
          <t>8797199 AL</t>
        </is>
      </c>
      <c r="C3986" s="144" t="inlineStr">
        <is>
          <t>GREENTREE</t>
        </is>
      </c>
      <c r="D3986" s="144" t="n">
        <v>2058851330</v>
      </c>
      <c r="E3986" s="144" t="inlineStr">
        <is>
          <t>FLAT</t>
        </is>
      </c>
      <c r="F3986" s="144" t="inlineStr">
        <is>
          <t>P126459 IL</t>
        </is>
      </c>
      <c r="G3986" s="144" t="inlineStr">
        <is>
          <t>ORANGE  PETERBUILT</t>
        </is>
      </c>
      <c r="H3986" s="144" t="n">
        <v>1221</v>
      </c>
      <c r="I3986" s="144" t="inlineStr">
        <is>
          <t>COMMERCIAL</t>
        </is>
      </c>
    </row>
    <row r="3987" ht="18" customHeight="1" s="7">
      <c r="A3987" s="144" t="inlineStr">
        <is>
          <t>AHMED EL</t>
        </is>
      </c>
      <c r="B3987" s="144" t="inlineStr">
        <is>
          <t>E453035947002 MI</t>
        </is>
      </c>
      <c r="C3987" s="144" t="inlineStr">
        <is>
          <t>EMPIRE NATIONAL</t>
        </is>
      </c>
      <c r="D3987" s="144" t="n">
        <v>3133293371</v>
      </c>
      <c r="E3987" s="144" t="inlineStr">
        <is>
          <t>VAN</t>
        </is>
      </c>
      <c r="F3987" s="144" t="inlineStr">
        <is>
          <t>EUG1884 MI</t>
        </is>
      </c>
      <c r="G3987" s="144" t="inlineStr">
        <is>
          <t>WHITE MERCEDES</t>
        </is>
      </c>
      <c r="H3987" s="144" t="inlineStr">
        <is>
          <t>GATE 15</t>
        </is>
      </c>
      <c r="I3987" s="144" t="inlineStr">
        <is>
          <t>COMMERCIAL</t>
        </is>
      </c>
    </row>
    <row r="3988" ht="18" customHeight="1" s="7">
      <c r="A3988" s="144" t="inlineStr">
        <is>
          <t>MAGDI OSMAN</t>
        </is>
      </c>
      <c r="B3988" s="144" t="inlineStr">
        <is>
          <t>O25554086004 IL</t>
        </is>
      </c>
      <c r="C3988" s="144" t="inlineStr">
        <is>
          <t>BEK TRANS</t>
        </is>
      </c>
      <c r="D3988" s="144" t="n">
        <v>3196939213</v>
      </c>
      <c r="E3988" s="144" t="inlineStr">
        <is>
          <t>BOX</t>
        </is>
      </c>
      <c r="F3988" s="144" t="inlineStr">
        <is>
          <t>P1309890 IL</t>
        </is>
      </c>
      <c r="G3988" s="144" t="inlineStr">
        <is>
          <t>WHITE FREIGHTLINER</t>
        </is>
      </c>
      <c r="H3988" s="144" t="n">
        <v>1221</v>
      </c>
      <c r="I3988" s="144" t="inlineStr">
        <is>
          <t>COMMERCIAL</t>
        </is>
      </c>
    </row>
    <row r="3989" ht="18" customHeight="1" s="7">
      <c r="A3989" s="144" t="inlineStr">
        <is>
          <t>HASSAN SAID</t>
        </is>
      </c>
      <c r="B3989" s="144" t="inlineStr">
        <is>
          <t>D7732473 CALI</t>
        </is>
      </c>
      <c r="C3989" s="144" t="inlineStr">
        <is>
          <t>SALDEAN</t>
        </is>
      </c>
      <c r="D3989" s="144" t="n">
        <v>6196063316</v>
      </c>
      <c r="E3989" s="144" t="inlineStr">
        <is>
          <t>BOX</t>
        </is>
      </c>
      <c r="F3989" s="144" t="inlineStr">
        <is>
          <t>YP47088 CALI</t>
        </is>
      </c>
      <c r="G3989" s="144" t="inlineStr">
        <is>
          <t>WHITE FREIGHTLINER</t>
        </is>
      </c>
      <c r="H3989" s="144" t="n">
        <v>1221</v>
      </c>
      <c r="I3989" s="144" t="inlineStr">
        <is>
          <t>COMMERCIAL</t>
        </is>
      </c>
    </row>
    <row r="3990" ht="18" customHeight="1" s="7">
      <c r="A3990" s="144" t="inlineStr">
        <is>
          <t>BERARD JACKNY</t>
        </is>
      </c>
      <c r="B3990" s="144" t="inlineStr">
        <is>
          <t>B663420901760 FL</t>
        </is>
      </c>
      <c r="C3990" s="144" t="inlineStr">
        <is>
          <t>US MEGA TRANS</t>
        </is>
      </c>
      <c r="D3990" s="144" t="n">
        <v>7862611636</v>
      </c>
      <c r="E3990" s="144" t="inlineStr">
        <is>
          <t>BOX</t>
        </is>
      </c>
      <c r="F3990" s="144" t="inlineStr">
        <is>
          <t>P1183100 IL</t>
        </is>
      </c>
      <c r="G3990" s="144" t="inlineStr">
        <is>
          <t>WHITE FREIGHTLINER</t>
        </is>
      </c>
      <c r="H3990" s="144" t="n">
        <v>1221</v>
      </c>
      <c r="I3990" s="144" t="inlineStr">
        <is>
          <t>COMMERCIAL</t>
        </is>
      </c>
    </row>
    <row r="3991" ht="18" customHeight="1" s="7">
      <c r="A3991" s="144" t="inlineStr">
        <is>
          <t>MAJOR DILLON</t>
        </is>
      </c>
      <c r="B3991" s="144" t="inlineStr">
        <is>
          <t>*054540606 GA</t>
        </is>
      </c>
      <c r="C3991" s="144" t="inlineStr">
        <is>
          <t xml:space="preserve">BIG JACK TRUCKING </t>
        </is>
      </c>
      <c r="D3991" s="144" t="n">
        <v>9127778926</v>
      </c>
      <c r="E3991" s="144" t="inlineStr">
        <is>
          <t>FLAT</t>
        </is>
      </c>
      <c r="F3991" s="144" t="inlineStr">
        <is>
          <t>C493EC GA</t>
        </is>
      </c>
      <c r="G3991" s="144" t="inlineStr">
        <is>
          <t>WHITE FREIGHTLINER</t>
        </is>
      </c>
      <c r="H3991" s="144" t="n">
        <v>1221</v>
      </c>
      <c r="I3991" s="144" t="inlineStr">
        <is>
          <t>COMMERCIAL</t>
        </is>
      </c>
    </row>
    <row r="3992" ht="18" customHeight="1" s="7">
      <c r="A3992" s="144" t="inlineStr">
        <is>
          <t>MANUEL COSTA</t>
        </is>
      </c>
      <c r="B3992" s="144" t="inlineStr">
        <is>
          <t>C230545573153 IL</t>
        </is>
      </c>
      <c r="C3992" s="144" t="inlineStr">
        <is>
          <t>FREMONT TRANS</t>
        </is>
      </c>
      <c r="D3992" s="144" t="n">
        <v>3312853838</v>
      </c>
      <c r="E3992" s="144" t="inlineStr">
        <is>
          <t>BOX</t>
        </is>
      </c>
      <c r="F3992" s="144" t="inlineStr">
        <is>
          <t>P1139130 IL</t>
        </is>
      </c>
      <c r="G3992" s="144" t="inlineStr">
        <is>
          <t>WHITE FREIGHTLINER</t>
        </is>
      </c>
      <c r="H3992" s="144" t="n">
        <v>1221</v>
      </c>
      <c r="I3992" s="144" t="inlineStr">
        <is>
          <t>COMMERCIAL</t>
        </is>
      </c>
    </row>
    <row r="3993" ht="18" customHeight="1" s="7">
      <c r="A3993" s="144" t="inlineStr">
        <is>
          <t>NABIEV AZIZOVICH</t>
        </is>
      </c>
      <c r="B3993" s="144" t="inlineStr">
        <is>
          <t>126432543 TN</t>
        </is>
      </c>
      <c r="C3993" s="144" t="inlineStr">
        <is>
          <t>USAN ROAD</t>
        </is>
      </c>
      <c r="D3993" s="144" t="n">
        <v>3212464554</v>
      </c>
      <c r="E3993" s="144" t="inlineStr">
        <is>
          <t>BOX</t>
        </is>
      </c>
      <c r="F3993" s="144" t="inlineStr">
        <is>
          <t>L9741HY TN</t>
        </is>
      </c>
      <c r="G3993" s="144" t="inlineStr">
        <is>
          <t>WHITE VOLVO</t>
        </is>
      </c>
      <c r="H3993" s="144" t="n">
        <v>1221</v>
      </c>
      <c r="I3993" s="144" t="inlineStr">
        <is>
          <t>COMMERCIAL</t>
        </is>
      </c>
    </row>
    <row r="3994" ht="18" customHeight="1" s="7">
      <c r="A3994" s="144" t="inlineStr">
        <is>
          <t>PAUL ANICET</t>
        </is>
      </c>
      <c r="B3994" s="144" t="inlineStr">
        <is>
          <t>P400000641370 FL</t>
        </is>
      </c>
      <c r="C3994" s="144" t="inlineStr">
        <is>
          <t>DELTA EXPRESS</t>
        </is>
      </c>
      <c r="D3994" s="144" t="n">
        <v>2397228762</v>
      </c>
      <c r="E3994" s="144" t="inlineStr">
        <is>
          <t>VAN</t>
        </is>
      </c>
      <c r="F3994" s="144" t="inlineStr">
        <is>
          <t>FLUD89 FL</t>
        </is>
      </c>
      <c r="G3994" s="144" t="inlineStr">
        <is>
          <t>BLUE DODGE</t>
        </is>
      </c>
      <c r="H3994" s="144" t="n">
        <v>1221</v>
      </c>
      <c r="I3994" s="144" t="inlineStr">
        <is>
          <t>CONTRACTOR</t>
        </is>
      </c>
    </row>
    <row r="3995" ht="18" customHeight="1" s="7">
      <c r="A3995" s="144" t="inlineStr">
        <is>
          <t>ISAAC BOTCHWAYSON</t>
        </is>
      </c>
      <c r="B3995" s="144" t="inlineStr">
        <is>
          <t>B61362716 VA</t>
        </is>
      </c>
      <c r="C3995" s="144" t="inlineStr">
        <is>
          <t>LANDSTAR</t>
        </is>
      </c>
      <c r="D3995" s="144" t="n">
        <v>5715198270</v>
      </c>
      <c r="E3995" s="144" t="inlineStr">
        <is>
          <t>BOX</t>
        </is>
      </c>
      <c r="F3995" s="144" t="inlineStr">
        <is>
          <t>3673586 IN</t>
        </is>
      </c>
      <c r="G3995" s="144" t="inlineStr">
        <is>
          <t>RED KENWORTH</t>
        </is>
      </c>
      <c r="H3995" s="144" t="n">
        <v>1221</v>
      </c>
      <c r="I3995" s="144" t="inlineStr">
        <is>
          <t>COMMERICAL</t>
        </is>
      </c>
    </row>
    <row r="3996" ht="18" customHeight="1" s="7">
      <c r="A3996" s="144" t="inlineStr">
        <is>
          <t>ANGUS UPSHAW</t>
        </is>
      </c>
      <c r="B3996" s="144" t="inlineStr">
        <is>
          <t>1601530627 NV</t>
        </is>
      </c>
      <c r="C3996" s="144" t="inlineStr">
        <is>
          <t>ALFA FREIGHT INC</t>
        </is>
      </c>
      <c r="D3996" s="144" t="n">
        <v>7252302825</v>
      </c>
      <c r="E3996" s="144" t="inlineStr">
        <is>
          <t>FLAT</t>
        </is>
      </c>
      <c r="F3996" s="144" t="inlineStr">
        <is>
          <t>ZP12916 CA</t>
        </is>
      </c>
      <c r="G3996" s="144" t="inlineStr">
        <is>
          <t>WHITE VOLVO</t>
        </is>
      </c>
      <c r="H3996" s="144" t="n">
        <v>1221</v>
      </c>
      <c r="I3996" s="144" t="inlineStr">
        <is>
          <t>COMMERICAL</t>
        </is>
      </c>
    </row>
    <row r="3997" ht="18" customHeight="1" s="7">
      <c r="A3997" s="144" t="inlineStr">
        <is>
          <t>EVAN PEREZ</t>
        </is>
      </c>
      <c r="B3997" s="144" t="inlineStr">
        <is>
          <t>P620218684620 FL</t>
        </is>
      </c>
      <c r="C3997" s="144" t="inlineStr">
        <is>
          <t>GENCUTCHIN</t>
        </is>
      </c>
      <c r="D3997" s="144" t="n">
        <v>8505195697</v>
      </c>
      <c r="E3997" s="144" t="inlineStr">
        <is>
          <t>PU</t>
        </is>
      </c>
      <c r="F3997" s="144" t="inlineStr">
        <is>
          <t>Y166ZI FL</t>
        </is>
      </c>
      <c r="G3997" s="144" t="inlineStr">
        <is>
          <t>WHITE FORD</t>
        </is>
      </c>
      <c r="H3997" s="144" t="inlineStr">
        <is>
          <t>BASEWIDE</t>
        </is>
      </c>
      <c r="I3997" s="144" t="inlineStr">
        <is>
          <t>CONTRACTOR</t>
        </is>
      </c>
    </row>
    <row r="3998" ht="18" customHeight="1" s="7">
      <c r="A3998" s="144" t="inlineStr">
        <is>
          <t>JEBEDIAH XAVIAR</t>
        </is>
      </c>
      <c r="B3998" s="144" t="inlineStr">
        <is>
          <t>9370075385 IN</t>
        </is>
      </c>
      <c r="C3998" s="144" t="inlineStr">
        <is>
          <t>AXIS LOG</t>
        </is>
      </c>
      <c r="D3998" s="144" t="n">
        <v>3176182580</v>
      </c>
      <c r="E3998" s="144" t="inlineStr">
        <is>
          <t>BOX</t>
        </is>
      </c>
      <c r="F3998" s="144" t="inlineStr">
        <is>
          <t>3652771 IN</t>
        </is>
      </c>
      <c r="G3998" s="144" t="inlineStr">
        <is>
          <t>WHITE INTERNATIONAL</t>
        </is>
      </c>
      <c r="H3998" s="144" t="n">
        <v>1221</v>
      </c>
      <c r="I3998" s="144" t="inlineStr">
        <is>
          <t>COMMERCIAL</t>
        </is>
      </c>
    </row>
    <row r="3999" ht="18" customHeight="1" s="7">
      <c r="A3999" s="144" t="inlineStr">
        <is>
          <t>CHRISTOPHER MYRICK</t>
        </is>
      </c>
      <c r="B3999" s="144" t="inlineStr">
        <is>
          <t>M620112660140 FL</t>
        </is>
      </c>
      <c r="C3999" s="144" t="inlineStr">
        <is>
          <t>LIGHT HOUSE</t>
        </is>
      </c>
      <c r="D3999" s="144" t="n">
        <v>9043840180</v>
      </c>
      <c r="E3999" s="144" t="inlineStr">
        <is>
          <t>VAN</t>
        </is>
      </c>
      <c r="F3999" s="144" t="inlineStr">
        <is>
          <t>IWKB26 FL</t>
        </is>
      </c>
      <c r="G3999" s="144" t="inlineStr">
        <is>
          <t>WHITE CHEVY</t>
        </is>
      </c>
      <c r="H3999" s="144" t="inlineStr">
        <is>
          <t>GATE 15</t>
        </is>
      </c>
      <c r="I3999" s="144" t="inlineStr">
        <is>
          <t>CONTRACTOR</t>
        </is>
      </c>
    </row>
    <row r="4000" ht="18" customHeight="1" s="7">
      <c r="A4000" s="144" t="inlineStr">
        <is>
          <t>JASON KLINGBIEL</t>
        </is>
      </c>
      <c r="B4000" s="144" t="inlineStr">
        <is>
          <t>K4524337608302 WC</t>
        </is>
      </c>
      <c r="C4000" s="144" t="inlineStr">
        <is>
          <t>KRUEPKE TRUCKING</t>
        </is>
      </c>
      <c r="D4000" s="144" t="n">
        <v>608170725</v>
      </c>
      <c r="E4000" s="144" t="inlineStr">
        <is>
          <t>BOX</t>
        </is>
      </c>
      <c r="F4000" s="144" t="inlineStr">
        <is>
          <t>39485Z WC</t>
        </is>
      </c>
      <c r="G4000" s="144" t="inlineStr">
        <is>
          <t>RED INTERNATIONAL</t>
        </is>
      </c>
      <c r="H4000" s="144" t="n">
        <v>1351</v>
      </c>
      <c r="I4000" s="144" t="inlineStr">
        <is>
          <t>COMMERCIAL</t>
        </is>
      </c>
    </row>
    <row r="4001" ht="18" customHeight="1" s="7">
      <c r="A4001" s="144" t="inlineStr">
        <is>
          <t>EDGARDO RODRIGUEZ</t>
        </is>
      </c>
      <c r="B4001" s="144" t="inlineStr">
        <is>
          <t>7642573 PN</t>
        </is>
      </c>
      <c r="C4001" s="144" t="inlineStr">
        <is>
          <t>UNITY</t>
        </is>
      </c>
      <c r="D4001" s="144" t="n">
        <v>2232720062</v>
      </c>
      <c r="E4001" s="144" t="inlineStr">
        <is>
          <t>BOX</t>
        </is>
      </c>
      <c r="F4001" s="144" t="inlineStr">
        <is>
          <t>DF13CJ FL</t>
        </is>
      </c>
      <c r="G4001" s="144" t="inlineStr">
        <is>
          <t>RED FREIGHTLINER</t>
        </is>
      </c>
      <c r="H4001" s="144" t="n">
        <v>1230</v>
      </c>
      <c r="I4001" s="144" t="inlineStr">
        <is>
          <t>COMMERCIAL</t>
        </is>
      </c>
    </row>
    <row r="4002" ht="18" customHeight="1" s="7">
      <c r="A4002" s="144" t="inlineStr">
        <is>
          <t>HALBERT DEVONTE</t>
        </is>
      </c>
      <c r="B4002" s="144" t="inlineStr">
        <is>
          <t>*058441633 GA</t>
        </is>
      </c>
      <c r="C4002" s="144" t="inlineStr">
        <is>
          <t>IMPAX</t>
        </is>
      </c>
      <c r="D4002" s="144" t="n">
        <v>6786998233</v>
      </c>
      <c r="E4002" s="144" t="inlineStr">
        <is>
          <t>BOX</t>
        </is>
      </c>
      <c r="F4002" s="144" t="inlineStr">
        <is>
          <t>C888DE GA</t>
        </is>
      </c>
      <c r="G4002" s="144" t="inlineStr">
        <is>
          <t>WHITE VOLVO</t>
        </is>
      </c>
      <c r="H4002" s="144" t="n">
        <v>1221</v>
      </c>
      <c r="I4002" s="144" t="inlineStr">
        <is>
          <t>COMMERCIAL</t>
        </is>
      </c>
    </row>
    <row r="4003" ht="18" customHeight="1" s="7">
      <c r="A4003" s="144" t="inlineStr">
        <is>
          <t>YUSUF ZENA</t>
        </is>
      </c>
      <c r="B4003" s="144" t="inlineStr">
        <is>
          <t>VA640860 OH</t>
        </is>
      </c>
      <c r="C4003" s="144" t="inlineStr">
        <is>
          <t>PACIFIC CARGO</t>
        </is>
      </c>
      <c r="D4003" s="144" t="n">
        <v>3159758582</v>
      </c>
      <c r="E4003" s="144" t="inlineStr">
        <is>
          <t>BOX</t>
        </is>
      </c>
      <c r="F4003" s="144" t="inlineStr">
        <is>
          <t>3804085 IN</t>
        </is>
      </c>
      <c r="G4003" s="144" t="inlineStr">
        <is>
          <t>WHITE FREIGHTLINER</t>
        </is>
      </c>
      <c r="H4003" s="144" t="n">
        <v>1221</v>
      </c>
      <c r="I4003" s="144" t="inlineStr">
        <is>
          <t>COMMERCIAL</t>
        </is>
      </c>
    </row>
    <row r="4004" ht="18" customHeight="1" s="7">
      <c r="A4004" s="144" t="inlineStr">
        <is>
          <t>ANGELINA GERMAN</t>
        </is>
      </c>
      <c r="B4004" s="144" t="inlineStr">
        <is>
          <t>9454984 AL</t>
        </is>
      </c>
      <c r="C4004" s="144" t="inlineStr">
        <is>
          <t>COLEMAN</t>
        </is>
      </c>
      <c r="D4004" s="144" t="n">
        <v>3344066581</v>
      </c>
      <c r="E4004" s="144" t="inlineStr">
        <is>
          <t>BOX</t>
        </is>
      </c>
      <c r="F4004" s="144" t="inlineStr">
        <is>
          <t>1221354 AL</t>
        </is>
      </c>
      <c r="G4004" s="144" t="inlineStr">
        <is>
          <t>WHITE ISUZU</t>
        </is>
      </c>
      <c r="H4004" s="144" t="n">
        <v>7130</v>
      </c>
      <c r="I4004" s="144" t="inlineStr">
        <is>
          <t>COMMERCIAL</t>
        </is>
      </c>
    </row>
    <row r="4005" ht="18" customHeight="1" s="7">
      <c r="A4005" s="144" t="inlineStr">
        <is>
          <t>ANTHONY CANTRELL</t>
        </is>
      </c>
      <c r="B4005" s="144" t="inlineStr">
        <is>
          <t>*088975634 TN</t>
        </is>
      </c>
      <c r="C4005" s="144" t="inlineStr">
        <is>
          <t>GUARDIAN TRANS</t>
        </is>
      </c>
      <c r="D4005" s="144" t="n">
        <v>6158303749</v>
      </c>
      <c r="E4005" s="144" t="inlineStr">
        <is>
          <t>BOX</t>
        </is>
      </c>
      <c r="F4005" s="144" t="inlineStr">
        <is>
          <t>V7911HY TN</t>
        </is>
      </c>
      <c r="G4005" s="144" t="inlineStr">
        <is>
          <t>BLACK VOLVO</t>
        </is>
      </c>
      <c r="H4005" s="144" t="n">
        <v>1221</v>
      </c>
      <c r="I4005" s="144" t="inlineStr">
        <is>
          <t>COMMERCIAL</t>
        </is>
      </c>
    </row>
    <row r="4006" ht="18" customHeight="1" s="7">
      <c r="A4006" s="144" t="inlineStr">
        <is>
          <t>COURTNEY DOTSON</t>
        </is>
      </c>
      <c r="B4006" s="144" t="inlineStr">
        <is>
          <t>*107003576 TN</t>
        </is>
      </c>
      <c r="C4006" s="144" t="inlineStr">
        <is>
          <t>GUARDIAN TRANS</t>
        </is>
      </c>
      <c r="D4006" s="144" t="n">
        <v>6159736864</v>
      </c>
      <c r="E4006" s="144" t="inlineStr">
        <is>
          <t>BOX</t>
        </is>
      </c>
      <c r="F4006" s="144" t="inlineStr">
        <is>
          <t>R7117HY TN</t>
        </is>
      </c>
      <c r="G4006" s="144" t="inlineStr">
        <is>
          <t>WHITE INTERNATIONAL</t>
        </is>
      </c>
      <c r="H4006" s="144" t="n">
        <v>1221</v>
      </c>
      <c r="I4006" s="144" t="inlineStr">
        <is>
          <t>COMMERCIAL</t>
        </is>
      </c>
    </row>
    <row r="4007" ht="18" customHeight="1" s="7">
      <c r="A4007" s="144" t="inlineStr">
        <is>
          <t>EPHRAME MADE</t>
        </is>
      </c>
      <c r="B4007" s="144" t="inlineStr">
        <is>
          <t>WDL1675D813B WA</t>
        </is>
      </c>
      <c r="C4007" s="144" t="inlineStr">
        <is>
          <t>ETHIO</t>
        </is>
      </c>
      <c r="D4007" s="144" t="n">
        <v>2068327490</v>
      </c>
      <c r="E4007" s="144" t="inlineStr">
        <is>
          <t>BOX</t>
        </is>
      </c>
      <c r="F4007" s="144" t="inlineStr">
        <is>
          <t>99816RP WA</t>
        </is>
      </c>
      <c r="G4007" s="144" t="inlineStr">
        <is>
          <t>BLUE FREIGHTLINGER</t>
        </is>
      </c>
      <c r="H4007" s="144" t="n">
        <v>1221</v>
      </c>
      <c r="I4007" s="144" t="inlineStr">
        <is>
          <t>COMMERCIAL</t>
        </is>
      </c>
    </row>
    <row r="4008" ht="18" customHeight="1" s="7">
      <c r="A4008" s="144" t="inlineStr">
        <is>
          <t>COLEMAN BERNARD</t>
        </is>
      </c>
      <c r="B4008" s="144" t="inlineStr">
        <is>
          <t>5625226 AL</t>
        </is>
      </c>
      <c r="C4008" s="144" t="inlineStr">
        <is>
          <t>APEXPRIME</t>
        </is>
      </c>
      <c r="D4008" s="144" t="n">
        <v>2053997515</v>
      </c>
      <c r="E4008" s="144" t="inlineStr">
        <is>
          <t>BOX</t>
        </is>
      </c>
      <c r="F4008" s="144" t="inlineStr">
        <is>
          <t>3425057 IN</t>
        </is>
      </c>
      <c r="G4008" s="144" t="inlineStr">
        <is>
          <t>WHITE PETERBILT</t>
        </is>
      </c>
      <c r="H4008" s="144" t="n">
        <v>1221</v>
      </c>
      <c r="I4008" s="144" t="inlineStr">
        <is>
          <t>COMMERCIAL</t>
        </is>
      </c>
    </row>
    <row r="4009" ht="18" customHeight="1" s="7">
      <c r="A4009" s="144" t="inlineStr">
        <is>
          <t>WAYNE CARNEY</t>
        </is>
      </c>
      <c r="B4009" s="144" t="inlineStr">
        <is>
          <t>D052549536 AR</t>
        </is>
      </c>
      <c r="C4009" s="144" t="inlineStr">
        <is>
          <t>AAT CARRIERS</t>
        </is>
      </c>
      <c r="D4009" s="144" t="n">
        <v>4073838143</v>
      </c>
      <c r="E4009" s="144" t="inlineStr">
        <is>
          <t>BOX</t>
        </is>
      </c>
      <c r="F4009" s="144" t="inlineStr">
        <is>
          <t>3553477 IN</t>
        </is>
      </c>
      <c r="G4009" s="144" t="inlineStr">
        <is>
          <t>WHITE VOLVO</t>
        </is>
      </c>
      <c r="H4009" s="144" t="n">
        <v>1221</v>
      </c>
      <c r="I4009" s="144" t="inlineStr">
        <is>
          <t>COMMERCIAL</t>
        </is>
      </c>
    </row>
    <row r="4010" ht="18" customHeight="1" s="7">
      <c r="A4010" s="144" t="inlineStr">
        <is>
          <t>ANDREW HAYNESWORTH</t>
        </is>
      </c>
      <c r="B4010" s="144" t="inlineStr">
        <is>
          <t>A5732102</t>
        </is>
      </c>
      <c r="C4010" s="144" t="inlineStr">
        <is>
          <t>LEIDON LOG</t>
        </is>
      </c>
      <c r="D4010" s="144" t="n">
        <v>7608679666</v>
      </c>
      <c r="E4010" s="144" t="inlineStr">
        <is>
          <t>BOX</t>
        </is>
      </c>
      <c r="F4010" s="144" t="inlineStr">
        <is>
          <t>XP99087 CAL</t>
        </is>
      </c>
      <c r="G4010" s="144" t="inlineStr">
        <is>
          <t>GREY INTERNATNIAL</t>
        </is>
      </c>
      <c r="H4010" s="144" t="n">
        <v>5400</v>
      </c>
      <c r="I4010" s="144" t="inlineStr">
        <is>
          <t>COMMERCIAL</t>
        </is>
      </c>
    </row>
    <row r="4011" ht="18" customHeight="1" s="7">
      <c r="A4011" s="144" t="inlineStr">
        <is>
          <t>ERIC MICHAEL</t>
        </is>
      </c>
      <c r="B4011" s="144" t="inlineStr">
        <is>
          <t>D10840292 AR</t>
        </is>
      </c>
      <c r="C4011" s="144" t="inlineStr">
        <is>
          <t>LANDSTAR</t>
        </is>
      </c>
      <c r="D4011" s="144" t="n">
        <v>5204441224</v>
      </c>
      <c r="E4011" s="144" t="inlineStr">
        <is>
          <t>BOX</t>
        </is>
      </c>
      <c r="F4011" s="144" t="inlineStr">
        <is>
          <t>3557583 IN</t>
        </is>
      </c>
      <c r="G4011" s="144" t="inlineStr">
        <is>
          <t>BLUE WESTERN STAR</t>
        </is>
      </c>
      <c r="H4011" s="144" t="n">
        <v>1221</v>
      </c>
      <c r="I4011" s="144" t="inlineStr">
        <is>
          <t>COMMERCIAL</t>
        </is>
      </c>
    </row>
    <row r="4012" ht="18" customHeight="1" s="7">
      <c r="A4012" s="144" t="inlineStr">
        <is>
          <t>WANG ZHIWEI</t>
        </is>
      </c>
      <c r="B4012" s="144" t="inlineStr">
        <is>
          <t>D7309688 CA</t>
        </is>
      </c>
      <c r="C4012" s="144" t="inlineStr">
        <is>
          <t>JPL</t>
        </is>
      </c>
      <c r="D4012" s="144" t="n">
        <v>6262263333</v>
      </c>
      <c r="E4012" s="144" t="inlineStr">
        <is>
          <t>BOX</t>
        </is>
      </c>
      <c r="F4012" s="144" t="inlineStr">
        <is>
          <t>ZP16478 CAL</t>
        </is>
      </c>
      <c r="G4012" s="144" t="inlineStr">
        <is>
          <t>BLUE FREIGHTLONER</t>
        </is>
      </c>
      <c r="H4012" s="144" t="n">
        <v>5400</v>
      </c>
      <c r="I4012" s="144" t="inlineStr">
        <is>
          <t>COMMERCIAL</t>
        </is>
      </c>
    </row>
    <row r="4013" ht="18" customHeight="1" s="7">
      <c r="A4013" s="144" t="inlineStr">
        <is>
          <t>ROBERT UPSHAW</t>
        </is>
      </c>
      <c r="B4013" s="144" t="inlineStr">
        <is>
          <t>*054676586 GA</t>
        </is>
      </c>
      <c r="C4013" s="144" t="inlineStr">
        <is>
          <t>GEORGIA POWER</t>
        </is>
      </c>
      <c r="D4013" s="144" t="n">
        <v>4783382645</v>
      </c>
      <c r="E4013" s="144" t="inlineStr">
        <is>
          <t>PU</t>
        </is>
      </c>
      <c r="F4013" s="144" t="inlineStr">
        <is>
          <t>CSC7477 GA</t>
        </is>
      </c>
      <c r="G4013" s="144" t="inlineStr">
        <is>
          <t>WHITE FORD</t>
        </is>
      </c>
      <c r="H4013" s="144" t="inlineStr">
        <is>
          <t>SOLAR FIELD</t>
        </is>
      </c>
      <c r="I4013" s="144" t="inlineStr">
        <is>
          <t>COMMERCIAL</t>
        </is>
      </c>
    </row>
    <row r="4014" ht="18" customHeight="1" s="7">
      <c r="A4014" s="144" t="inlineStr">
        <is>
          <t>JOSE JUAREZ</t>
        </is>
      </c>
      <c r="B4014" s="144" t="inlineStr">
        <is>
          <t>*060778734 GA</t>
        </is>
      </c>
      <c r="C4014" s="144" t="inlineStr">
        <is>
          <t>SGTC</t>
        </is>
      </c>
      <c r="D4014" s="144" t="n">
        <v>2296036342</v>
      </c>
      <c r="E4014" s="144" t="inlineStr">
        <is>
          <t>PU</t>
        </is>
      </c>
      <c r="F4014" s="144" t="inlineStr">
        <is>
          <t>CWG3357 GA</t>
        </is>
      </c>
      <c r="G4014" s="144" t="inlineStr">
        <is>
          <t>BLACK RAM</t>
        </is>
      </c>
      <c r="H4014" s="144" t="inlineStr">
        <is>
          <t>HOUSING</t>
        </is>
      </c>
      <c r="I4014" s="144" t="inlineStr">
        <is>
          <t>CONTRACTOR</t>
        </is>
      </c>
    </row>
    <row r="4015" ht="18" customHeight="1" s="7">
      <c r="A4015" s="144" t="inlineStr">
        <is>
          <t xml:space="preserve">HTOO KAW </t>
        </is>
      </c>
      <c r="B4015" s="144" t="inlineStr">
        <is>
          <t>H300513840280 FL</t>
        </is>
      </c>
      <c r="C4015" s="144" t="inlineStr">
        <is>
          <t>BARBER KLEIN</t>
        </is>
      </c>
      <c r="D4015" s="144" t="n">
        <v>3863537816</v>
      </c>
      <c r="E4015" s="144" t="inlineStr">
        <is>
          <t>BOX</t>
        </is>
      </c>
      <c r="F4015" s="144" t="inlineStr">
        <is>
          <t>RVCI40 FL</t>
        </is>
      </c>
      <c r="G4015" s="144" t="inlineStr">
        <is>
          <t>WHITE ISUZU</t>
        </is>
      </c>
      <c r="H4015" s="144" t="n">
        <v>3500</v>
      </c>
      <c r="I4015" s="144" t="inlineStr">
        <is>
          <t>CONTRACTOR</t>
        </is>
      </c>
    </row>
    <row r="4016" ht="18" customHeight="1" s="7">
      <c r="A4016" s="144" t="inlineStr">
        <is>
          <t xml:space="preserve">OLANREWAJU W </t>
        </is>
      </c>
      <c r="B4016" s="144" t="inlineStr">
        <is>
          <t xml:space="preserve">*060731975 GA </t>
        </is>
      </c>
      <c r="C4016" s="144" t="inlineStr">
        <is>
          <t xml:space="preserve">OLIVE </t>
        </is>
      </c>
      <c r="D4016" s="144" t="n">
        <v>6172720014</v>
      </c>
      <c r="E4016" s="144" t="inlineStr">
        <is>
          <t>BOX</t>
        </is>
      </c>
      <c r="F4016" s="144" t="inlineStr">
        <is>
          <t>C799CK GA</t>
        </is>
      </c>
      <c r="G4016" s="144" t="inlineStr">
        <is>
          <t>BLACK KENWORTH</t>
        </is>
      </c>
      <c r="H4016" s="144" t="n">
        <v>1221</v>
      </c>
      <c r="I4016" s="144" t="inlineStr">
        <is>
          <t>COMMERCIAL</t>
        </is>
      </c>
    </row>
    <row r="4017" ht="18" customHeight="1" s="7">
      <c r="A4017" s="144" t="inlineStr">
        <is>
          <t>JEMMIE WILLIAMS</t>
        </is>
      </c>
      <c r="B4017" s="144" t="inlineStr">
        <is>
          <t>W452437733317 FL</t>
        </is>
      </c>
      <c r="C4017" s="144" t="inlineStr">
        <is>
          <t>SRS</t>
        </is>
      </c>
      <c r="D4017" s="144" t="n">
        <v>9046740375</v>
      </c>
      <c r="E4017" s="144" t="inlineStr">
        <is>
          <t>CRANE</t>
        </is>
      </c>
      <c r="F4017" s="144" t="inlineStr">
        <is>
          <t>J337HW TN</t>
        </is>
      </c>
      <c r="G4017" s="144" t="inlineStr">
        <is>
          <t>WHITE PETERBILT</t>
        </is>
      </c>
      <c r="H4017" s="144" t="n">
        <v>3500</v>
      </c>
      <c r="I4017" s="144" t="inlineStr">
        <is>
          <t>COMMERCIAL</t>
        </is>
      </c>
    </row>
    <row r="4018" ht="18" customHeight="1" s="7">
      <c r="A4018" s="144" t="inlineStr">
        <is>
          <t>PAALA TAALII</t>
        </is>
      </c>
      <c r="B4018" s="144" t="inlineStr">
        <is>
          <t>P400817634010 FL</t>
        </is>
      </c>
      <c r="C4018" s="144" t="inlineStr">
        <is>
          <t>SRS</t>
        </is>
      </c>
      <c r="D4018" s="144" t="n">
        <v>9046740375</v>
      </c>
      <c r="E4018" s="144" t="inlineStr">
        <is>
          <t>CRANE</t>
        </is>
      </c>
      <c r="F4018" s="144" t="inlineStr">
        <is>
          <t>K104HW TN</t>
        </is>
      </c>
      <c r="G4018" s="144" t="inlineStr">
        <is>
          <t>WHITE PETERBILT</t>
        </is>
      </c>
      <c r="H4018" s="144" t="n">
        <v>3500</v>
      </c>
      <c r="I4018" s="144" t="inlineStr">
        <is>
          <t>COMMERCIAL</t>
        </is>
      </c>
    </row>
    <row r="4019" ht="18" customHeight="1" s="7">
      <c r="A4019" s="144" t="inlineStr">
        <is>
          <t>MELVIN ROBINSON</t>
        </is>
      </c>
      <c r="B4019" s="144" t="inlineStr">
        <is>
          <t>R152600860140 FL</t>
        </is>
      </c>
      <c r="C4019" s="144" t="inlineStr">
        <is>
          <t>CB FREIGHT</t>
        </is>
      </c>
      <c r="D4019" s="144" t="n">
        <v>9042299954</v>
      </c>
      <c r="E4019" s="144" t="inlineStr">
        <is>
          <t>FLAT</t>
        </is>
      </c>
      <c r="F4019" s="144" t="inlineStr">
        <is>
          <t>P1259300 IL</t>
        </is>
      </c>
      <c r="G4019" s="144" t="inlineStr">
        <is>
          <t>GREEN PETERBILT</t>
        </is>
      </c>
      <c r="H4019" s="144" t="n">
        <v>1221</v>
      </c>
      <c r="I4019" s="144" t="inlineStr">
        <is>
          <t>COMMERCIAL</t>
        </is>
      </c>
    </row>
    <row r="4020" ht="18" customHeight="1" s="7">
      <c r="A4020" s="144" t="inlineStr">
        <is>
          <t>JOSHUA WAYNE</t>
        </is>
      </c>
      <c r="B4020" s="144" t="inlineStr">
        <is>
          <t>H255439731210 FL</t>
        </is>
      </c>
      <c r="C4020" s="144" t="inlineStr">
        <is>
          <t>HOCKMAN HAULIN</t>
        </is>
      </c>
      <c r="D4020" s="144" t="n">
        <v>9045016118</v>
      </c>
      <c r="E4020" s="144" t="inlineStr">
        <is>
          <t>FLAT</t>
        </is>
      </c>
      <c r="F4020" s="144" t="inlineStr">
        <is>
          <t>V3632HY TN</t>
        </is>
      </c>
      <c r="G4020" s="144" t="inlineStr">
        <is>
          <t>BLUE KENWORTH</t>
        </is>
      </c>
      <c r="H4020" s="144" t="n">
        <v>1221</v>
      </c>
      <c r="I4020" s="144" t="inlineStr">
        <is>
          <t>COMMERCIAL</t>
        </is>
      </c>
    </row>
    <row r="4021" ht="18" customHeight="1" s="7">
      <c r="A4021" s="144" t="inlineStr">
        <is>
          <t>SCOTT KERBY</t>
        </is>
      </c>
      <c r="B4021" s="144" t="inlineStr">
        <is>
          <t>*053358612 GA</t>
        </is>
      </c>
      <c r="C4021" s="144" t="inlineStr">
        <is>
          <t>MERCER TRANS</t>
        </is>
      </c>
      <c r="D4021" s="144" t="n">
        <v>9126566593</v>
      </c>
      <c r="E4021" s="144" t="inlineStr">
        <is>
          <t>FLAT</t>
        </is>
      </c>
      <c r="F4021" s="144" t="inlineStr">
        <is>
          <t>3010393 IN</t>
        </is>
      </c>
      <c r="G4021" s="144" t="inlineStr">
        <is>
          <t>BLUE PETERBILT</t>
        </is>
      </c>
      <c r="H4021" s="144" t="n">
        <v>1221</v>
      </c>
      <c r="I4021" s="144" t="inlineStr">
        <is>
          <t>COMMERICAL</t>
        </is>
      </c>
    </row>
    <row r="4022" ht="18" customHeight="1" s="7">
      <c r="A4022" s="144" t="inlineStr">
        <is>
          <t>LEAVIN JACKSON</t>
        </is>
      </c>
      <c r="B4022" s="144" t="inlineStr">
        <is>
          <t>011393968 SC</t>
        </is>
      </c>
      <c r="C4022" s="144" t="inlineStr">
        <is>
          <t>MERCER TRANS</t>
        </is>
      </c>
      <c r="D4022" s="144" t="n">
        <v>8435921603</v>
      </c>
      <c r="E4022" s="144" t="inlineStr">
        <is>
          <t>FLAT</t>
        </is>
      </c>
      <c r="F4022" s="144" t="inlineStr">
        <is>
          <t>3009213 IN</t>
        </is>
      </c>
      <c r="G4022" s="144" t="inlineStr">
        <is>
          <t>BLUE PETERBILT</t>
        </is>
      </c>
      <c r="H4022" s="144" t="n">
        <v>1221</v>
      </c>
      <c r="I4022" s="144" t="inlineStr">
        <is>
          <t>COMMERICAL</t>
        </is>
      </c>
    </row>
    <row r="4023" ht="18" customHeight="1" s="7">
      <c r="A4023" s="144" t="inlineStr">
        <is>
          <t>MARK JORDAN</t>
        </is>
      </c>
      <c r="B4023" s="144" t="inlineStr">
        <is>
          <t>J635543544650 FL</t>
        </is>
      </c>
      <c r="C4023" s="144" t="inlineStr">
        <is>
          <t>M JORDAN HAULING</t>
        </is>
      </c>
      <c r="D4023" s="144" t="n">
        <v>9045042887</v>
      </c>
      <c r="E4023" s="144" t="inlineStr">
        <is>
          <t>PU</t>
        </is>
      </c>
      <c r="F4023" s="144" t="inlineStr">
        <is>
          <t>IFDP48 FL</t>
        </is>
      </c>
      <c r="G4023" s="144" t="inlineStr">
        <is>
          <t>BLACK GMC</t>
        </is>
      </c>
      <c r="H4023" s="144" t="n">
        <v>1221</v>
      </c>
      <c r="I4023" s="144" t="inlineStr">
        <is>
          <t>CONTRACTOR</t>
        </is>
      </c>
    </row>
    <row r="4024" ht="18" customHeight="1" s="7">
      <c r="A4024" s="144" t="inlineStr">
        <is>
          <t>TARON DURDEN</t>
        </is>
      </c>
      <c r="B4024" s="144" t="inlineStr">
        <is>
          <t>051631731 GA</t>
        </is>
      </c>
      <c r="C4024" s="144" t="inlineStr">
        <is>
          <t>GEORGIA POWER</t>
        </is>
      </c>
      <c r="D4024" s="144" t="n">
        <v>4782974994</v>
      </c>
      <c r="E4024" s="144" t="inlineStr">
        <is>
          <t>PU</t>
        </is>
      </c>
      <c r="F4024" s="144" t="inlineStr">
        <is>
          <t>CUI3633 GA</t>
        </is>
      </c>
      <c r="G4024" s="144" t="inlineStr">
        <is>
          <t>WHITE FORD</t>
        </is>
      </c>
      <c r="H4024" s="144" t="inlineStr">
        <is>
          <t>SOLAR PLANT</t>
        </is>
      </c>
      <c r="I4024" s="144" t="inlineStr">
        <is>
          <t>CONTRACTOR</t>
        </is>
      </c>
    </row>
    <row r="4025" ht="18" customHeight="1" s="7">
      <c r="A4025" s="144" t="inlineStr">
        <is>
          <t>MICHEAL RICKLY</t>
        </is>
      </c>
      <c r="B4025" s="144" t="inlineStr">
        <is>
          <t>RT472428 OH</t>
        </is>
      </c>
      <c r="C4025" s="144" t="inlineStr">
        <is>
          <t>HYDRODYNE</t>
        </is>
      </c>
      <c r="D4025" s="144" t="n">
        <v>6146482466</v>
      </c>
      <c r="E4025" s="144" t="inlineStr">
        <is>
          <t>FLAT</t>
        </is>
      </c>
      <c r="F4025" s="144" t="inlineStr">
        <is>
          <t>PNQ9513 OH</t>
        </is>
      </c>
      <c r="G4025" s="144" t="inlineStr">
        <is>
          <t>WHITE FORD</t>
        </is>
      </c>
      <c r="H4025" s="144" t="n">
        <v>1221</v>
      </c>
      <c r="I4025" s="144" t="inlineStr">
        <is>
          <t>CONTRACTOR</t>
        </is>
      </c>
    </row>
    <row r="4026" ht="18" customHeight="1" s="7">
      <c r="A4026" s="144" t="inlineStr">
        <is>
          <t>JUSTIN MORRIS</t>
        </is>
      </c>
      <c r="B4026" s="144" t="inlineStr">
        <is>
          <t>0576645416 GA</t>
        </is>
      </c>
      <c r="C4026" s="144" t="inlineStr">
        <is>
          <t>LIFTONE</t>
        </is>
      </c>
      <c r="D4026" s="144" t="n">
        <v>855543863</v>
      </c>
      <c r="E4026" s="144" t="inlineStr">
        <is>
          <t>VAN</t>
        </is>
      </c>
      <c r="F4026" s="144" t="inlineStr">
        <is>
          <t>ZLB668 GA</t>
        </is>
      </c>
      <c r="G4026" s="144" t="inlineStr">
        <is>
          <t>WHITE FORD</t>
        </is>
      </c>
      <c r="H4026" s="144" t="n">
        <v>1241</v>
      </c>
      <c r="I4026" s="144" t="inlineStr">
        <is>
          <t>CONTRACTOR</t>
        </is>
      </c>
    </row>
    <row r="4027" ht="18" customHeight="1" s="7">
      <c r="A4027" s="144" t="inlineStr">
        <is>
          <t>FABIAN SANTANA</t>
        </is>
      </c>
      <c r="B4027" s="144" t="inlineStr">
        <is>
          <t>*072687721 GA</t>
        </is>
      </c>
      <c r="C4027" s="144" t="inlineStr">
        <is>
          <t>GARCIA TRUCKING</t>
        </is>
      </c>
      <c r="D4027" s="144" t="n">
        <v>7049681877</v>
      </c>
      <c r="E4027" s="144" t="inlineStr">
        <is>
          <t>BOX</t>
        </is>
      </c>
      <c r="F4027" s="144" t="inlineStr">
        <is>
          <t>ZM2734 NC</t>
        </is>
      </c>
      <c r="G4027" s="144" t="inlineStr">
        <is>
          <t>WHITE HINO</t>
        </is>
      </c>
      <c r="H4027" s="144" t="inlineStr">
        <is>
          <t xml:space="preserve">HOUSING </t>
        </is>
      </c>
      <c r="I4027" s="144" t="inlineStr">
        <is>
          <t>CONTRACTOR</t>
        </is>
      </c>
    </row>
    <row r="4028" ht="18" customHeight="1" s="7">
      <c r="A4028" s="144" t="inlineStr">
        <is>
          <t>ANTWAIN GROVES</t>
        </is>
      </c>
      <c r="B4028" s="144" t="inlineStr">
        <is>
          <t>000028171503 NC</t>
        </is>
      </c>
      <c r="C4028" s="144" t="inlineStr">
        <is>
          <t xml:space="preserve">ANG </t>
        </is>
      </c>
      <c r="D4028" s="144" t="n">
        <v>9195028819</v>
      </c>
      <c r="E4028" s="144" t="inlineStr">
        <is>
          <t>PU</t>
        </is>
      </c>
      <c r="F4028" s="144" t="inlineStr">
        <is>
          <t>VT4168 NC</t>
        </is>
      </c>
      <c r="G4028" s="144" t="inlineStr">
        <is>
          <t>BLACK CHEVY</t>
        </is>
      </c>
      <c r="H4028" s="144" t="n">
        <v>1221</v>
      </c>
      <c r="I4028" s="144" t="inlineStr">
        <is>
          <t>CONTRACTOR</t>
        </is>
      </c>
    </row>
    <row r="4029" ht="18" customHeight="1" s="7">
      <c r="A4029" s="144" t="inlineStr">
        <is>
          <t>KEITH DUNLAP</t>
        </is>
      </c>
      <c r="B4029" s="144" t="inlineStr">
        <is>
          <t>*055606751 GA</t>
        </is>
      </c>
      <c r="C4029" s="144" t="inlineStr">
        <is>
          <t>RYDER</t>
        </is>
      </c>
      <c r="D4029" s="144" t="n">
        <v>8502099035</v>
      </c>
      <c r="E4029" s="144" t="inlineStr">
        <is>
          <t>BOX</t>
        </is>
      </c>
      <c r="F4029" s="144" t="inlineStr">
        <is>
          <t>3856707 IN</t>
        </is>
      </c>
      <c r="G4029" s="144" t="inlineStr">
        <is>
          <t>WHITE INTERNATIONAL</t>
        </is>
      </c>
      <c r="H4029" s="144" t="inlineStr">
        <is>
          <t>HOUSING</t>
        </is>
      </c>
      <c r="I4029" s="144" t="inlineStr">
        <is>
          <t>CONTRACTOR</t>
        </is>
      </c>
    </row>
    <row r="4030" ht="18" customHeight="1" s="7">
      <c r="A4030" s="144" t="inlineStr">
        <is>
          <t>ZUBKOV VLADMIROVICH</t>
        </is>
      </c>
      <c r="B4030" s="144" t="inlineStr">
        <is>
          <t>Z121878852180 FL</t>
        </is>
      </c>
      <c r="C4030" s="144" t="inlineStr">
        <is>
          <t>BENTLEY EXPRESS</t>
        </is>
      </c>
      <c r="D4030" s="144" t="n">
        <v>9046244539</v>
      </c>
      <c r="E4030" s="144" t="inlineStr">
        <is>
          <t>FLAT</t>
        </is>
      </c>
      <c r="F4030" s="144" t="inlineStr">
        <is>
          <t>XE7360 GA</t>
        </is>
      </c>
      <c r="G4030" s="144" t="inlineStr">
        <is>
          <t>WHITE KENWORTH</t>
        </is>
      </c>
      <c r="H4030" s="144" t="n">
        <v>1221</v>
      </c>
      <c r="I4030" s="144" t="inlineStr">
        <is>
          <t>COMMERCIAL</t>
        </is>
      </c>
    </row>
    <row r="4031" ht="18" customHeight="1" s="7">
      <c r="A4031" s="144" t="inlineStr">
        <is>
          <t>LEANDER HARRIS</t>
        </is>
      </c>
      <c r="B4031" s="144" t="inlineStr">
        <is>
          <t>H620520650630 FL</t>
        </is>
      </c>
      <c r="C4031" s="144" t="inlineStr">
        <is>
          <t>TURN2</t>
        </is>
      </c>
      <c r="D4031" s="144" t="n">
        <v>9047600825</v>
      </c>
      <c r="E4031" s="144" t="inlineStr">
        <is>
          <t>BOX</t>
        </is>
      </c>
      <c r="F4031" s="144" t="inlineStr">
        <is>
          <t>XE299W FL</t>
        </is>
      </c>
      <c r="G4031" s="144" t="inlineStr">
        <is>
          <t>RED FREIGHTLINER</t>
        </is>
      </c>
      <c r="H4031" s="144" t="n">
        <v>1221</v>
      </c>
      <c r="I4031" s="144" t="inlineStr">
        <is>
          <t>COMMERCIAL</t>
        </is>
      </c>
    </row>
    <row r="4032" ht="18" customHeight="1" s="7">
      <c r="A4032" s="144" t="inlineStr">
        <is>
          <t>DEWAYNE HURST</t>
        </is>
      </c>
      <c r="B4032" s="144" t="inlineStr">
        <is>
          <t>11781740 TX</t>
        </is>
      </c>
      <c r="C4032" s="144" t="inlineStr">
        <is>
          <t xml:space="preserve">HURST BROTHERS </t>
        </is>
      </c>
      <c r="D4032" s="144" t="n">
        <v>2149620214</v>
      </c>
      <c r="E4032" s="144" t="inlineStr">
        <is>
          <t>PU</t>
        </is>
      </c>
      <c r="F4032" s="144" t="inlineStr">
        <is>
          <t>XDZ7319 TX</t>
        </is>
      </c>
      <c r="G4032" s="144" t="inlineStr">
        <is>
          <t>BLUE DODGE</t>
        </is>
      </c>
      <c r="H4032" s="144" t="n">
        <v>5300</v>
      </c>
      <c r="I4032" s="144" t="inlineStr">
        <is>
          <t>CONTRACTOR</t>
        </is>
      </c>
    </row>
    <row r="4033" ht="18" customHeight="1" s="7">
      <c r="A4033" s="144" t="inlineStr">
        <is>
          <t>SCOTT EVANS</t>
        </is>
      </c>
      <c r="B4033" s="144" t="inlineStr">
        <is>
          <t>159292266 TN</t>
        </is>
      </c>
      <c r="C4033" s="144" t="inlineStr">
        <is>
          <t>FEDEX</t>
        </is>
      </c>
      <c r="D4033" s="144" t="n">
        <v>4026430246</v>
      </c>
      <c r="E4033" s="144" t="inlineStr">
        <is>
          <t>BOX</t>
        </is>
      </c>
      <c r="F4033" s="144" t="inlineStr">
        <is>
          <t>PWN1692 OH</t>
        </is>
      </c>
      <c r="G4033" s="144" t="inlineStr">
        <is>
          <t>WHITE FREIGHTLINER</t>
        </is>
      </c>
      <c r="H4033" s="144" t="n">
        <v>1221</v>
      </c>
      <c r="I4033" s="144" t="inlineStr">
        <is>
          <t>COMMERICAL</t>
        </is>
      </c>
    </row>
    <row r="4034" ht="18" customHeight="1" s="7">
      <c r="A4034" s="144" t="inlineStr">
        <is>
          <t>RAYMOND ADAMS</t>
        </is>
      </c>
      <c r="B4034" s="144" t="inlineStr">
        <is>
          <t>A236392420000 FL</t>
        </is>
      </c>
      <c r="C4034" s="144" t="inlineStr">
        <is>
          <t>JB HUNT</t>
        </is>
      </c>
      <c r="D4034" s="144" t="n">
        <v>4072745504</v>
      </c>
      <c r="E4034" s="144" t="inlineStr">
        <is>
          <t>BOX</t>
        </is>
      </c>
      <c r="F4034" s="144" t="inlineStr">
        <is>
          <t>3478370 IN</t>
        </is>
      </c>
      <c r="G4034" s="144" t="inlineStr">
        <is>
          <t>WHITE INTERNATIONAL</t>
        </is>
      </c>
      <c r="H4034" s="144" t="n">
        <v>1330</v>
      </c>
      <c r="I4034" s="144" t="inlineStr">
        <is>
          <t>COMMERICAL</t>
        </is>
      </c>
    </row>
    <row r="4035" ht="18" customHeight="1" s="7">
      <c r="A4035" s="144" t="inlineStr">
        <is>
          <t>AUSTIN CROOK</t>
        </is>
      </c>
      <c r="B4035" s="144" t="inlineStr">
        <is>
          <t>056553167 GA</t>
        </is>
      </c>
      <c r="C4035" s="144" t="inlineStr">
        <is>
          <t>FLINT</t>
        </is>
      </c>
      <c r="D4035" s="144" t="n">
        <v>2296036818</v>
      </c>
      <c r="E4035" s="144" t="inlineStr">
        <is>
          <t>PU</t>
        </is>
      </c>
      <c r="F4035" s="144" t="inlineStr">
        <is>
          <t>XCI790 GA</t>
        </is>
      </c>
      <c r="G4035" s="144" t="inlineStr">
        <is>
          <t>WHITE DODGE</t>
        </is>
      </c>
      <c r="H4035" s="144" t="n">
        <v>5400</v>
      </c>
      <c r="I4035" s="144" t="inlineStr">
        <is>
          <t>CONTRACTOR</t>
        </is>
      </c>
    </row>
    <row r="4036" ht="18" customHeight="1" s="7">
      <c r="A4036" s="144" t="inlineStr">
        <is>
          <t>ALI REZAYI</t>
        </is>
      </c>
      <c r="B4036" s="144" t="inlineStr">
        <is>
          <t>UP728472 OH</t>
        </is>
      </c>
      <c r="C4036" s="144" t="inlineStr">
        <is>
          <t>GLOBE TRANS</t>
        </is>
      </c>
      <c r="D4036" s="144" t="n">
        <v>2168041145</v>
      </c>
      <c r="E4036" s="144" t="inlineStr">
        <is>
          <t>BOX</t>
        </is>
      </c>
      <c r="F4036" s="144" t="inlineStr">
        <is>
          <t>P1279270 IL</t>
        </is>
      </c>
      <c r="G4036" s="144" t="inlineStr">
        <is>
          <t>RED VOLVO</t>
        </is>
      </c>
      <c r="H4036" s="144" t="n">
        <v>1221</v>
      </c>
      <c r="I4036" s="144" t="inlineStr">
        <is>
          <t>COMMERICAL</t>
        </is>
      </c>
    </row>
    <row r="4037" ht="18" customHeight="1" s="7">
      <c r="A4037" s="144" t="inlineStr">
        <is>
          <t>ABDIKADIR WARSAME</t>
        </is>
      </c>
      <c r="B4037" s="144" t="inlineStr">
        <is>
          <t>SL454940 OH</t>
        </is>
      </c>
      <c r="C4037" s="144" t="inlineStr">
        <is>
          <t>ANSOR EXPRESS</t>
        </is>
      </c>
      <c r="D4037" s="144" t="n">
        <v>2076504998</v>
      </c>
      <c r="E4037" s="144" t="inlineStr">
        <is>
          <t>BOX</t>
        </is>
      </c>
      <c r="F4037" s="144" t="inlineStr">
        <is>
          <t>PXB2482 OH</t>
        </is>
      </c>
      <c r="G4037" s="144" t="inlineStr">
        <is>
          <t>RED FREIGHTLINER</t>
        </is>
      </c>
      <c r="H4037" s="144" t="n">
        <v>1221</v>
      </c>
      <c r="I4037" s="144" t="inlineStr">
        <is>
          <t>COMMERICAL</t>
        </is>
      </c>
    </row>
    <row r="4038" ht="18" customHeight="1" s="7">
      <c r="A4038" s="144" t="inlineStr">
        <is>
          <t>ANTHONY VEGA</t>
        </is>
      </c>
      <c r="B4038" s="144" t="inlineStr">
        <is>
          <t>V200018760830 FL</t>
        </is>
      </c>
      <c r="C4038" s="144" t="inlineStr">
        <is>
          <t>ATD</t>
        </is>
      </c>
      <c r="D4038" s="144" t="n">
        <v>8505443881</v>
      </c>
      <c r="E4038" s="144" t="inlineStr">
        <is>
          <t>BOC</t>
        </is>
      </c>
      <c r="F4038" s="144" t="inlineStr">
        <is>
          <t>33EMVP FL</t>
        </is>
      </c>
      <c r="G4038" s="144" t="inlineStr">
        <is>
          <t>WHITEISUZU</t>
        </is>
      </c>
      <c r="H4038" s="144" t="inlineStr">
        <is>
          <t>HOBBY SHOP</t>
        </is>
      </c>
      <c r="I4038" s="144" t="inlineStr">
        <is>
          <t>CONTRACTOR</t>
        </is>
      </c>
    </row>
    <row r="4039" ht="18" customHeight="1" s="7">
      <c r="A4039" s="144" t="inlineStr">
        <is>
          <t>JONATHAN RODGERS</t>
        </is>
      </c>
      <c r="B4039" s="144" t="inlineStr">
        <is>
          <t>*053710999 GA</t>
        </is>
      </c>
      <c r="C4039" s="144" t="inlineStr">
        <is>
          <t>EXPRESS DISPOSAL</t>
        </is>
      </c>
      <c r="D4039" s="144" t="n">
        <v>2293524300</v>
      </c>
      <c r="E4039" s="144" t="inlineStr">
        <is>
          <t>DUMP</t>
        </is>
      </c>
      <c r="F4039" s="144" t="inlineStr">
        <is>
          <t>GBY146 GA</t>
        </is>
      </c>
      <c r="G4039" s="144" t="inlineStr">
        <is>
          <t>GREEEN MACK</t>
        </is>
      </c>
      <c r="H4039" s="144" t="inlineStr">
        <is>
          <t>BASE WIDE</t>
        </is>
      </c>
      <c r="I4039" s="144" t="inlineStr">
        <is>
          <t>COMMERCIAL</t>
        </is>
      </c>
    </row>
    <row r="4040" ht="18" customHeight="1" s="7">
      <c r="A4040" s="144" t="inlineStr">
        <is>
          <t>DEBABA ANZURUNI</t>
        </is>
      </c>
      <c r="B4040" s="144" t="inlineStr">
        <is>
          <t>229315478 UT</t>
        </is>
      </c>
      <c r="C4040" s="144" t="inlineStr">
        <is>
          <t>TOP FLEET</t>
        </is>
      </c>
      <c r="D4040" s="144" t="n">
        <v>3852677036</v>
      </c>
      <c r="E4040" s="144" t="inlineStr">
        <is>
          <t>BOX</t>
        </is>
      </c>
      <c r="F4040" s="144" t="inlineStr">
        <is>
          <t>PXB4242 OH</t>
        </is>
      </c>
      <c r="G4040" s="144" t="inlineStr">
        <is>
          <t>WHITE FREIGHTLINER</t>
        </is>
      </c>
      <c r="H4040" s="144" t="n">
        <v>1221</v>
      </c>
      <c r="I4040" s="144" t="inlineStr">
        <is>
          <t>COMMERCIAL</t>
        </is>
      </c>
    </row>
    <row r="4041" ht="18" customHeight="1" s="7">
      <c r="A4041" s="144" t="inlineStr">
        <is>
          <t>MICHAEL HELTON</t>
        </is>
      </c>
      <c r="B4041" s="144" t="inlineStr">
        <is>
          <t>*051283210 TN</t>
        </is>
      </c>
      <c r="C4041" s="144" t="inlineStr">
        <is>
          <t>ETI</t>
        </is>
      </c>
      <c r="D4041" s="144" t="n">
        <v>4237541038</v>
      </c>
      <c r="E4041" s="144" t="inlineStr">
        <is>
          <t>FLAT</t>
        </is>
      </c>
      <c r="F4041" s="144" t="inlineStr">
        <is>
          <t>V5032HY TN</t>
        </is>
      </c>
      <c r="G4041" s="144" t="inlineStr">
        <is>
          <t>WHITE KENWORTH</t>
        </is>
      </c>
      <c r="H4041" s="144" t="inlineStr">
        <is>
          <t>GATE 15</t>
        </is>
      </c>
      <c r="I4041" s="144" t="inlineStr">
        <is>
          <t>COMMERCIAL</t>
        </is>
      </c>
    </row>
    <row r="4042" ht="18" customHeight="1" s="7">
      <c r="A4042" s="144" t="inlineStr">
        <is>
          <t>JASON HUTCHENS</t>
        </is>
      </c>
      <c r="B4042" s="144" t="inlineStr">
        <is>
          <t>18912506 TX</t>
        </is>
      </c>
      <c r="C4042" s="144" t="inlineStr">
        <is>
          <t>LANDSTAR</t>
        </is>
      </c>
      <c r="D4042" s="144" t="n">
        <v>2542425155</v>
      </c>
      <c r="E4042" s="144" t="inlineStr">
        <is>
          <t>BOX</t>
        </is>
      </c>
      <c r="F4042" s="144" t="inlineStr">
        <is>
          <t>K198761 TX</t>
        </is>
      </c>
      <c r="G4042" s="144" t="inlineStr">
        <is>
          <t>FREIGHTLINER</t>
        </is>
      </c>
      <c r="H4042" s="144" t="n">
        <v>1221</v>
      </c>
      <c r="I4042" s="144" t="inlineStr">
        <is>
          <t>COMMERICAL</t>
        </is>
      </c>
    </row>
    <row r="4043" ht="18" customHeight="1" s="7">
      <c r="A4043" s="144" t="inlineStr">
        <is>
          <t>ESEQUIEL CRUZ</t>
        </is>
      </c>
      <c r="B4043" s="144" t="inlineStr">
        <is>
          <t>C620235005177 MI</t>
        </is>
      </c>
      <c r="C4043" s="144" t="inlineStr">
        <is>
          <t xml:space="preserve">BENNETT </t>
        </is>
      </c>
      <c r="D4043" s="144" t="n">
        <v>9472684731</v>
      </c>
      <c r="E4043" s="144" t="inlineStr">
        <is>
          <t>FLAT</t>
        </is>
      </c>
      <c r="F4043" s="144" t="inlineStr">
        <is>
          <t>P1223938 IL</t>
        </is>
      </c>
      <c r="G4043" s="144" t="inlineStr">
        <is>
          <t>RED KENWORTH</t>
        </is>
      </c>
      <c r="H4043" s="144" t="n">
        <v>1221</v>
      </c>
      <c r="I4043" s="144" t="inlineStr">
        <is>
          <t>COMMERICAL</t>
        </is>
      </c>
    </row>
    <row r="4044" ht="18" customHeight="1" s="7">
      <c r="A4044" s="144" t="inlineStr">
        <is>
          <t>ABNER CARBALLO</t>
        </is>
      </c>
      <c r="B4044" s="144" t="inlineStr">
        <is>
          <t>18492799 TX</t>
        </is>
      </c>
      <c r="C4044" s="144" t="inlineStr">
        <is>
          <t>GREEN VALLEY TRAN</t>
        </is>
      </c>
      <c r="D4044" s="144" t="n">
        <v>8172235763</v>
      </c>
      <c r="E4044" s="144" t="inlineStr">
        <is>
          <t>VAN</t>
        </is>
      </c>
      <c r="F4044" s="144" t="inlineStr">
        <is>
          <t>SLN0614 TX</t>
        </is>
      </c>
      <c r="G4044" s="144" t="inlineStr">
        <is>
          <t>GREY MERECDES</t>
        </is>
      </c>
      <c r="H4044" s="144" t="n">
        <v>1221</v>
      </c>
      <c r="I4044" s="144" t="inlineStr">
        <is>
          <t>CONTRACTOR</t>
        </is>
      </c>
    </row>
    <row r="4045" ht="18" customHeight="1" s="7">
      <c r="A4045" s="144" t="inlineStr">
        <is>
          <t>HECTOR HERNANDEZ</t>
        </is>
      </c>
      <c r="B4045" s="144" t="inlineStr">
        <is>
          <t>H244268016000 FL</t>
        </is>
      </c>
      <c r="C4045" s="144" t="inlineStr">
        <is>
          <t>EMPIRE NATIONAL</t>
        </is>
      </c>
      <c r="D4045" s="144" t="n">
        <v>8135342569</v>
      </c>
      <c r="E4045" s="144" t="inlineStr">
        <is>
          <t>VAN</t>
        </is>
      </c>
      <c r="F4045" s="144" t="inlineStr">
        <is>
          <t>JRLG78 FL</t>
        </is>
      </c>
      <c r="G4045" s="144" t="inlineStr">
        <is>
          <t>WHITE DODGE</t>
        </is>
      </c>
      <c r="H4045" s="144" t="n">
        <v>1221</v>
      </c>
      <c r="I4045" s="144" t="inlineStr">
        <is>
          <t>CONTRACTOR</t>
        </is>
      </c>
    </row>
    <row r="4046" ht="18" customHeight="1" s="7">
      <c r="A4046" s="144" t="inlineStr">
        <is>
          <t>WERKU YITAGES</t>
        </is>
      </c>
      <c r="B4046" s="144" t="inlineStr">
        <is>
          <t>171334105 CO</t>
        </is>
      </c>
      <c r="C4046" s="144" t="inlineStr">
        <is>
          <t xml:space="preserve"> NILE EXPRESS</t>
        </is>
      </c>
      <c r="D4046" s="144" t="n">
        <v>7207572949</v>
      </c>
      <c r="E4046" s="144" t="inlineStr">
        <is>
          <t>BOX</t>
        </is>
      </c>
      <c r="F4046" s="144" t="inlineStr">
        <is>
          <t>BEBN40 CO</t>
        </is>
      </c>
      <c r="G4046" s="144" t="inlineStr">
        <is>
          <t>RED KENWORTH</t>
        </is>
      </c>
      <c r="H4046" s="144" t="n">
        <v>1221</v>
      </c>
      <c r="I4046" s="144" t="inlineStr">
        <is>
          <t>COMMERICAL</t>
        </is>
      </c>
    </row>
    <row r="4047" ht="18" customHeight="1" s="7">
      <c r="A4047" s="144" t="inlineStr">
        <is>
          <t>REGGIE RUSSELL</t>
        </is>
      </c>
      <c r="B4047" s="144" t="inlineStr">
        <is>
          <t>RU587061 OH</t>
        </is>
      </c>
      <c r="C4047" s="144" t="inlineStr">
        <is>
          <t>CLE TRANS</t>
        </is>
      </c>
      <c r="D4047" s="144" t="n">
        <v>4195610750</v>
      </c>
      <c r="E4047" s="144" t="inlineStr">
        <is>
          <t>BOX</t>
        </is>
      </c>
      <c r="F4047" s="144" t="inlineStr">
        <is>
          <t>PHZ7301 OH</t>
        </is>
      </c>
      <c r="G4047" s="144" t="inlineStr">
        <is>
          <t xml:space="preserve"> GREY MACK </t>
        </is>
      </c>
      <c r="H4047" s="144" t="n">
        <v>1221</v>
      </c>
      <c r="I4047" s="144" t="inlineStr">
        <is>
          <t>COMMERICAL</t>
        </is>
      </c>
    </row>
    <row r="4048" ht="18" customHeight="1" s="7">
      <c r="A4048" s="144" t="inlineStr">
        <is>
          <t>JOSEPH KAMAU</t>
        </is>
      </c>
      <c r="B4048" s="144" t="inlineStr">
        <is>
          <t>37539573 TX</t>
        </is>
      </c>
      <c r="C4048" s="144" t="inlineStr">
        <is>
          <t>ASA CARRIES</t>
        </is>
      </c>
      <c r="D4048" s="144" t="n">
        <v>4692338177</v>
      </c>
      <c r="E4048" s="144" t="inlineStr">
        <is>
          <t>BOX</t>
        </is>
      </c>
      <c r="F4048" s="144" t="inlineStr">
        <is>
          <t>R773325 TX</t>
        </is>
      </c>
      <c r="G4048" s="144" t="inlineStr">
        <is>
          <t>RED VOLVO</t>
        </is>
      </c>
      <c r="H4048" s="144" t="n">
        <v>1221</v>
      </c>
      <c r="I4048" s="144" t="inlineStr">
        <is>
          <t>COMMERICAL</t>
        </is>
      </c>
    </row>
    <row r="4049" ht="18" customHeight="1" s="7">
      <c r="A4049" s="144" t="inlineStr">
        <is>
          <t>JOHNATHAN CURL</t>
        </is>
      </c>
      <c r="B4049" s="144" t="inlineStr">
        <is>
          <t>051993361 GA</t>
        </is>
      </c>
      <c r="C4049" s="144" t="inlineStr">
        <is>
          <t>RNDC</t>
        </is>
      </c>
      <c r="D4049" s="144" t="n">
        <v>2296462884</v>
      </c>
      <c r="E4049" s="144" t="inlineStr">
        <is>
          <t>BOX</t>
        </is>
      </c>
      <c r="F4049" s="144" t="inlineStr">
        <is>
          <t>YRZ930 GA</t>
        </is>
      </c>
      <c r="G4049" s="144" t="inlineStr">
        <is>
          <t>WHITE FREIGHTLINER</t>
        </is>
      </c>
      <c r="H4049" s="144" t="n">
        <v>7501</v>
      </c>
      <c r="I4049" s="144" t="inlineStr">
        <is>
          <t>COMMERICAL</t>
        </is>
      </c>
    </row>
    <row r="4050" ht="18" customHeight="1" s="7">
      <c r="A4050" s="144" t="inlineStr">
        <is>
          <t>MIGUEL GONE GARCIA</t>
        </is>
      </c>
      <c r="B4050" s="144" t="inlineStr">
        <is>
          <t>42708992 TX</t>
        </is>
      </c>
      <c r="C4050" s="144" t="inlineStr">
        <is>
          <t>GONE HTX</t>
        </is>
      </c>
      <c r="D4050" s="144" t="n">
        <v>8325295557</v>
      </c>
      <c r="E4050" s="144" t="inlineStr">
        <is>
          <t>PU</t>
        </is>
      </c>
      <c r="F4050" s="144" t="inlineStr">
        <is>
          <t>STT3150 TX</t>
        </is>
      </c>
      <c r="G4050" s="144" t="inlineStr">
        <is>
          <t>BLACK FORD</t>
        </is>
      </c>
      <c r="H4050" s="144" t="n">
        <v>1221</v>
      </c>
      <c r="I4050" s="144" t="inlineStr">
        <is>
          <t>CONTRACTOR</t>
        </is>
      </c>
    </row>
    <row r="4051" ht="18" customHeight="1" s="7">
      <c r="A4051" s="144" t="inlineStr">
        <is>
          <t>DALEMOND WITNY</t>
        </is>
      </c>
      <c r="B4051" s="144" t="inlineStr">
        <is>
          <t>D455880842020 FL</t>
        </is>
      </c>
      <c r="C4051" s="144" t="inlineStr">
        <is>
          <t>ARALLE TRANS</t>
        </is>
      </c>
      <c r="D4051" s="144" t="n">
        <v>3215122981</v>
      </c>
      <c r="E4051" s="144" t="inlineStr">
        <is>
          <t>BOX</t>
        </is>
      </c>
      <c r="F4051" s="144" t="inlineStr">
        <is>
          <t>P1324918 IL</t>
        </is>
      </c>
      <c r="G4051" s="144" t="inlineStr">
        <is>
          <t>WHITE FREIGHTLINER</t>
        </is>
      </c>
      <c r="H4051" s="144" t="n">
        <v>1221</v>
      </c>
      <c r="I4051" s="144" t="inlineStr">
        <is>
          <t>COMMERICAL</t>
        </is>
      </c>
    </row>
    <row r="4052" ht="18" customHeight="1" s="7">
      <c r="A4052" s="144" t="inlineStr">
        <is>
          <t>AIT ABDERRAHMANE</t>
        </is>
      </c>
      <c r="B4052" s="144" t="inlineStr">
        <is>
          <t>A18069976 KY</t>
        </is>
      </c>
      <c r="C4052" s="144" t="inlineStr">
        <is>
          <t>FREIGHT LINK</t>
        </is>
      </c>
      <c r="D4052" s="144" t="n">
        <v>8593071627</v>
      </c>
      <c r="E4052" s="144" t="inlineStr">
        <is>
          <t>BOX</t>
        </is>
      </c>
      <c r="F4052" s="144" t="inlineStr">
        <is>
          <t>PXC7041 OH</t>
        </is>
      </c>
      <c r="G4052" s="144" t="inlineStr">
        <is>
          <t>GREEN FREIGHTLINER</t>
        </is>
      </c>
      <c r="H4052" s="144" t="n">
        <v>1221</v>
      </c>
      <c r="I4052" s="144" t="inlineStr">
        <is>
          <t>COMMERICAL</t>
        </is>
      </c>
    </row>
    <row r="4053" ht="18" customHeight="1" s="7">
      <c r="A4053" s="144" t="inlineStr">
        <is>
          <t>CHRISTIAN LAURENT</t>
        </is>
      </c>
      <c r="B4053" s="144" t="inlineStr">
        <is>
          <t>L653106023080 FL</t>
        </is>
      </c>
      <c r="C4053" s="144" t="inlineStr">
        <is>
          <t>CHRISTIANS HUALING</t>
        </is>
      </c>
      <c r="D4053" s="144" t="n">
        <v>8637226466</v>
      </c>
      <c r="E4053" s="144" t="inlineStr">
        <is>
          <t>PU</t>
        </is>
      </c>
      <c r="F4053" s="144" t="inlineStr">
        <is>
          <t>DD08IP FL</t>
        </is>
      </c>
      <c r="G4053" s="144" t="inlineStr">
        <is>
          <t>WHITE RAM</t>
        </is>
      </c>
      <c r="H4053" s="144" t="n">
        <v>1221</v>
      </c>
      <c r="I4053" s="144" t="inlineStr">
        <is>
          <t>CONTRACTOR</t>
        </is>
      </c>
    </row>
    <row r="4054" ht="18" customHeight="1" s="7">
      <c r="A4054" s="144" t="inlineStr">
        <is>
          <t>MANLEY MADISON</t>
        </is>
      </c>
      <c r="B4054" s="144" t="inlineStr">
        <is>
          <t>932221084 AR</t>
        </is>
      </c>
      <c r="C4054" s="144" t="inlineStr">
        <is>
          <t>LANDSTAR</t>
        </is>
      </c>
      <c r="D4054" s="144" t="n">
        <v>8705609293</v>
      </c>
      <c r="E4054" s="144" t="inlineStr">
        <is>
          <t>VAN</t>
        </is>
      </c>
      <c r="F4054" s="144" t="inlineStr">
        <is>
          <t>B341136 AR</t>
        </is>
      </c>
      <c r="G4054" s="144" t="inlineStr">
        <is>
          <t>WHITE MEB</t>
        </is>
      </c>
      <c r="H4054" s="144" t="n">
        <v>1221</v>
      </c>
      <c r="I4054" s="144" t="inlineStr">
        <is>
          <t>COMMERICAL</t>
        </is>
      </c>
    </row>
    <row r="4055" ht="18" customHeight="1" s="7">
      <c r="A4055" s="144" t="inlineStr">
        <is>
          <t>JOVAN FRAZIER</t>
        </is>
      </c>
      <c r="B4055" s="144" t="inlineStr">
        <is>
          <t>*053300457 GA</t>
        </is>
      </c>
      <c r="C4055" s="144" t="inlineStr">
        <is>
          <t>SALA</t>
        </is>
      </c>
      <c r="D4055" s="144" t="n">
        <v>2295541821</v>
      </c>
      <c r="E4055" s="144" t="inlineStr">
        <is>
          <t>BOX</t>
        </is>
      </c>
      <c r="F4055" s="144" t="inlineStr">
        <is>
          <t>P276537 LA</t>
        </is>
      </c>
      <c r="G4055" s="144" t="inlineStr">
        <is>
          <t>RED INTER</t>
        </is>
      </c>
      <c r="H4055" s="144" t="n">
        <v>1221</v>
      </c>
      <c r="I4055" s="144" t="inlineStr">
        <is>
          <t>COMMERCIAL</t>
        </is>
      </c>
    </row>
    <row r="4056" ht="18" customHeight="1" s="7">
      <c r="A4056" s="144" t="inlineStr">
        <is>
          <t>NATHANIEL MORGAN JR</t>
        </is>
      </c>
      <c r="B4056" s="144" t="inlineStr">
        <is>
          <t>7794258 AL</t>
        </is>
      </c>
      <c r="C4056" s="144" t="inlineStr">
        <is>
          <t>CLEARVIEW</t>
        </is>
      </c>
      <c r="D4056" s="144" t="n">
        <v>4235087936</v>
      </c>
      <c r="E4056" s="144" t="inlineStr">
        <is>
          <t>PU</t>
        </is>
      </c>
      <c r="F4056" s="144" t="inlineStr">
        <is>
          <t>1185020 AL</t>
        </is>
      </c>
      <c r="G4056" s="144" t="inlineStr">
        <is>
          <t>WHITE DODGE</t>
        </is>
      </c>
      <c r="H4056" s="144" t="n">
        <v>1221</v>
      </c>
      <c r="I4056" s="144" t="inlineStr">
        <is>
          <t>CONTRACTOR</t>
        </is>
      </c>
    </row>
    <row r="4057" ht="18" customHeight="1" s="7">
      <c r="A4057" s="144" t="inlineStr">
        <is>
          <t>LEONARD FENN</t>
        </is>
      </c>
      <c r="B4057" s="144" t="inlineStr">
        <is>
          <t>*052771225 GA</t>
        </is>
      </c>
      <c r="C4057" s="144" t="inlineStr">
        <is>
          <t>YK EXPRESS</t>
        </is>
      </c>
      <c r="D4057" s="144" t="n">
        <v>4782132953</v>
      </c>
      <c r="E4057" s="144" t="inlineStr">
        <is>
          <t>FLAT</t>
        </is>
      </c>
      <c r="F4057" s="144" t="inlineStr">
        <is>
          <t>XE825S FL</t>
        </is>
      </c>
      <c r="G4057" s="144" t="inlineStr">
        <is>
          <t>WHITE KENWORTH</t>
        </is>
      </c>
      <c r="H4057" s="144" t="n">
        <v>1221</v>
      </c>
      <c r="I4057" s="144" t="inlineStr">
        <is>
          <t>COMMERCIAL</t>
        </is>
      </c>
    </row>
    <row r="4058" ht="18" customHeight="1" s="7">
      <c r="A4058" s="144" t="inlineStr">
        <is>
          <t>KENSLEY EDMA</t>
        </is>
      </c>
      <c r="B4058" s="144" t="inlineStr">
        <is>
          <t>E607649239000 FL</t>
        </is>
      </c>
      <c r="C4058" s="144" t="inlineStr">
        <is>
          <t>MAX MOVES</t>
        </is>
      </c>
      <c r="D4058" s="144" t="n">
        <v>3053845874</v>
      </c>
      <c r="E4058" s="144" t="inlineStr">
        <is>
          <t>BOX</t>
        </is>
      </c>
      <c r="F4058" s="144" t="inlineStr">
        <is>
          <t>PXC1472 OH</t>
        </is>
      </c>
      <c r="G4058" s="144" t="inlineStr">
        <is>
          <t>RED FREIGHTLINER</t>
        </is>
      </c>
      <c r="H4058" s="144" t="n">
        <v>1221</v>
      </c>
      <c r="I4058" s="144" t="inlineStr">
        <is>
          <t>COMMERCIAL</t>
        </is>
      </c>
    </row>
    <row r="4059" ht="18" customHeight="1" s="7">
      <c r="A4059" s="144" t="inlineStr">
        <is>
          <t>AMBER COMPTON</t>
        </is>
      </c>
      <c r="B4059" s="144" t="inlineStr">
        <is>
          <t>GC210786F ID</t>
        </is>
      </c>
      <c r="C4059" s="144" t="inlineStr">
        <is>
          <t>FEDEX</t>
        </is>
      </c>
      <c r="D4059" s="144" t="n">
        <v>2084994232</v>
      </c>
      <c r="E4059" s="144" t="inlineStr">
        <is>
          <t>BOX</t>
        </is>
      </c>
      <c r="F4059" s="144" t="inlineStr">
        <is>
          <t>PWZ5406 OH</t>
        </is>
      </c>
      <c r="G4059" s="144" t="inlineStr">
        <is>
          <t>WHITE FREIGHTLINER</t>
        </is>
      </c>
      <c r="H4059" s="144" t="n">
        <v>1221</v>
      </c>
      <c r="I4059" s="144" t="inlineStr">
        <is>
          <t>COMMERCIAL</t>
        </is>
      </c>
    </row>
    <row r="4060" ht="18" customHeight="1" s="7">
      <c r="A4060" s="144" t="inlineStr">
        <is>
          <t>JAMES MURDOCK</t>
        </is>
      </c>
      <c r="B4060" s="144" t="inlineStr">
        <is>
          <t>*061315617 GA</t>
        </is>
      </c>
      <c r="C4060" s="144" t="inlineStr">
        <is>
          <t>SOUTH GA TURFF</t>
        </is>
      </c>
      <c r="D4060" s="144" t="n">
        <v>2293644747</v>
      </c>
      <c r="E4060" s="144" t="inlineStr">
        <is>
          <t>PU</t>
        </is>
      </c>
      <c r="F4060" s="144" t="inlineStr">
        <is>
          <t>RYQ0216 GA</t>
        </is>
      </c>
      <c r="G4060" s="144" t="inlineStr">
        <is>
          <t>WHITE FORD</t>
        </is>
      </c>
      <c r="H4060" s="144" t="inlineStr">
        <is>
          <t>HOUSING</t>
        </is>
      </c>
      <c r="I4060" s="144" t="inlineStr">
        <is>
          <t>CONTRACTOR</t>
        </is>
      </c>
    </row>
    <row r="4061" ht="18" customHeight="1" s="7">
      <c r="A4061" s="144" t="inlineStr">
        <is>
          <t>ALBERT TEN</t>
        </is>
      </c>
      <c r="B4061" s="144" t="inlineStr">
        <is>
          <t>39502538 TX</t>
        </is>
      </c>
      <c r="C4061" s="144" t="inlineStr">
        <is>
          <t>EVA</t>
        </is>
      </c>
      <c r="D4061" s="144" t="n">
        <v>8325426648</v>
      </c>
      <c r="E4061" s="144" t="inlineStr">
        <is>
          <t>BOX</t>
        </is>
      </c>
      <c r="F4061" s="144" t="inlineStr">
        <is>
          <t>R595236 TX</t>
        </is>
      </c>
      <c r="G4061" s="144" t="inlineStr">
        <is>
          <t>ORANGE FREIGHTLINER</t>
        </is>
      </c>
      <c r="H4061" s="144" t="n">
        <v>1221</v>
      </c>
      <c r="I4061" s="144" t="inlineStr">
        <is>
          <t>COMMERCIAL</t>
        </is>
      </c>
    </row>
    <row r="4062" ht="18" customHeight="1" s="7">
      <c r="A4062" s="144" t="inlineStr">
        <is>
          <t>PHILIP WASHINGTON JR</t>
        </is>
      </c>
      <c r="B4062" s="144" t="inlineStr">
        <is>
          <t>*070818337 GA</t>
        </is>
      </c>
      <c r="C4062" s="144" t="inlineStr">
        <is>
          <t>CLEANHARBORS</t>
        </is>
      </c>
      <c r="D4062" s="144" t="n">
        <v>4708954295</v>
      </c>
      <c r="E4062" s="144" t="inlineStr">
        <is>
          <t>BOX</t>
        </is>
      </c>
      <c r="F4062" s="144" t="inlineStr">
        <is>
          <t xml:space="preserve">3280953 IN </t>
        </is>
      </c>
      <c r="G4062" s="144" t="inlineStr">
        <is>
          <t>WHITE FREIGHTLINER</t>
        </is>
      </c>
      <c r="H4062" s="144" t="n">
        <v>1627</v>
      </c>
      <c r="I4062" s="144" t="inlineStr">
        <is>
          <t>COMMERCIAL</t>
        </is>
      </c>
    </row>
    <row r="4063" ht="18" customHeight="1" s="7">
      <c r="A4063" s="144" t="inlineStr">
        <is>
          <t>CALVIN COOK JR</t>
        </is>
      </c>
      <c r="B4063" s="144" t="inlineStr">
        <is>
          <t>*049672279 GA</t>
        </is>
      </c>
      <c r="C4063" s="144" t="inlineStr">
        <is>
          <t>SAIA</t>
        </is>
      </c>
      <c r="D4063" s="144" t="n">
        <v>4045021110</v>
      </c>
      <c r="E4063" s="144" t="inlineStr">
        <is>
          <t>BOX</t>
        </is>
      </c>
      <c r="F4063" s="144" t="inlineStr">
        <is>
          <t>P283927 LA</t>
        </is>
      </c>
      <c r="G4063" s="144" t="inlineStr">
        <is>
          <t>RED FREIGHTLINER</t>
        </is>
      </c>
      <c r="H4063" s="144" t="n">
        <v>1221</v>
      </c>
      <c r="I4063" s="144" t="inlineStr">
        <is>
          <t>COMMERCIAL</t>
        </is>
      </c>
    </row>
    <row r="4064" ht="18" customHeight="1" s="7">
      <c r="A4064" s="144" t="inlineStr">
        <is>
          <t>BRYSON BORDEN</t>
        </is>
      </c>
      <c r="B4064" s="144" t="inlineStr">
        <is>
          <t>B24370776200 FL</t>
        </is>
      </c>
      <c r="C4064" s="144" t="inlineStr">
        <is>
          <t>SRS</t>
        </is>
      </c>
      <c r="D4064" s="144" t="n">
        <v>9043924390</v>
      </c>
      <c r="E4064" s="144" t="inlineStr">
        <is>
          <t>BOX</t>
        </is>
      </c>
      <c r="F4064" s="144" t="inlineStr">
        <is>
          <t>J978HW TN</t>
        </is>
      </c>
      <c r="G4064" s="144" t="inlineStr">
        <is>
          <t>WHITE PETERBILT</t>
        </is>
      </c>
      <c r="H4064" s="144" t="n">
        <v>3500</v>
      </c>
      <c r="I4064" s="144" t="inlineStr">
        <is>
          <t>COMMERCIAL</t>
        </is>
      </c>
    </row>
    <row r="4065" ht="18" customHeight="1" s="7">
      <c r="A4065" s="144" t="inlineStr">
        <is>
          <t>PRADO SALINAS</t>
        </is>
      </c>
      <c r="B4065" s="144" t="inlineStr">
        <is>
          <t>52161610 TX</t>
        </is>
      </c>
      <c r="C4065" s="144" t="inlineStr">
        <is>
          <t>ART TRUCKING</t>
        </is>
      </c>
      <c r="D4065" s="144" t="n">
        <v>9566600154</v>
      </c>
      <c r="E4065" s="144" t="inlineStr">
        <is>
          <t>PU</t>
        </is>
      </c>
      <c r="F4065" s="144" t="inlineStr">
        <is>
          <t>PR62VD FL</t>
        </is>
      </c>
      <c r="G4065" s="144" t="inlineStr">
        <is>
          <t xml:space="preserve">WHITE FORD </t>
        </is>
      </c>
      <c r="H4065" s="144" t="n">
        <v>1221</v>
      </c>
      <c r="I4065" s="144" t="inlineStr">
        <is>
          <t>CONTRACTOR</t>
        </is>
      </c>
    </row>
    <row r="4066" ht="18" customHeight="1" s="7">
      <c r="A4066" s="144" t="inlineStr">
        <is>
          <t>GARY ORR</t>
        </is>
      </c>
      <c r="B4066" s="144" t="inlineStr">
        <is>
          <t>*056727012 GA</t>
        </is>
      </c>
      <c r="C4066" s="144" t="inlineStr">
        <is>
          <t>PLAY SOUTH</t>
        </is>
      </c>
      <c r="D4066" s="144" t="n">
        <v>6785227274</v>
      </c>
      <c r="E4066" s="144" t="inlineStr">
        <is>
          <t>PU</t>
        </is>
      </c>
      <c r="F4066" s="144" t="inlineStr">
        <is>
          <t>AEV305 GA</t>
        </is>
      </c>
      <c r="G4066" s="144" t="inlineStr">
        <is>
          <t>BLUE FORD</t>
        </is>
      </c>
      <c r="H4066" s="144" t="inlineStr">
        <is>
          <t>BASE WIDE</t>
        </is>
      </c>
      <c r="I4066" s="144" t="inlineStr">
        <is>
          <t>CONTRACTOR</t>
        </is>
      </c>
    </row>
    <row r="4067" ht="18" customHeight="1" s="7">
      <c r="A4067" s="144" t="inlineStr">
        <is>
          <t>ADRIAN FERGUSON</t>
        </is>
      </c>
      <c r="B4067" s="144" t="inlineStr">
        <is>
          <t>F622016582850 FL</t>
        </is>
      </c>
      <c r="C4067" s="144" t="inlineStr">
        <is>
          <t>FGPS</t>
        </is>
      </c>
      <c r="D4067" s="144" t="n">
        <v>3863246757</v>
      </c>
      <c r="E4067" s="144" t="inlineStr">
        <is>
          <t>CRANE</t>
        </is>
      </c>
      <c r="F4067" s="144" t="inlineStr">
        <is>
          <t>DD08KR FL</t>
        </is>
      </c>
      <c r="G4067" s="144" t="inlineStr">
        <is>
          <t>WHITE FREIGHTLINER</t>
        </is>
      </c>
      <c r="H4067" s="144" t="inlineStr">
        <is>
          <t>GATE 15</t>
        </is>
      </c>
      <c r="I4067" s="144" t="inlineStr">
        <is>
          <t>CONTRACTOR</t>
        </is>
      </c>
    </row>
    <row r="4068" ht="18" customHeight="1" s="7">
      <c r="A4068" s="144" t="inlineStr">
        <is>
          <t>JESSIE SIMON</t>
        </is>
      </c>
      <c r="B4068" s="144" t="inlineStr">
        <is>
          <t>*050184398 GA</t>
        </is>
      </c>
      <c r="C4068" s="144" t="inlineStr">
        <is>
          <t>SAIS</t>
        </is>
      </c>
      <c r="D4068" s="144" t="n">
        <v>6788185204</v>
      </c>
      <c r="E4068" s="144" t="inlineStr">
        <is>
          <t>BOX</t>
        </is>
      </c>
      <c r="F4068" s="144" t="inlineStr">
        <is>
          <t>P254369 LA</t>
        </is>
      </c>
      <c r="G4068" s="144" t="inlineStr">
        <is>
          <t>RED FREIGHTLINER</t>
        </is>
      </c>
      <c r="H4068" s="144" t="n">
        <v>1221</v>
      </c>
      <c r="I4068" s="144" t="inlineStr">
        <is>
          <t>COMMERCIAL</t>
        </is>
      </c>
    </row>
    <row r="4069" ht="18" customHeight="1" s="7">
      <c r="A4069" s="144" t="inlineStr">
        <is>
          <t>TROY MILLER</t>
        </is>
      </c>
      <c r="B4069" s="144" t="inlineStr">
        <is>
          <t>M399308860000 FL</t>
        </is>
      </c>
      <c r="C4069" s="144" t="inlineStr">
        <is>
          <t>BARBER KLEIN</t>
        </is>
      </c>
      <c r="D4069" s="144" t="n">
        <v>9045911486</v>
      </c>
      <c r="E4069" s="144" t="inlineStr">
        <is>
          <t>JEEP</t>
        </is>
      </c>
      <c r="F4069" s="144" t="inlineStr">
        <is>
          <t>SYH43 FL</t>
        </is>
      </c>
      <c r="G4069" s="144" t="inlineStr">
        <is>
          <t>BLUE HUMMER</t>
        </is>
      </c>
      <c r="H4069" s="144" t="n">
        <v>3500</v>
      </c>
      <c r="I4069" s="144" t="inlineStr">
        <is>
          <t>CONTRACTOR</t>
        </is>
      </c>
    </row>
    <row r="4070" ht="18" customHeight="1" s="7">
      <c r="A4070" s="144" t="inlineStr">
        <is>
          <t>JOHN BONSER</t>
        </is>
      </c>
      <c r="B4070" s="144" t="inlineStr">
        <is>
          <t>B526429303497 MI</t>
        </is>
      </c>
      <c r="C4070" s="144" t="inlineStr">
        <is>
          <t>HALVOR LINES</t>
        </is>
      </c>
      <c r="D4070" s="144" t="n">
        <v>2486672286</v>
      </c>
      <c r="E4070" s="144" t="inlineStr">
        <is>
          <t>BOX</t>
        </is>
      </c>
      <c r="F4070" s="144" t="inlineStr">
        <is>
          <t>T916277 WA</t>
        </is>
      </c>
      <c r="G4070" s="144" t="inlineStr">
        <is>
          <t>WHITE KENWORTH</t>
        </is>
      </c>
      <c r="H4070" s="144" t="n">
        <v>1221</v>
      </c>
      <c r="I4070" s="144" t="inlineStr">
        <is>
          <t>COMMERCIAL</t>
        </is>
      </c>
    </row>
    <row r="4071" ht="18" customHeight="1" s="7">
      <c r="A4071" s="144" t="inlineStr">
        <is>
          <t>ROBERT BREWER</t>
        </is>
      </c>
      <c r="B4071" s="144" t="inlineStr">
        <is>
          <t>*021416987 GA</t>
        </is>
      </c>
      <c r="C4071" s="144" t="inlineStr">
        <is>
          <t>QFS</t>
        </is>
      </c>
      <c r="D4071" s="144" t="n">
        <v>6787552286</v>
      </c>
      <c r="E4071" s="144" t="inlineStr">
        <is>
          <t>BOX</t>
        </is>
      </c>
      <c r="F4071" s="144" t="inlineStr">
        <is>
          <t>C412DE GA</t>
        </is>
      </c>
      <c r="G4071" s="144" t="inlineStr">
        <is>
          <t>YELLOW FREIGHTLINER</t>
        </is>
      </c>
      <c r="H4071" s="144" t="n">
        <v>1221</v>
      </c>
      <c r="I4071" s="144" t="inlineStr">
        <is>
          <t>COMMERICAL</t>
        </is>
      </c>
    </row>
    <row r="4072" ht="18" customHeight="1" s="7">
      <c r="A4072" s="144" t="inlineStr">
        <is>
          <t>GOODEN BRYANT</t>
        </is>
      </c>
      <c r="B4072" s="144" t="inlineStr">
        <is>
          <t>*156732435 TN</t>
        </is>
      </c>
      <c r="C4072" s="144" t="inlineStr">
        <is>
          <t>3X HAULING</t>
        </is>
      </c>
      <c r="D4072" s="144" t="n">
        <v>4045612365</v>
      </c>
      <c r="E4072" s="144" t="inlineStr">
        <is>
          <t>BOX</t>
        </is>
      </c>
      <c r="F4072" s="144" t="inlineStr">
        <is>
          <t>C658FA GA</t>
        </is>
      </c>
      <c r="G4072" s="144" t="inlineStr">
        <is>
          <t>WHITE FREIGHTLINER</t>
        </is>
      </c>
      <c r="H4072" s="144" t="n">
        <v>1301</v>
      </c>
      <c r="I4072" s="144" t="inlineStr">
        <is>
          <t>CONTRACTOR</t>
        </is>
      </c>
    </row>
    <row r="4073" ht="18" customHeight="1" s="7">
      <c r="A4073" s="144" t="inlineStr">
        <is>
          <t>KEVA MCDOWELL</t>
        </is>
      </c>
      <c r="B4073" s="144" t="inlineStr">
        <is>
          <t>M633694625000 FL</t>
        </is>
      </c>
      <c r="C4073" s="144" t="inlineStr">
        <is>
          <t>KLB EXPRESS</t>
        </is>
      </c>
      <c r="D4073" s="144" t="n">
        <v>8506663559</v>
      </c>
      <c r="E4073" s="144" t="inlineStr">
        <is>
          <t>BOX</t>
        </is>
      </c>
      <c r="F4073" s="144" t="inlineStr">
        <is>
          <t>KE789Y FL</t>
        </is>
      </c>
      <c r="G4073" s="144" t="inlineStr">
        <is>
          <t>WHITE FREIGHLINER</t>
        </is>
      </c>
      <c r="H4073" s="144" t="n">
        <v>1221</v>
      </c>
      <c r="I4073" s="144" t="inlineStr">
        <is>
          <t>COMMERICAL</t>
        </is>
      </c>
    </row>
    <row r="4074" ht="18" customHeight="1" s="7">
      <c r="A4074" s="144" t="inlineStr">
        <is>
          <t>AZAEL HERNANDEZ</t>
        </is>
      </c>
      <c r="B4074" s="144" t="inlineStr">
        <is>
          <t>H237816756000 FL</t>
        </is>
      </c>
      <c r="C4074" s="144" t="inlineStr">
        <is>
          <t xml:space="preserve">DJA </t>
        </is>
      </c>
      <c r="D4074" s="144" t="n">
        <v>8636143718</v>
      </c>
      <c r="E4074" s="144" t="inlineStr">
        <is>
          <t>FLAT</t>
        </is>
      </c>
      <c r="F4074" s="144" t="inlineStr">
        <is>
          <t>DG74AQ FL</t>
        </is>
      </c>
      <c r="G4074" s="144" t="inlineStr">
        <is>
          <t>ORANGE PETERBILT</t>
        </is>
      </c>
      <c r="H4074" s="144" t="n">
        <v>1221</v>
      </c>
      <c r="I4074" s="144" t="inlineStr">
        <is>
          <t>COMMERICAL</t>
        </is>
      </c>
    </row>
    <row r="4075" ht="18" customHeight="1" s="7">
      <c r="A4075" s="144" t="inlineStr">
        <is>
          <t>JAMES ADAMS</t>
        </is>
      </c>
      <c r="B4075" s="144" t="inlineStr">
        <is>
          <t>000035728858 NC</t>
        </is>
      </c>
      <c r="C4075" s="144" t="inlineStr">
        <is>
          <t>TERRELL TRUCKING</t>
        </is>
      </c>
      <c r="D4075" s="144" t="n">
        <v>9107897519</v>
      </c>
      <c r="E4075" s="144" t="inlineStr">
        <is>
          <t>FLAT</t>
        </is>
      </c>
      <c r="F4075" s="144" t="inlineStr">
        <is>
          <t>NH9584 NC</t>
        </is>
      </c>
      <c r="G4075" s="144" t="inlineStr">
        <is>
          <t>RED FREIGHTLINER</t>
        </is>
      </c>
      <c r="H4075" s="144" t="n">
        <v>1221</v>
      </c>
      <c r="I4075" s="144" t="inlineStr">
        <is>
          <t>COMMERICAL</t>
        </is>
      </c>
    </row>
    <row r="4076" ht="18" customHeight="1" s="7">
      <c r="A4076" s="144" t="inlineStr">
        <is>
          <t>TERRY ADAMS</t>
        </is>
      </c>
      <c r="B4076" s="144" t="inlineStr">
        <is>
          <t>000022488400 NC</t>
        </is>
      </c>
      <c r="C4076" s="144" t="inlineStr">
        <is>
          <t>TERRELL TRUCKING</t>
        </is>
      </c>
      <c r="D4076" s="144" t="n">
        <v>9105409004</v>
      </c>
      <c r="E4076" s="144" t="inlineStr">
        <is>
          <t>FLAT</t>
        </is>
      </c>
      <c r="F4076" s="144" t="inlineStr">
        <is>
          <t>VV8721 NC</t>
        </is>
      </c>
      <c r="G4076" s="144" t="inlineStr">
        <is>
          <t>BLACK FREIGHTLINER</t>
        </is>
      </c>
      <c r="H4076" s="144" t="n">
        <v>1221</v>
      </c>
      <c r="I4076" s="144" t="inlineStr">
        <is>
          <t>COMMERICAL</t>
        </is>
      </c>
    </row>
    <row r="4077" ht="18" customHeight="1" s="7">
      <c r="A4077" s="144" t="inlineStr">
        <is>
          <t>MICKELL RIVERS</t>
        </is>
      </c>
      <c r="B4077" s="144" t="inlineStr">
        <is>
          <t>R162555053620 FL</t>
        </is>
      </c>
      <c r="C4077" s="144" t="inlineStr">
        <is>
          <t>POLE SETTINGS</t>
        </is>
      </c>
      <c r="D4077" s="144" t="n">
        <v>3864668797</v>
      </c>
      <c r="E4077" s="144" t="inlineStr">
        <is>
          <t>JEEP</t>
        </is>
      </c>
      <c r="F4077" s="144" t="inlineStr">
        <is>
          <t>LCYS69 FL</t>
        </is>
      </c>
      <c r="G4077" s="144" t="inlineStr">
        <is>
          <t>BLACK KIA</t>
        </is>
      </c>
      <c r="H4077" s="144" t="inlineStr">
        <is>
          <t>GATE 15</t>
        </is>
      </c>
      <c r="I4077" s="144" t="inlineStr">
        <is>
          <t>CONTRACTOR</t>
        </is>
      </c>
    </row>
    <row r="4078" ht="18" customHeight="1" s="7">
      <c r="A4078" s="144" t="inlineStr">
        <is>
          <t>ADBULLAEV RAMAZAN</t>
        </is>
      </c>
      <c r="B4078" s="144" t="inlineStr">
        <is>
          <t>34865113 PA</t>
        </is>
      </c>
      <c r="C4078" s="144" t="inlineStr">
        <is>
          <t>MK BOSS</t>
        </is>
      </c>
      <c r="D4078" s="144" t="n">
        <v>4129352838</v>
      </c>
      <c r="E4078" s="144" t="inlineStr">
        <is>
          <t>FLAT</t>
        </is>
      </c>
      <c r="F4078" s="144" t="inlineStr">
        <is>
          <t>AH35325 PA</t>
        </is>
      </c>
      <c r="G4078" s="144" t="inlineStr">
        <is>
          <t>WHITE VOLVO</t>
        </is>
      </c>
      <c r="H4078" s="144" t="n">
        <v>1221</v>
      </c>
      <c r="I4078" s="144" t="inlineStr">
        <is>
          <t>COMMERICAL</t>
        </is>
      </c>
    </row>
    <row r="4079" ht="18" customHeight="1" s="7">
      <c r="A4079" s="144" t="inlineStr">
        <is>
          <t>KHALIF COLLIER</t>
        </is>
      </c>
      <c r="B4079" s="144" t="inlineStr">
        <is>
          <t>059364280 GA</t>
        </is>
      </c>
      <c r="C4079" s="144" t="inlineStr">
        <is>
          <t>FEDEX</t>
        </is>
      </c>
      <c r="D4079" s="144" t="n">
        <v>2296036760</v>
      </c>
      <c r="E4079" s="144" t="inlineStr">
        <is>
          <t>BOX</t>
        </is>
      </c>
      <c r="F4079" s="144" t="inlineStr">
        <is>
          <t>FJLX88FL</t>
        </is>
      </c>
      <c r="G4079" s="144" t="inlineStr">
        <is>
          <t>WHITE FORD</t>
        </is>
      </c>
      <c r="H4079" s="144" t="inlineStr">
        <is>
          <t>BASEWIDE</t>
        </is>
      </c>
      <c r="I4079" s="144" t="inlineStr">
        <is>
          <t>CONTRACTOR</t>
        </is>
      </c>
    </row>
    <row r="4080" ht="18" customHeight="1" s="7">
      <c r="A4080" s="144" t="inlineStr">
        <is>
          <t>COREY JACKSON</t>
        </is>
      </c>
      <c r="B4080" s="144" t="inlineStr">
        <is>
          <t>37665171 TX</t>
        </is>
      </c>
      <c r="C4080" s="144" t="inlineStr">
        <is>
          <t>BETA FREIGHT</t>
        </is>
      </c>
      <c r="D4080" s="144" t="n">
        <v>2816621711</v>
      </c>
      <c r="E4080" s="144" t="inlineStr">
        <is>
          <t>FLAT</t>
        </is>
      </c>
      <c r="F4080" s="144" t="inlineStr">
        <is>
          <t>P1311122 IL</t>
        </is>
      </c>
      <c r="G4080" s="144" t="inlineStr">
        <is>
          <t>WHITE FREIGHTLINER</t>
        </is>
      </c>
      <c r="H4080" s="144" t="n">
        <v>1221</v>
      </c>
      <c r="I4080" s="144" t="inlineStr">
        <is>
          <t>COMMERICAL</t>
        </is>
      </c>
    </row>
    <row r="4081" ht="18" customHeight="1" s="7">
      <c r="A4081" s="144" t="inlineStr">
        <is>
          <t>ANTONIO SCOTT</t>
        </is>
      </c>
      <c r="B4081" s="144" t="inlineStr">
        <is>
          <t>000008678750 NC</t>
        </is>
      </c>
      <c r="C4081" s="144" t="inlineStr">
        <is>
          <t xml:space="preserve">BBM </t>
        </is>
      </c>
      <c r="D4081" s="144" t="n">
        <v>9102072422</v>
      </c>
      <c r="E4081" s="144" t="inlineStr">
        <is>
          <t>FLAT</t>
        </is>
      </c>
      <c r="F4081" s="144" t="inlineStr">
        <is>
          <t>VT7557 NC</t>
        </is>
      </c>
      <c r="G4081" s="144" t="inlineStr">
        <is>
          <t>BLACK KENWORTH</t>
        </is>
      </c>
      <c r="H4081" s="144" t="n">
        <v>1221</v>
      </c>
      <c r="I4081" s="144" t="inlineStr">
        <is>
          <t>COMMERICAL</t>
        </is>
      </c>
    </row>
    <row r="4082" ht="18" customHeight="1" s="7">
      <c r="A4082" s="144" t="inlineStr">
        <is>
          <t>KENNETH HIGHT</t>
        </is>
      </c>
      <c r="B4082" s="144" t="inlineStr">
        <is>
          <t>K01901519 KA</t>
        </is>
      </c>
      <c r="C4082" s="144" t="inlineStr">
        <is>
          <t>ELITE ONE</t>
        </is>
      </c>
      <c r="D4082" s="144" t="n">
        <v>7859146454</v>
      </c>
      <c r="E4082" s="144" t="inlineStr">
        <is>
          <t>FLAT</t>
        </is>
      </c>
      <c r="F4082" s="144" t="inlineStr">
        <is>
          <t>RP26443 WA</t>
        </is>
      </c>
      <c r="G4082" s="144" t="inlineStr">
        <is>
          <t>BLUE PETERBILT</t>
        </is>
      </c>
      <c r="H4082" s="144" t="n">
        <v>1221</v>
      </c>
      <c r="I4082" s="144" t="inlineStr">
        <is>
          <t>COMMERICAL</t>
        </is>
      </c>
    </row>
    <row r="4083" ht="18" customHeight="1" s="7">
      <c r="A4083" s="144" t="inlineStr">
        <is>
          <t>MARK MCMEANS</t>
        </is>
      </c>
      <c r="B4083" s="144" t="inlineStr">
        <is>
          <t>056125492 GA</t>
        </is>
      </c>
      <c r="C4083" s="144" t="inlineStr">
        <is>
          <t>USA STAR</t>
        </is>
      </c>
      <c r="D4083" s="144" t="n">
        <v>4047726630</v>
      </c>
      <c r="E4083" s="144" t="inlineStr">
        <is>
          <t>FLAT</t>
        </is>
      </c>
      <c r="F4083" s="144" t="inlineStr">
        <is>
          <t>C307ET GA</t>
        </is>
      </c>
      <c r="G4083" s="144" t="inlineStr">
        <is>
          <t>WHITE VOLVO</t>
        </is>
      </c>
      <c r="H4083" s="144" t="n">
        <v>1221</v>
      </c>
      <c r="I4083" s="144" t="inlineStr">
        <is>
          <t>COMMERICAL</t>
        </is>
      </c>
    </row>
    <row r="4084" ht="18" customHeight="1" s="7">
      <c r="A4084" s="144" t="inlineStr">
        <is>
          <t>KENNETH MCIRVIN</t>
        </is>
      </c>
      <c r="B4084" s="144" t="inlineStr">
        <is>
          <t>M261512950230 FL</t>
        </is>
      </c>
      <c r="C4084" s="144" t="inlineStr">
        <is>
          <t>PENSKE</t>
        </is>
      </c>
      <c r="D4084" s="144" t="n">
        <v>8508152428</v>
      </c>
      <c r="E4084" s="144" t="inlineStr">
        <is>
          <t>BOX</t>
        </is>
      </c>
      <c r="F4084" s="144" t="inlineStr">
        <is>
          <t>3569251 IN</t>
        </is>
      </c>
      <c r="G4084" s="144" t="inlineStr">
        <is>
          <t>WHITE FREIGHTLINER</t>
        </is>
      </c>
      <c r="H4084" s="144" t="n">
        <v>1600</v>
      </c>
      <c r="I4084" s="144" t="inlineStr">
        <is>
          <t>CONTRACTOR</t>
        </is>
      </c>
    </row>
    <row r="4085" ht="18" customHeight="1" s="7">
      <c r="A4085" s="144" t="inlineStr">
        <is>
          <t>JEREMIAH DAVIS</t>
        </is>
      </c>
      <c r="B4085" s="144" t="inlineStr">
        <is>
          <t>D216184337000 FL</t>
        </is>
      </c>
      <c r="C4085" s="144" t="inlineStr">
        <is>
          <t>FEDEX</t>
        </is>
      </c>
      <c r="D4085" s="144" t="n">
        <v>8134316125</v>
      </c>
      <c r="E4085" s="144" t="inlineStr">
        <is>
          <t>BOX</t>
        </is>
      </c>
      <c r="F4085" s="144" t="inlineStr">
        <is>
          <t>PWW9637 OH</t>
        </is>
      </c>
      <c r="G4085" s="144" t="inlineStr">
        <is>
          <t>GREEN KENWORTH</t>
        </is>
      </c>
      <c r="H4085" s="144" t="n">
        <v>1221</v>
      </c>
      <c r="I4085" s="144" t="inlineStr">
        <is>
          <t>COMMERICAL</t>
        </is>
      </c>
    </row>
    <row r="4086" ht="18" customHeight="1" s="7">
      <c r="A4086" s="144" t="inlineStr">
        <is>
          <t>JAMES JACKSON</t>
        </is>
      </c>
      <c r="B4086" s="144" t="inlineStr">
        <is>
          <t>*057012311 GA</t>
        </is>
      </c>
      <c r="C4086" s="144" t="inlineStr">
        <is>
          <t>2 ONE TRUCKING</t>
        </is>
      </c>
      <c r="D4086" s="144" t="n">
        <v>2292217835</v>
      </c>
      <c r="E4086" s="144" t="inlineStr">
        <is>
          <t>FLAT</t>
        </is>
      </c>
      <c r="F4086" s="144" t="inlineStr">
        <is>
          <t>C636FE GA</t>
        </is>
      </c>
      <c r="G4086" s="144" t="inlineStr">
        <is>
          <t>PURPLE KENWORTH</t>
        </is>
      </c>
      <c r="H4086" s="144" t="n">
        <v>1221</v>
      </c>
      <c r="I4086" s="144" t="inlineStr">
        <is>
          <t>COMMERICAL</t>
        </is>
      </c>
    </row>
    <row r="4087" ht="18" customHeight="1" s="7">
      <c r="A4087" s="144" t="inlineStr">
        <is>
          <t>RAJKO DOMAZET</t>
        </is>
      </c>
      <c r="B4087" s="144" t="inlineStr">
        <is>
          <t>D532372060200 FL</t>
        </is>
      </c>
      <c r="C4087" s="144" t="inlineStr">
        <is>
          <t>NATION WIDE</t>
        </is>
      </c>
      <c r="D4087" s="144" t="n">
        <v>9043439403</v>
      </c>
      <c r="E4087" s="144" t="inlineStr">
        <is>
          <t>BOX</t>
        </is>
      </c>
      <c r="F4087" s="144" t="inlineStr">
        <is>
          <t>XE616V FL</t>
        </is>
      </c>
      <c r="G4087" s="144" t="inlineStr">
        <is>
          <t>BLUE FREIGHTLINER</t>
        </is>
      </c>
      <c r="H4087" s="144" t="n">
        <v>1221</v>
      </c>
      <c r="I4087" s="144" t="inlineStr">
        <is>
          <t>COMMERCAIL</t>
        </is>
      </c>
    </row>
    <row r="4088" ht="18" customHeight="1" s="7">
      <c r="A4088" s="144" t="inlineStr">
        <is>
          <t>SAVION INGRAM</t>
        </is>
      </c>
      <c r="B4088" s="144" t="inlineStr">
        <is>
          <t>*060757768 GA</t>
        </is>
      </c>
      <c r="C4088" s="144" t="inlineStr">
        <is>
          <t>ABMERE INC</t>
        </is>
      </c>
      <c r="D4088" s="144" t="n">
        <v>2293254886</v>
      </c>
      <c r="E4088" s="144" t="inlineStr">
        <is>
          <t>BOX</t>
        </is>
      </c>
      <c r="F4088" s="144" t="inlineStr">
        <is>
          <t>C7065A GA</t>
        </is>
      </c>
      <c r="G4088" s="144" t="inlineStr">
        <is>
          <t>WHITE FREIGHTLINER</t>
        </is>
      </c>
      <c r="H4088" s="144" t="n">
        <v>1221</v>
      </c>
      <c r="I4088" s="144" t="inlineStr">
        <is>
          <t>COMMERCIAL</t>
        </is>
      </c>
    </row>
    <row r="4089" ht="18" customHeight="1" s="7">
      <c r="A4089" s="144" t="inlineStr">
        <is>
          <t>SHAQUAN WILKERSON</t>
        </is>
      </c>
      <c r="B4089" s="144" t="inlineStr">
        <is>
          <t>000029766297 NC</t>
        </is>
      </c>
      <c r="C4089" s="144" t="inlineStr">
        <is>
          <t>MEOMIA FAMILY</t>
        </is>
      </c>
      <c r="D4089" s="144" t="n">
        <v>9195902283</v>
      </c>
      <c r="E4089" s="144" t="inlineStr">
        <is>
          <t>FLAT</t>
        </is>
      </c>
      <c r="F4089" s="144" t="inlineStr">
        <is>
          <t>NM8155 NC</t>
        </is>
      </c>
      <c r="G4089" s="144" t="inlineStr">
        <is>
          <t>SILVER INTERNATIONAL</t>
        </is>
      </c>
      <c r="H4089" s="144" t="n">
        <v>1221</v>
      </c>
      <c r="I4089" s="144" t="inlineStr">
        <is>
          <t>COMMERICAL</t>
        </is>
      </c>
    </row>
    <row r="4090" ht="18" customHeight="1" s="7">
      <c r="A4090" s="144" t="inlineStr">
        <is>
          <t>ANTON TSEITLIN</t>
        </is>
      </c>
      <c r="B4090" s="144" t="inlineStr">
        <is>
          <t>T246911718000 FL</t>
        </is>
      </c>
      <c r="C4090" s="144" t="inlineStr">
        <is>
          <t>ELITE ONE</t>
        </is>
      </c>
      <c r="D4090" s="144" t="n">
        <v>2399862179</v>
      </c>
      <c r="E4090" s="144" t="inlineStr">
        <is>
          <t>FLAT</t>
        </is>
      </c>
      <c r="F4090" s="144" t="inlineStr">
        <is>
          <t>RP22288 WA</t>
        </is>
      </c>
      <c r="G4090" s="144" t="inlineStr">
        <is>
          <t>TAN VOLVO</t>
        </is>
      </c>
      <c r="H4090" s="144" t="n">
        <v>1221</v>
      </c>
      <c r="I4090" s="144" t="inlineStr">
        <is>
          <t>COMMERICAL</t>
        </is>
      </c>
    </row>
    <row r="4091" ht="18" customHeight="1" s="7">
      <c r="A4091" s="144" t="inlineStr">
        <is>
          <t>DANIELLE DRYDEN</t>
        </is>
      </c>
      <c r="B4091" s="144" t="inlineStr">
        <is>
          <t>24656775 TX</t>
        </is>
      </c>
      <c r="C4091" s="144" t="inlineStr">
        <is>
          <t>ATS</t>
        </is>
      </c>
      <c r="D4091" s="144" t="n">
        <v>2106066221</v>
      </c>
      <c r="E4091" s="144" t="inlineStr">
        <is>
          <t>BOX</t>
        </is>
      </c>
      <c r="F4091" s="144" t="inlineStr">
        <is>
          <t>3608900 IN</t>
        </is>
      </c>
      <c r="G4091" s="144" t="inlineStr">
        <is>
          <t>BLUE VOLVO</t>
        </is>
      </c>
      <c r="H4091" s="144" t="n">
        <v>1221</v>
      </c>
      <c r="I4091" s="144" t="inlineStr">
        <is>
          <t>COMMERICAL</t>
        </is>
      </c>
    </row>
    <row r="4092" ht="18" customHeight="1" s="7">
      <c r="A4092" s="144" t="inlineStr">
        <is>
          <t>GEORGE RIVERA JR</t>
        </is>
      </c>
      <c r="B4092" s="144" t="inlineStr">
        <is>
          <t>R160300762930 FL</t>
        </is>
      </c>
      <c r="C4092" s="144" t="inlineStr">
        <is>
          <t>LANDSTAR</t>
        </is>
      </c>
      <c r="D4092" s="144" t="n">
        <v>40790228184</v>
      </c>
      <c r="E4092" s="144" t="inlineStr">
        <is>
          <t>FLAT</t>
        </is>
      </c>
      <c r="F4092" s="144" t="inlineStr">
        <is>
          <t>3732265 IN</t>
        </is>
      </c>
      <c r="G4092" s="144" t="inlineStr">
        <is>
          <t>GREY INTERNATNIAL</t>
        </is>
      </c>
      <c r="H4092" s="144" t="n">
        <v>1221</v>
      </c>
      <c r="I4092" s="144" t="inlineStr">
        <is>
          <t>COMMERICAL</t>
        </is>
      </c>
    </row>
    <row r="4093" ht="18" customHeight="1" s="7">
      <c r="A4093" s="144" t="inlineStr">
        <is>
          <t>SPENCER SNIPES</t>
        </is>
      </c>
      <c r="B4093" s="144" t="inlineStr">
        <is>
          <t>053383280 GA</t>
        </is>
      </c>
      <c r="C4093" s="144" t="inlineStr">
        <is>
          <t>MARVEL EXPRESS</t>
        </is>
      </c>
      <c r="D4093" s="144" t="n">
        <v>6785944644</v>
      </c>
      <c r="E4093" s="144" t="inlineStr">
        <is>
          <t>BOX</t>
        </is>
      </c>
      <c r="F4093" s="144" t="inlineStr">
        <is>
          <t>C466ES GA</t>
        </is>
      </c>
      <c r="G4093" s="144" t="inlineStr">
        <is>
          <t>WHITE INTERNATIONAL</t>
        </is>
      </c>
      <c r="H4093" s="144" t="n">
        <v>1221</v>
      </c>
      <c r="I4093" s="144" t="inlineStr">
        <is>
          <t>COMMERICAL</t>
        </is>
      </c>
    </row>
    <row r="4094" ht="18" customHeight="1" s="7">
      <c r="A4094" s="144" t="inlineStr">
        <is>
          <t>PAVLO YAKOVENKO</t>
        </is>
      </c>
      <c r="B4094" s="144" t="inlineStr">
        <is>
          <t>Y02236206907926 NJ</t>
        </is>
      </c>
      <c r="C4094" s="144" t="inlineStr">
        <is>
          <t>ATLAS FREIGHT</t>
        </is>
      </c>
      <c r="D4094" s="144" t="n">
        <v>9083243333</v>
      </c>
      <c r="E4094" s="144" t="inlineStr">
        <is>
          <t>FLAT</t>
        </is>
      </c>
      <c r="F4094" s="144" t="inlineStr">
        <is>
          <t>P1214759 IL</t>
        </is>
      </c>
      <c r="G4094" s="144" t="inlineStr">
        <is>
          <t>WHITE KENWORTH</t>
        </is>
      </c>
      <c r="H4094" s="144" t="n">
        <v>1221</v>
      </c>
      <c r="I4094" s="144" t="inlineStr">
        <is>
          <t>COMMERICAL</t>
        </is>
      </c>
    </row>
    <row r="4095" ht="18" customHeight="1" s="7">
      <c r="A4095" s="144" t="inlineStr">
        <is>
          <t>MICHEAL FORD</t>
        </is>
      </c>
      <c r="B4095" s="144" t="inlineStr">
        <is>
          <t>9371807150 IN</t>
        </is>
      </c>
      <c r="C4095" s="144" t="inlineStr">
        <is>
          <t>KC CARRIER</t>
        </is>
      </c>
      <c r="D4095" s="144" t="n">
        <v>5022321603</v>
      </c>
      <c r="E4095" s="144" t="inlineStr">
        <is>
          <t>BOX</t>
        </is>
      </c>
      <c r="F4095" s="144" t="inlineStr">
        <is>
          <t>008861A KY</t>
        </is>
      </c>
      <c r="G4095" s="144" t="inlineStr">
        <is>
          <t>WHITE INTERNATIONAL</t>
        </is>
      </c>
      <c r="H4095" s="144" t="n">
        <v>1221</v>
      </c>
      <c r="I4095" s="144" t="inlineStr">
        <is>
          <t>COMMERICAL</t>
        </is>
      </c>
    </row>
    <row r="4096" ht="18" customHeight="1" s="7">
      <c r="A4096" s="144" t="inlineStr">
        <is>
          <t>EUGENIU ZGIRCIBABA</t>
        </is>
      </c>
      <c r="B4096" s="144" t="inlineStr">
        <is>
          <t>Z62120094125 IL</t>
        </is>
      </c>
      <c r="C4096" s="144" t="inlineStr">
        <is>
          <t>TRANSFORMERS</t>
        </is>
      </c>
      <c r="D4096" s="144" t="n">
        <v>4103901319</v>
      </c>
      <c r="E4096" s="144" t="inlineStr">
        <is>
          <t>FLAT</t>
        </is>
      </c>
      <c r="F4096" s="144" t="inlineStr">
        <is>
          <t>P1276031 IL</t>
        </is>
      </c>
      <c r="G4096" s="144" t="inlineStr">
        <is>
          <t>WHITE FREIGHTLINER</t>
        </is>
      </c>
      <c r="H4096" s="144" t="n">
        <v>1221</v>
      </c>
      <c r="I4096" s="144" t="inlineStr">
        <is>
          <t>COMMERICAL</t>
        </is>
      </c>
    </row>
    <row r="4097" ht="18" customHeight="1" s="7">
      <c r="A4097" s="144" t="inlineStr">
        <is>
          <t>CANYON HANCOCK</t>
        </is>
      </c>
      <c r="B4097" s="144" t="inlineStr">
        <is>
          <t>60200042 GA</t>
        </is>
      </c>
      <c r="C4097" s="144" t="inlineStr">
        <is>
          <t>INDUSTRIAL MANUFACTURING</t>
        </is>
      </c>
      <c r="D4097" s="144" t="n">
        <v>2298883992</v>
      </c>
      <c r="E4097" s="144" t="inlineStr">
        <is>
          <t>PU</t>
        </is>
      </c>
      <c r="F4097" s="144" t="inlineStr">
        <is>
          <t>YHE527 GA</t>
        </is>
      </c>
      <c r="G4097" s="144" t="inlineStr">
        <is>
          <t>WHITE FORD</t>
        </is>
      </c>
      <c r="H4097" s="144" t="inlineStr">
        <is>
          <t>WATER PLANT</t>
        </is>
      </c>
      <c r="I4097" s="144" t="inlineStr">
        <is>
          <t>CONTRACTOR</t>
        </is>
      </c>
    </row>
    <row r="4098" ht="18" customHeight="1" s="7">
      <c r="A4098" s="144" t="inlineStr">
        <is>
          <t>JOHNNIE MORGAN</t>
        </is>
      </c>
      <c r="B4098" s="144" t="inlineStr">
        <is>
          <t>M62542153203 IL</t>
        </is>
      </c>
      <c r="C4098" s="144" t="inlineStr">
        <is>
          <t>LANDSTAR</t>
        </is>
      </c>
      <c r="D4098" s="144" t="n">
        <v>3096576793</v>
      </c>
      <c r="E4098" s="144" t="inlineStr">
        <is>
          <t>BOX</t>
        </is>
      </c>
      <c r="F4098" s="144" t="inlineStr">
        <is>
          <t>3236340 IN</t>
        </is>
      </c>
      <c r="G4098" s="144" t="inlineStr">
        <is>
          <t>WHITE FREIGHTLINER</t>
        </is>
      </c>
      <c r="H4098" s="144" t="n">
        <v>1221</v>
      </c>
      <c r="I4098" s="144" t="inlineStr">
        <is>
          <t>COMMERICAL</t>
        </is>
      </c>
    </row>
    <row r="4099" ht="18" customHeight="1" s="7">
      <c r="A4099" s="144" t="inlineStr">
        <is>
          <t>CHAD NEWTON</t>
        </is>
      </c>
      <c r="B4099" s="144" t="inlineStr">
        <is>
          <t>51983823 VT</t>
        </is>
      </c>
      <c r="C4099" s="144" t="inlineStr">
        <is>
          <t>OPEN WAY</t>
        </is>
      </c>
      <c r="D4099" s="144" t="n">
        <v>8025911014</v>
      </c>
      <c r="E4099" s="144" t="inlineStr">
        <is>
          <t>FLAT</t>
        </is>
      </c>
      <c r="F4099" s="144" t="inlineStr">
        <is>
          <t>P1293741 IL</t>
        </is>
      </c>
      <c r="G4099" s="144" t="inlineStr">
        <is>
          <t>GRAY KENWORTH</t>
        </is>
      </c>
      <c r="H4099" s="144" t="n">
        <v>1221</v>
      </c>
      <c r="I4099" s="144" t="inlineStr">
        <is>
          <t>COMMERICAL</t>
        </is>
      </c>
    </row>
    <row r="4100" ht="18" customHeight="1" s="7">
      <c r="A4100" s="144" t="inlineStr">
        <is>
          <t>LAIPANOV ZUR</t>
        </is>
      </c>
      <c r="B4100" s="144" t="inlineStr">
        <is>
          <t>L15198087214 IL</t>
        </is>
      </c>
      <c r="C4100" s="144" t="inlineStr">
        <is>
          <t>A&amp;M CARRIERS</t>
        </is>
      </c>
      <c r="D4100" s="144" t="n">
        <v>2243418270</v>
      </c>
      <c r="E4100" s="144" t="inlineStr">
        <is>
          <t>FLAT</t>
        </is>
      </c>
      <c r="F4100" s="144" t="inlineStr">
        <is>
          <t>P1307572 IL</t>
        </is>
      </c>
      <c r="G4100" s="144" t="inlineStr">
        <is>
          <t>GRAY FREIGHTLINER</t>
        </is>
      </c>
      <c r="H4100" s="144" t="n">
        <v>1221</v>
      </c>
      <c r="I4100" s="144" t="inlineStr">
        <is>
          <t>COMMERICAL</t>
        </is>
      </c>
    </row>
    <row r="4101" ht="18" customHeight="1" s="7">
      <c r="A4101" s="144" t="inlineStr">
        <is>
          <t>DRA'QUAN WILLAMS</t>
        </is>
      </c>
      <c r="B4101" s="144" t="inlineStr">
        <is>
          <t>059944799 GA</t>
        </is>
      </c>
      <c r="C4101" s="144" t="inlineStr">
        <is>
          <t>WATER GAS LIGHT</t>
        </is>
      </c>
      <c r="D4101" s="144" t="n">
        <v>2296933238</v>
      </c>
      <c r="E4101" s="144" t="inlineStr">
        <is>
          <t>FLAT</t>
        </is>
      </c>
      <c r="F4101" s="144" t="inlineStr">
        <is>
          <t>GV1277R GA</t>
        </is>
      </c>
      <c r="G4101" s="144" t="inlineStr">
        <is>
          <t>WHITE FREIGHTLINER</t>
        </is>
      </c>
      <c r="H4101" s="144" t="inlineStr">
        <is>
          <t>GATE 15</t>
        </is>
      </c>
      <c r="I4101" s="144" t="inlineStr">
        <is>
          <t>CONTRACTOR</t>
        </is>
      </c>
    </row>
    <row r="4102" ht="18" customHeight="1" s="7">
      <c r="A4102" s="144" t="inlineStr">
        <is>
          <t>CHRISTOPHER MORMAN</t>
        </is>
      </c>
      <c r="B4102" s="144" t="inlineStr">
        <is>
          <t>050940183 GA</t>
        </is>
      </c>
      <c r="C4102" s="144" t="inlineStr">
        <is>
          <t>WATER GAS LIGHT</t>
        </is>
      </c>
      <c r="D4102" s="144" t="n">
        <v>2295835496</v>
      </c>
      <c r="E4102" s="144" t="inlineStr">
        <is>
          <t>PU</t>
        </is>
      </c>
      <c r="F4102" s="144" t="inlineStr">
        <is>
          <t>GV5759P GA</t>
        </is>
      </c>
      <c r="G4102" s="144" t="inlineStr">
        <is>
          <t>WHITE FORD</t>
        </is>
      </c>
      <c r="H4102" s="144" t="inlineStr">
        <is>
          <t>GATE 15</t>
        </is>
      </c>
      <c r="I4102" s="144" t="inlineStr">
        <is>
          <t>CONTRACTOR</t>
        </is>
      </c>
    </row>
    <row r="4103" ht="18" customHeight="1" s="7">
      <c r="A4103" s="144" t="inlineStr">
        <is>
          <t>RYAN HERRINGTON</t>
        </is>
      </c>
      <c r="B4103" s="144" t="inlineStr">
        <is>
          <t>051558868 GA</t>
        </is>
      </c>
      <c r="C4103" s="144" t="inlineStr">
        <is>
          <t>WATER GAS LIGHT</t>
        </is>
      </c>
      <c r="D4103" s="144" t="n">
        <v>2298545266</v>
      </c>
      <c r="E4103" s="144" t="inlineStr">
        <is>
          <t>PU</t>
        </is>
      </c>
      <c r="F4103" s="144" t="inlineStr">
        <is>
          <t>GV7695U GA</t>
        </is>
      </c>
      <c r="G4103" s="144" t="inlineStr">
        <is>
          <t>WHITE FORD</t>
        </is>
      </c>
      <c r="H4103" s="144" t="inlineStr">
        <is>
          <t>GATE 15</t>
        </is>
      </c>
      <c r="I4103" s="144" t="inlineStr">
        <is>
          <t>CONTRACTOR</t>
        </is>
      </c>
    </row>
    <row r="4104" ht="18" customHeight="1" s="7">
      <c r="A4104" s="144" t="inlineStr">
        <is>
          <t>GEORGE GILLESPIE</t>
        </is>
      </c>
      <c r="B4104" s="144" t="inlineStr">
        <is>
          <t>V00064438 NB</t>
        </is>
      </c>
      <c r="C4104" s="144" t="inlineStr">
        <is>
          <t>LANDSTAR</t>
        </is>
      </c>
      <c r="D4104" s="144" t="n">
        <v>4027100901</v>
      </c>
      <c r="E4104" s="144" t="inlineStr">
        <is>
          <t>FLAT</t>
        </is>
      </c>
      <c r="F4104" s="144" t="inlineStr">
        <is>
          <t>36731123 IN</t>
        </is>
      </c>
      <c r="G4104" s="144" t="inlineStr">
        <is>
          <t>WHITE PETERBILT</t>
        </is>
      </c>
      <c r="H4104" s="144" t="n">
        <v>1221</v>
      </c>
      <c r="I4104" s="144" t="inlineStr">
        <is>
          <t>COMMERICAL</t>
        </is>
      </c>
    </row>
    <row r="4105" ht="18" customHeight="1" s="7">
      <c r="A4105" s="144" t="inlineStr">
        <is>
          <t>CHRISTINA HOWARD</t>
        </is>
      </c>
      <c r="B4105" s="144" t="inlineStr">
        <is>
          <t>057429405 GA</t>
        </is>
      </c>
      <c r="C4105" s="144" t="inlineStr">
        <is>
          <t>JF PETROLEUM</t>
        </is>
      </c>
      <c r="D4105" s="144" t="n">
        <v>9122887356</v>
      </c>
      <c r="E4105" s="144" t="inlineStr">
        <is>
          <t>PU</t>
        </is>
      </c>
      <c r="F4105" s="144" t="inlineStr">
        <is>
          <t>RTZD81 FL</t>
        </is>
      </c>
      <c r="G4105" s="144" t="inlineStr">
        <is>
          <t>WHITE CHEV</t>
        </is>
      </c>
      <c r="H4105" s="144" t="n">
        <v>7501</v>
      </c>
      <c r="I4105" s="144" t="inlineStr">
        <is>
          <t>CONTRACTOR</t>
        </is>
      </c>
    </row>
    <row r="4106" ht="18" customHeight="1" s="7">
      <c r="A4106" s="144" t="inlineStr">
        <is>
          <t>JAMES HALL</t>
        </is>
      </c>
      <c r="B4106" s="144" t="inlineStr">
        <is>
          <t>050450349 GA</t>
        </is>
      </c>
      <c r="C4106" s="144" t="inlineStr">
        <is>
          <t>FEDEX</t>
        </is>
      </c>
      <c r="D4106" s="144" t="n">
        <v>2298869531</v>
      </c>
      <c r="E4106" s="144" t="inlineStr">
        <is>
          <t>BOX</t>
        </is>
      </c>
      <c r="F4106" s="144" t="inlineStr">
        <is>
          <t>3154068 IN</t>
        </is>
      </c>
      <c r="G4106" s="144" t="inlineStr">
        <is>
          <t>WHITE FREIGHTLINER</t>
        </is>
      </c>
      <c r="H4106" s="144" t="n">
        <v>1221</v>
      </c>
      <c r="I4106" s="144" t="inlineStr">
        <is>
          <t>CONTRACTOR</t>
        </is>
      </c>
    </row>
    <row r="4107" ht="18" customHeight="1" s="7">
      <c r="A4107" s="144" t="inlineStr">
        <is>
          <t>RUSTEM SULEYMAN</t>
        </is>
      </c>
      <c r="B4107" s="144" t="inlineStr">
        <is>
          <t>WDLBP3N5843B WA</t>
        </is>
      </c>
      <c r="C4107" s="144" t="inlineStr">
        <is>
          <t>LTT TRUCKING</t>
        </is>
      </c>
      <c r="D4107" s="144" t="n">
        <v>3608367484</v>
      </c>
      <c r="E4107" s="144" t="inlineStr">
        <is>
          <t>FLAT</t>
        </is>
      </c>
      <c r="F4107" s="144" t="inlineStr">
        <is>
          <t>RP17423 WA</t>
        </is>
      </c>
      <c r="G4107" s="144" t="inlineStr">
        <is>
          <t>WHITE VOLVO</t>
        </is>
      </c>
      <c r="H4107" s="144" t="n">
        <v>1221</v>
      </c>
      <c r="I4107" s="144" t="inlineStr">
        <is>
          <t>COMMERICAL</t>
        </is>
      </c>
    </row>
    <row r="4108" ht="18" customHeight="1" s="7">
      <c r="A4108" s="144" t="inlineStr">
        <is>
          <t>HITCHINGS SCOTT</t>
        </is>
      </c>
      <c r="B4108" s="144" t="inlineStr">
        <is>
          <t>H325782600640 FL</t>
        </is>
      </c>
      <c r="C4108" s="144" t="inlineStr">
        <is>
          <t>FCI</t>
        </is>
      </c>
      <c r="D4108" s="144" t="n">
        <v>7276394253</v>
      </c>
      <c r="E4108" s="144" t="inlineStr">
        <is>
          <t>BOX</t>
        </is>
      </c>
      <c r="F4108" s="144" t="inlineStr">
        <is>
          <t>AZ280A NJ</t>
        </is>
      </c>
      <c r="G4108" s="144" t="inlineStr">
        <is>
          <t>RED FREIGHTLINER</t>
        </is>
      </c>
      <c r="H4108" s="144" t="n">
        <v>1221</v>
      </c>
      <c r="I4108" s="144" t="inlineStr">
        <is>
          <t>COMMERCIAL</t>
        </is>
      </c>
    </row>
    <row r="4109" ht="18" customHeight="1" s="7">
      <c r="A4109" s="144" t="inlineStr">
        <is>
          <t>GISBERT ELVIS</t>
        </is>
      </c>
      <c r="B4109" s="144" t="inlineStr">
        <is>
          <t>G216200910310 FL</t>
        </is>
      </c>
      <c r="C4109" s="144" t="inlineStr">
        <is>
          <t>EGR</t>
        </is>
      </c>
      <c r="D4109" s="144" t="n">
        <v>7865031200</v>
      </c>
      <c r="E4109" s="144" t="inlineStr">
        <is>
          <t>FLAT</t>
        </is>
      </c>
      <c r="F4109" s="144" t="inlineStr">
        <is>
          <t>DF18FH FL</t>
        </is>
      </c>
      <c r="G4109" s="144" t="inlineStr">
        <is>
          <t>WHITE KENWORTH</t>
        </is>
      </c>
      <c r="H4109" s="144" t="n">
        <v>1221</v>
      </c>
      <c r="I4109" s="144" t="inlineStr">
        <is>
          <t>COMMERCIAL</t>
        </is>
      </c>
    </row>
    <row r="4110" ht="18" customHeight="1" s="7">
      <c r="A4110" s="144" t="inlineStr">
        <is>
          <t>AR</t>
        </is>
      </c>
      <c r="B4110" s="144" t="inlineStr">
        <is>
          <t>H400173950170 FL</t>
        </is>
      </c>
      <c r="C4110" s="144" t="inlineStr">
        <is>
          <t>TRANSFORMERS</t>
        </is>
      </c>
      <c r="D4110" s="144" t="n">
        <v>3524230058</v>
      </c>
      <c r="E4110" s="144" t="inlineStr">
        <is>
          <t>FLAT</t>
        </is>
      </c>
      <c r="F4110" s="144" t="inlineStr">
        <is>
          <t>990742 IL</t>
        </is>
      </c>
      <c r="G4110" s="144" t="inlineStr">
        <is>
          <t>WHITE VOLVO</t>
        </is>
      </c>
      <c r="H4110" s="144" t="n">
        <v>1221</v>
      </c>
      <c r="I4110" s="144" t="inlineStr">
        <is>
          <t>COMMERCIAL</t>
        </is>
      </c>
    </row>
    <row r="4111" ht="18" customHeight="1" s="7">
      <c r="A4111" s="144" t="inlineStr">
        <is>
          <t>CHARLES DELPIER</t>
        </is>
      </c>
      <c r="B4111" s="144" t="inlineStr">
        <is>
          <t>D416115751077 MI</t>
        </is>
      </c>
      <c r="C4111" s="144" t="inlineStr">
        <is>
          <t>TE LOGISTICS</t>
        </is>
      </c>
      <c r="D4111" s="144" t="n">
        <v>5869140176</v>
      </c>
      <c r="E4111" s="144" t="inlineStr">
        <is>
          <t>BOX</t>
        </is>
      </c>
      <c r="F4111" s="144" t="inlineStr">
        <is>
          <t>RB77052 MI</t>
        </is>
      </c>
      <c r="G4111" s="144" t="inlineStr">
        <is>
          <t>WHITE VOLVO</t>
        </is>
      </c>
      <c r="H4111" s="144" t="n">
        <v>1221</v>
      </c>
      <c r="I4111" s="144" t="inlineStr">
        <is>
          <t>COMMERCIAL</t>
        </is>
      </c>
    </row>
    <row r="4112" ht="18" customHeight="1" s="7">
      <c r="A4112" s="144" t="inlineStr">
        <is>
          <t>BIZUAYEHU WOLDEGIORGIS</t>
        </is>
      </c>
      <c r="B4112" s="144" t="inlineStr">
        <is>
          <t>*059707788 GA</t>
        </is>
      </c>
      <c r="C4112" s="144" t="inlineStr">
        <is>
          <t>TTT EXPRESS</t>
        </is>
      </c>
      <c r="D4112" s="144" t="n">
        <v>4704353725</v>
      </c>
      <c r="E4112" s="144" t="inlineStr">
        <is>
          <t>BOX</t>
        </is>
      </c>
      <c r="F4112" s="144" t="inlineStr">
        <is>
          <t>C132EF GA</t>
        </is>
      </c>
      <c r="G4112" s="144" t="inlineStr">
        <is>
          <t>WHITE FREIGHTLINER</t>
        </is>
      </c>
      <c r="H4112" s="144" t="n">
        <v>1221</v>
      </c>
      <c r="I4112" s="144" t="inlineStr">
        <is>
          <t>COMMERCIAL</t>
        </is>
      </c>
    </row>
    <row r="4113" ht="18" customHeight="1" s="7">
      <c r="A4113" s="144" t="inlineStr">
        <is>
          <t>SOLIS FELIPE</t>
        </is>
      </c>
      <c r="B4113" s="144" t="inlineStr">
        <is>
          <t>A3410366 CA</t>
        </is>
      </c>
      <c r="C4113" s="144" t="inlineStr">
        <is>
          <t>USA FRONTIER</t>
        </is>
      </c>
      <c r="D4113" s="144" t="n">
        <v>6192925404</v>
      </c>
      <c r="E4113" s="144" t="inlineStr">
        <is>
          <t>FLAT</t>
        </is>
      </c>
      <c r="F4113" s="144" t="inlineStr">
        <is>
          <t>ZP52883 CA</t>
        </is>
      </c>
      <c r="G4113" s="144" t="inlineStr">
        <is>
          <t>WHITE PETERBILT</t>
        </is>
      </c>
      <c r="H4113" s="144" t="n">
        <v>1221</v>
      </c>
      <c r="I4113" s="144" t="inlineStr">
        <is>
          <t>COMMERCIAL</t>
        </is>
      </c>
    </row>
    <row r="4114" ht="18" customHeight="1" s="7">
      <c r="A4114" s="144" t="inlineStr">
        <is>
          <t>CRIAG RICHMOND</t>
        </is>
      </c>
      <c r="B4114" s="144" t="inlineStr">
        <is>
          <t>05457951 GA</t>
        </is>
      </c>
      <c r="C4114" s="144" t="inlineStr">
        <is>
          <t>BACKYARD</t>
        </is>
      </c>
      <c r="D4114" s="144" t="n">
        <v>7706335302</v>
      </c>
      <c r="E4114" s="144" t="inlineStr">
        <is>
          <t>PU</t>
        </is>
      </c>
      <c r="F4114" s="144" t="inlineStr">
        <is>
          <t>GFB412 GA</t>
        </is>
      </c>
      <c r="G4114" s="144" t="inlineStr">
        <is>
          <t>BLACK CHEV</t>
        </is>
      </c>
      <c r="H4114" s="144" t="n">
        <v>7500</v>
      </c>
      <c r="I4114" s="144" t="inlineStr">
        <is>
          <t>CONTRACTOR</t>
        </is>
      </c>
    </row>
    <row r="4115" ht="18" customHeight="1" s="7">
      <c r="A4115" s="144" t="inlineStr">
        <is>
          <t>KRISTOPHER DAVIS</t>
        </is>
      </c>
      <c r="B4115" s="144" t="inlineStr">
        <is>
          <t>000005420781 NC</t>
        </is>
      </c>
      <c r="C4115" s="144" t="inlineStr">
        <is>
          <t>TROPICS</t>
        </is>
      </c>
      <c r="D4115" s="144" t="n">
        <v>9102241879</v>
      </c>
      <c r="E4115" s="144" t="inlineStr">
        <is>
          <t>PU</t>
        </is>
      </c>
      <c r="F4115" s="144" t="inlineStr">
        <is>
          <t>ZX2420 NC</t>
        </is>
      </c>
      <c r="G4115" s="144" t="inlineStr">
        <is>
          <t>WHITE FORD</t>
        </is>
      </c>
      <c r="H4115" s="144" t="n">
        <v>1221</v>
      </c>
      <c r="I4115" s="144" t="inlineStr">
        <is>
          <t>CONTRACTOR</t>
        </is>
      </c>
    </row>
    <row r="4116" ht="18" customHeight="1" s="7">
      <c r="A4116" s="144" t="inlineStr">
        <is>
          <t>TREY THOMAS</t>
        </is>
      </c>
      <c r="B4116" s="144" t="inlineStr">
        <is>
          <t>T231857756000 FL</t>
        </is>
      </c>
      <c r="C4116" s="144" t="inlineStr">
        <is>
          <t>ONE 4 ALL</t>
        </is>
      </c>
      <c r="D4116" s="144" t="n">
        <v>8503631012</v>
      </c>
      <c r="E4116" s="144" t="inlineStr">
        <is>
          <t>BOX</t>
        </is>
      </c>
      <c r="F4116" s="144" t="inlineStr">
        <is>
          <t>CS48LG FL</t>
        </is>
      </c>
      <c r="G4116" s="144" t="inlineStr">
        <is>
          <t>WHITE INTERNATIONAL</t>
        </is>
      </c>
      <c r="H4116" s="144" t="n">
        <v>1351</v>
      </c>
      <c r="I4116" s="144" t="inlineStr">
        <is>
          <t>CONTRACTOR</t>
        </is>
      </c>
    </row>
    <row r="4117" ht="18" customHeight="1" s="7">
      <c r="A4117" s="144" t="inlineStr">
        <is>
          <t>SUSIE CROWELL</t>
        </is>
      </c>
      <c r="B4117" s="144" t="inlineStr">
        <is>
          <t>056216068 GA</t>
        </is>
      </c>
      <c r="C4117" s="144" t="inlineStr">
        <is>
          <t xml:space="preserve">SUSIE </t>
        </is>
      </c>
      <c r="D4117" s="144" t="n">
        <v>2299990825</v>
      </c>
      <c r="E4117" s="144" t="inlineStr">
        <is>
          <t>JEEP</t>
        </is>
      </c>
      <c r="F4117" s="144" t="inlineStr">
        <is>
          <t>TEMO532 GA</t>
        </is>
      </c>
      <c r="G4117" s="144" t="inlineStr">
        <is>
          <t>WHITE NISSAN</t>
        </is>
      </c>
      <c r="H4117" s="144" t="n">
        <v>1221</v>
      </c>
      <c r="I4117" s="144" t="inlineStr">
        <is>
          <t>COMMERICAL</t>
        </is>
      </c>
    </row>
    <row r="4118" ht="18" customHeight="1" s="7">
      <c r="A4118" s="144" t="inlineStr">
        <is>
          <t>JONATHAN GRANADOS</t>
        </is>
      </c>
      <c r="B4118" s="144" t="inlineStr">
        <is>
          <t>45340390 TX</t>
        </is>
      </c>
      <c r="C4118" s="144" t="inlineStr">
        <is>
          <t>FOUR OF A KIND</t>
        </is>
      </c>
      <c r="D4118" s="144" t="n">
        <v>9154900132</v>
      </c>
      <c r="E4118" s="144" t="inlineStr">
        <is>
          <t>FLAT</t>
        </is>
      </c>
      <c r="F4118" s="144" t="inlineStr">
        <is>
          <t>R684497 TX</t>
        </is>
      </c>
      <c r="G4118" s="144" t="inlineStr">
        <is>
          <t>RED PETERBILT</t>
        </is>
      </c>
      <c r="H4118" s="144" t="n">
        <v>1221</v>
      </c>
      <c r="I4118" s="144" t="inlineStr">
        <is>
          <t>COMMERICAL</t>
        </is>
      </c>
    </row>
    <row r="4119" ht="18" customHeight="1" s="7">
      <c r="A4119" s="144" t="inlineStr">
        <is>
          <t>AHMAD BARAKAT</t>
        </is>
      </c>
      <c r="B4119" s="144" t="inlineStr">
        <is>
          <t>K04129268 KA</t>
        </is>
      </c>
      <c r="C4119" s="144" t="inlineStr">
        <is>
          <t>UZEX TRANS</t>
        </is>
      </c>
      <c r="D4119" s="144" t="n">
        <v>9137100052</v>
      </c>
      <c r="E4119" s="144" t="inlineStr">
        <is>
          <t>FLAT</t>
        </is>
      </c>
      <c r="F4119" s="144" t="inlineStr">
        <is>
          <t>P1302500 IL</t>
        </is>
      </c>
      <c r="G4119" s="144" t="inlineStr">
        <is>
          <t>WHITE VOLVO</t>
        </is>
      </c>
      <c r="H4119" s="144" t="n">
        <v>1221</v>
      </c>
      <c r="I4119" s="144" t="inlineStr">
        <is>
          <t>COMMERICAL</t>
        </is>
      </c>
    </row>
    <row r="4120" ht="18" customHeight="1" s="7">
      <c r="A4120" s="144" t="inlineStr">
        <is>
          <t>ADRIAN GRANT</t>
        </is>
      </c>
      <c r="B4120" s="144" t="inlineStr">
        <is>
          <t>061533849 GA</t>
        </is>
      </c>
      <c r="C4120" s="144" t="inlineStr">
        <is>
          <t>PENSKE</t>
        </is>
      </c>
      <c r="D4120" s="144" t="n">
        <v>7063007041</v>
      </c>
      <c r="E4120" s="144" t="inlineStr">
        <is>
          <t>BOX</t>
        </is>
      </c>
      <c r="F4120" s="144" t="inlineStr">
        <is>
          <t>3604199 IN</t>
        </is>
      </c>
      <c r="G4120" s="144" t="inlineStr">
        <is>
          <t>WHITE PETERBILT</t>
        </is>
      </c>
      <c r="H4120" s="144" t="n">
        <v>1221</v>
      </c>
      <c r="I4120" s="144" t="inlineStr">
        <is>
          <t>COMMERICAL</t>
        </is>
      </c>
    </row>
    <row r="4121" ht="18" customHeight="1" s="7">
      <c r="A4121" s="144" t="inlineStr">
        <is>
          <t>JOSE ABREU</t>
        </is>
      </c>
      <c r="B4121" s="144" t="inlineStr">
        <is>
          <t>A161421733900 FL</t>
        </is>
      </c>
      <c r="C4121" s="144" t="inlineStr">
        <is>
          <t>DOOR TO PORT</t>
        </is>
      </c>
      <c r="D4121" s="144" t="n">
        <v>9045145329</v>
      </c>
      <c r="E4121" s="144" t="inlineStr">
        <is>
          <t>BOX</t>
        </is>
      </c>
      <c r="F4121" s="144" t="inlineStr">
        <is>
          <t>DF82GM FL</t>
        </is>
      </c>
      <c r="G4121" s="144" t="inlineStr">
        <is>
          <t>RED VOLVO</t>
        </is>
      </c>
      <c r="H4121" s="144" t="n">
        <v>5400</v>
      </c>
      <c r="I4121" s="144" t="inlineStr">
        <is>
          <t>COMMERICAL</t>
        </is>
      </c>
    </row>
    <row r="4122" ht="18" customHeight="1" s="7">
      <c r="A4122" s="144" t="inlineStr">
        <is>
          <t>JEROME PLYES</t>
        </is>
      </c>
      <c r="B4122" s="144" t="inlineStr">
        <is>
          <t>053358067 GA</t>
        </is>
      </c>
      <c r="C4122" s="144" t="inlineStr">
        <is>
          <t>BH TRANS</t>
        </is>
      </c>
      <c r="D4122" s="144" t="n">
        <v>2233451085</v>
      </c>
      <c r="E4122" s="144" t="inlineStr">
        <is>
          <t>FLAT</t>
        </is>
      </c>
      <c r="F4122" s="144" t="inlineStr">
        <is>
          <t>P1257727 NC</t>
        </is>
      </c>
      <c r="G4122" s="144" t="inlineStr">
        <is>
          <t>BLACK WESTERNSTAR</t>
        </is>
      </c>
      <c r="H4122" s="144" t="n">
        <v>1221</v>
      </c>
      <c r="I4122" s="144" t="inlineStr">
        <is>
          <t>COMMERICAL</t>
        </is>
      </c>
    </row>
    <row r="4123" ht="18" customHeight="1" s="7">
      <c r="A4123" s="144" t="inlineStr">
        <is>
          <t>JEFFERY SMITH</t>
        </is>
      </c>
      <c r="B4123" s="144" t="inlineStr">
        <is>
          <t>0512281367 GA</t>
        </is>
      </c>
      <c r="C4123" s="144" t="inlineStr">
        <is>
          <t>EMPIRE DISTRUBTION</t>
        </is>
      </c>
      <c r="D4123" s="144" t="n">
        <v>2294252253</v>
      </c>
      <c r="E4123" s="144" t="inlineStr">
        <is>
          <t>BOX</t>
        </is>
      </c>
      <c r="F4123" s="144" t="inlineStr">
        <is>
          <t>GBJ436 GA</t>
        </is>
      </c>
      <c r="G4123" s="144" t="inlineStr">
        <is>
          <t>WHITE FREIGHTLINER</t>
        </is>
      </c>
      <c r="H4123" s="144" t="n">
        <v>7501</v>
      </c>
      <c r="I4123" s="144" t="inlineStr">
        <is>
          <t>CONTRACTOR</t>
        </is>
      </c>
    </row>
    <row r="4124" ht="18" customHeight="1" s="7">
      <c r="A4124" s="144" t="inlineStr">
        <is>
          <t>DEANDRE SINGLETON</t>
        </is>
      </c>
      <c r="B4124" s="144" t="inlineStr">
        <is>
          <t>6994894 AL</t>
        </is>
      </c>
      <c r="C4124" s="144" t="inlineStr">
        <is>
          <t>D3 TRANS</t>
        </is>
      </c>
      <c r="D4124" s="144" t="n">
        <v>2052965743</v>
      </c>
      <c r="E4124" s="144" t="inlineStr">
        <is>
          <t>PU</t>
        </is>
      </c>
      <c r="F4124" s="144" t="inlineStr">
        <is>
          <t>1226164 AL</t>
        </is>
      </c>
      <c r="G4124" s="144" t="inlineStr">
        <is>
          <t>WHITE DODGE</t>
        </is>
      </c>
      <c r="H4124" s="144" t="n">
        <v>1221</v>
      </c>
      <c r="I4124" s="144" t="inlineStr">
        <is>
          <t>CONTRACTOR</t>
        </is>
      </c>
    </row>
    <row r="4125" ht="18" customHeight="1" s="7">
      <c r="A4125" s="144" t="inlineStr">
        <is>
          <t>MAZDAK KHALEGHI</t>
        </is>
      </c>
      <c r="B4125" s="144" t="inlineStr">
        <is>
          <t>056762597 GA</t>
        </is>
      </c>
      <c r="C4125" s="144" t="inlineStr">
        <is>
          <t>ATLANTA SAFE</t>
        </is>
      </c>
      <c r="D4125" s="144" t="n">
        <v>4042479955</v>
      </c>
      <c r="E4125" s="144" t="inlineStr">
        <is>
          <t>FLAT</t>
        </is>
      </c>
      <c r="F4125" s="144" t="inlineStr">
        <is>
          <t>C288ES GA</t>
        </is>
      </c>
      <c r="G4125" s="144" t="inlineStr">
        <is>
          <t>RED INTERNATIONAL</t>
        </is>
      </c>
      <c r="H4125" s="144" t="n">
        <v>1221</v>
      </c>
      <c r="I4125" s="144" t="inlineStr">
        <is>
          <t>COMMERICAL</t>
        </is>
      </c>
    </row>
    <row r="4126" ht="18" customHeight="1" s="7">
      <c r="A4126" s="144" t="inlineStr">
        <is>
          <t>RICARDO NORELUS</t>
        </is>
      </c>
      <c r="B4126" s="144" t="inlineStr">
        <is>
          <t>N642720891660 FL</t>
        </is>
      </c>
      <c r="C4126" s="144" t="inlineStr">
        <is>
          <t>OWLLAND</t>
        </is>
      </c>
      <c r="D4126" s="144" t="n">
        <v>9545887349</v>
      </c>
      <c r="E4126" s="144" t="inlineStr">
        <is>
          <t>BOX</t>
        </is>
      </c>
      <c r="F4126" s="144" t="inlineStr">
        <is>
          <t>P1116760 IL</t>
        </is>
      </c>
      <c r="G4126" s="144" t="inlineStr">
        <is>
          <t>RED FREIGHTLINER</t>
        </is>
      </c>
      <c r="H4126" s="144" t="n">
        <v>1221</v>
      </c>
      <c r="I4126" s="144" t="inlineStr">
        <is>
          <t>COMMERICAL</t>
        </is>
      </c>
    </row>
    <row r="4127" ht="18" customHeight="1" s="7">
      <c r="A4127" s="144" t="inlineStr">
        <is>
          <t>DJUMABAEV DJAHONGIR</t>
        </is>
      </c>
      <c r="B4127" s="144" t="inlineStr">
        <is>
          <t>D25116078137 IL</t>
        </is>
      </c>
      <c r="C4127" s="144" t="inlineStr">
        <is>
          <t>AZIQO TRANS</t>
        </is>
      </c>
      <c r="D4127" s="144" t="n">
        <v>2244743065</v>
      </c>
      <c r="E4127" s="144" t="inlineStr">
        <is>
          <t>BOX</t>
        </is>
      </c>
      <c r="F4127" s="144" t="inlineStr">
        <is>
          <t>P1156497 IL</t>
        </is>
      </c>
      <c r="G4127" s="144" t="inlineStr">
        <is>
          <t>WHITE FREIGHTLINER</t>
        </is>
      </c>
      <c r="H4127" s="144" t="n">
        <v>1221</v>
      </c>
      <c r="I4127" s="144" t="inlineStr">
        <is>
          <t>COMMERICAL</t>
        </is>
      </c>
    </row>
    <row r="4128" ht="18" customHeight="1" s="7">
      <c r="A4128" s="144" t="inlineStr">
        <is>
          <t>RYAN MCCALL</t>
        </is>
      </c>
      <c r="B4128" s="144" t="inlineStr">
        <is>
          <t>*058116917 GA</t>
        </is>
      </c>
      <c r="C4128" s="144" t="inlineStr">
        <is>
          <t>SA RECYCLE</t>
        </is>
      </c>
      <c r="D4128" s="144" t="n">
        <v>2293649718</v>
      </c>
      <c r="E4128" s="144" t="inlineStr">
        <is>
          <t>FLAT</t>
        </is>
      </c>
      <c r="F4128" s="144" t="inlineStr">
        <is>
          <t>M459HV TN</t>
        </is>
      </c>
      <c r="G4128" s="144" t="inlineStr">
        <is>
          <t>BLUE PETERBUILT</t>
        </is>
      </c>
      <c r="H4128" s="144" t="inlineStr">
        <is>
          <t>2500 BROOM</t>
        </is>
      </c>
      <c r="I4128" s="144" t="inlineStr">
        <is>
          <t>COMMERCIAL</t>
        </is>
      </c>
    </row>
    <row r="4129" ht="18" customHeight="1" s="7">
      <c r="A4129" s="144" t="inlineStr">
        <is>
          <t>MARK DALEY</t>
        </is>
      </c>
      <c r="B4129" s="144" t="inlineStr">
        <is>
          <t>MD10276329698 MA</t>
        </is>
      </c>
      <c r="C4129" s="144" t="inlineStr">
        <is>
          <t>ROAD LEGENDS</t>
        </is>
      </c>
      <c r="D4129" s="144" t="n">
        <v>4439830354</v>
      </c>
      <c r="E4129" s="144" t="inlineStr">
        <is>
          <t>BOX</t>
        </is>
      </c>
      <c r="F4129" s="144" t="inlineStr">
        <is>
          <t>P1262329 IL</t>
        </is>
      </c>
      <c r="G4129" s="144" t="inlineStr">
        <is>
          <t>WHITE FREIGHTLINER</t>
        </is>
      </c>
      <c r="H4129" s="144" t="n">
        <v>1221</v>
      </c>
      <c r="I4129" s="144" t="inlineStr">
        <is>
          <t>COMMERCIAL</t>
        </is>
      </c>
    </row>
    <row r="4130" ht="18" customHeight="1" s="7">
      <c r="A4130" s="144" t="inlineStr">
        <is>
          <t>ORELIEN JAMES</t>
        </is>
      </c>
      <c r="B4130" s="144" t="inlineStr">
        <is>
          <t>O645420850610 FL</t>
        </is>
      </c>
      <c r="C4130" s="144" t="inlineStr">
        <is>
          <t>FORWARD INK</t>
        </is>
      </c>
      <c r="D4130" s="144" t="n">
        <v>7543667956</v>
      </c>
      <c r="E4130" s="144" t="inlineStr">
        <is>
          <t>BOX</t>
        </is>
      </c>
      <c r="F4130" s="144" t="inlineStr">
        <is>
          <t>P1237945 IL</t>
        </is>
      </c>
      <c r="G4130" s="144" t="inlineStr">
        <is>
          <t>GREEN FREIGHTLINER</t>
        </is>
      </c>
      <c r="H4130" s="144" t="n">
        <v>1221</v>
      </c>
      <c r="I4130" s="144" t="inlineStr">
        <is>
          <t>COMMERCIAL</t>
        </is>
      </c>
    </row>
    <row r="4131" ht="18" customHeight="1" s="7">
      <c r="A4131" s="144" t="inlineStr">
        <is>
          <t>BRAYDEN GOEPPINGER</t>
        </is>
      </c>
      <c r="B4131" s="144" t="inlineStr">
        <is>
          <t>*059784137 GA</t>
        </is>
      </c>
      <c r="C4131" s="144" t="inlineStr">
        <is>
          <t>COCO COLA</t>
        </is>
      </c>
      <c r="D4131" s="144" t="n">
        <v>2293267703</v>
      </c>
      <c r="E4131" s="144" t="inlineStr">
        <is>
          <t>BOX</t>
        </is>
      </c>
      <c r="F4131" s="144" t="inlineStr">
        <is>
          <t>WNT461 GA</t>
        </is>
      </c>
      <c r="G4131" s="144" t="inlineStr">
        <is>
          <t>RED FORD</t>
        </is>
      </c>
      <c r="H4131" s="144" t="n">
        <v>7500</v>
      </c>
      <c r="I4131" s="144" t="inlineStr">
        <is>
          <t>COMMERCIAL</t>
        </is>
      </c>
    </row>
    <row r="4132" ht="18" customHeight="1" s="7">
      <c r="A4132" s="144" t="inlineStr">
        <is>
          <t>CIVAL DANIEL</t>
        </is>
      </c>
      <c r="B4132" s="144" t="inlineStr">
        <is>
          <t>C140100903480 FL</t>
        </is>
      </c>
      <c r="C4132" s="144" t="inlineStr">
        <is>
          <t>FORWARD INK</t>
        </is>
      </c>
      <c r="D4132" s="144" t="n">
        <v>7548019352</v>
      </c>
      <c r="E4132" s="144" t="inlineStr">
        <is>
          <t>BOX</t>
        </is>
      </c>
      <c r="F4132" s="144" t="inlineStr">
        <is>
          <t>P1157453 IL</t>
        </is>
      </c>
      <c r="G4132" s="144" t="inlineStr">
        <is>
          <t>RED FREIGHTLINER</t>
        </is>
      </c>
      <c r="H4132" s="144" t="n">
        <v>1221</v>
      </c>
      <c r="I4132" s="144" t="inlineStr">
        <is>
          <t>COMMERCIAL</t>
        </is>
      </c>
    </row>
    <row r="4133" ht="18" customHeight="1" s="7">
      <c r="A4133" s="144" t="inlineStr">
        <is>
          <t>SHANE RUGG</t>
        </is>
      </c>
      <c r="B4133" s="144" t="inlineStr">
        <is>
          <t>*051258024 GA</t>
        </is>
      </c>
      <c r="C4133" s="144" t="inlineStr">
        <is>
          <t>ERG</t>
        </is>
      </c>
      <c r="D4133" s="144" t="n">
        <v>2292567537</v>
      </c>
      <c r="E4133" s="144" t="inlineStr">
        <is>
          <t>FLAT</t>
        </is>
      </c>
      <c r="F4133" s="144" t="inlineStr">
        <is>
          <t>1210403 AL</t>
        </is>
      </c>
      <c r="G4133" s="144" t="inlineStr">
        <is>
          <t>WHITE MACK</t>
        </is>
      </c>
      <c r="H4133" s="144" t="n">
        <v>5400</v>
      </c>
      <c r="I4133" s="144" t="inlineStr">
        <is>
          <t>COMMERCIAL</t>
        </is>
      </c>
    </row>
    <row r="4134" ht="18" customHeight="1" s="7">
      <c r="A4134" s="144" t="inlineStr">
        <is>
          <t>DUNCAN BLACKSTON</t>
        </is>
      </c>
      <c r="B4134" s="144" t="inlineStr">
        <is>
          <t>7223397 AL</t>
        </is>
      </c>
      <c r="C4134" s="144" t="inlineStr">
        <is>
          <t>TURNER TRANS</t>
        </is>
      </c>
      <c r="D4134" s="144" t="n">
        <v>2056178887</v>
      </c>
      <c r="E4134" s="144" t="inlineStr">
        <is>
          <t>FLAT</t>
        </is>
      </c>
      <c r="F4134" s="144" t="inlineStr">
        <is>
          <t>A007887 SC</t>
        </is>
      </c>
      <c r="G4134" s="144" t="inlineStr">
        <is>
          <t>BLUE PETERBUILT</t>
        </is>
      </c>
      <c r="H4134" s="144" t="n">
        <v>1221</v>
      </c>
      <c r="I4134" s="144" t="inlineStr">
        <is>
          <t>COMMERCIAL</t>
        </is>
      </c>
    </row>
    <row r="4135" ht="18" customHeight="1" s="7">
      <c r="A4135" s="144" t="inlineStr">
        <is>
          <t>BEREKETEAB AGEDEW</t>
        </is>
      </c>
      <c r="B4135" s="144" t="inlineStr">
        <is>
          <t>50891127 TX</t>
        </is>
      </c>
      <c r="C4135" s="144" t="inlineStr">
        <is>
          <t>ECHO LOGISTICS</t>
        </is>
      </c>
      <c r="D4135" s="144" t="n">
        <v>4089603079</v>
      </c>
      <c r="E4135" s="144" t="inlineStr">
        <is>
          <t>VAN</t>
        </is>
      </c>
      <c r="F4135" s="144" t="inlineStr">
        <is>
          <t>VJD3872 TX</t>
        </is>
      </c>
      <c r="G4135" s="144" t="inlineStr">
        <is>
          <t>WHITE MERCEDES</t>
        </is>
      </c>
      <c r="H4135" s="144" t="n">
        <v>1221</v>
      </c>
      <c r="I4135" s="144" t="inlineStr">
        <is>
          <t>COMMERCIAL</t>
        </is>
      </c>
    </row>
    <row r="4136" ht="18" customHeight="1" s="7">
      <c r="A4136" s="144" t="inlineStr">
        <is>
          <t>JOSE BARRERA-ORTIZ</t>
        </is>
      </c>
      <c r="B4136" s="144" t="inlineStr">
        <is>
          <t>*058469972 GA</t>
        </is>
      </c>
      <c r="C4136" s="144" t="inlineStr">
        <is>
          <t>HORIZON</t>
        </is>
      </c>
      <c r="D4136" s="144" t="n">
        <v>4705216266</v>
      </c>
      <c r="E4136" s="144" t="inlineStr">
        <is>
          <t>BOX</t>
        </is>
      </c>
      <c r="F4136" s="144" t="inlineStr">
        <is>
          <t>C103AJ GA</t>
        </is>
      </c>
      <c r="G4136" s="144" t="inlineStr">
        <is>
          <t>BLUE FREIGHTLINER</t>
        </is>
      </c>
      <c r="H4136" s="144" t="n">
        <v>1221</v>
      </c>
      <c r="I4136" s="144" t="inlineStr">
        <is>
          <t>COMMERCIAL</t>
        </is>
      </c>
    </row>
    <row r="4137" ht="18" customHeight="1" s="7">
      <c r="A4137" s="144" t="inlineStr">
        <is>
          <t>ELDOR MUKHAMMAD</t>
        </is>
      </c>
      <c r="B4137" s="144" t="inlineStr">
        <is>
          <t>2625199 OR</t>
        </is>
      </c>
      <c r="C4137" s="144" t="inlineStr">
        <is>
          <t xml:space="preserve">EDO </t>
        </is>
      </c>
      <c r="D4137" s="144" t="n">
        <v>3609092680</v>
      </c>
      <c r="E4137" s="144" t="inlineStr">
        <is>
          <t>FLAT</t>
        </is>
      </c>
      <c r="F4137" s="144" t="inlineStr">
        <is>
          <t>RP22667 WA</t>
        </is>
      </c>
      <c r="G4137" s="144" t="inlineStr">
        <is>
          <t>GREY VOLVO</t>
        </is>
      </c>
      <c r="H4137" s="144" t="n">
        <v>1221</v>
      </c>
      <c r="I4137" s="144" t="inlineStr">
        <is>
          <t>COMMERCIAL</t>
        </is>
      </c>
    </row>
    <row r="4138" ht="18" customHeight="1" s="7">
      <c r="A4138" s="144" t="inlineStr">
        <is>
          <t>SCOTT EASON</t>
        </is>
      </c>
      <c r="B4138" s="144" t="inlineStr">
        <is>
          <t>*049339149 GA</t>
        </is>
      </c>
      <c r="C4138" s="144" t="inlineStr">
        <is>
          <t>GOV</t>
        </is>
      </c>
      <c r="D4138" s="144" t="n">
        <v>2293198342</v>
      </c>
      <c r="E4138" s="144" t="inlineStr">
        <is>
          <t>FLAT</t>
        </is>
      </c>
      <c r="F4138" s="144" t="inlineStr">
        <is>
          <t>3603307 IN</t>
        </is>
      </c>
      <c r="G4138" s="144" t="inlineStr">
        <is>
          <t>WHITE FREIGHTLINER</t>
        </is>
      </c>
      <c r="H4138" s="144" t="inlineStr">
        <is>
          <t>LZ58</t>
        </is>
      </c>
      <c r="I4138" s="144" t="inlineStr">
        <is>
          <t>COMMERCIAL</t>
        </is>
      </c>
    </row>
    <row r="4139" ht="18" customHeight="1" s="7">
      <c r="A4139" s="144" t="inlineStr">
        <is>
          <t>PRESTON W RANDAL</t>
        </is>
      </c>
      <c r="B4139" s="144" t="inlineStr">
        <is>
          <t>194933966 UT</t>
        </is>
      </c>
      <c r="C4139" s="144" t="inlineStr">
        <is>
          <t>PENSKE</t>
        </is>
      </c>
      <c r="D4139" s="144" t="n">
        <v>4355747718</v>
      </c>
      <c r="E4139" s="144" t="inlineStr">
        <is>
          <t>BOX</t>
        </is>
      </c>
      <c r="F4139" s="144" t="inlineStr">
        <is>
          <t>3263532 IN</t>
        </is>
      </c>
      <c r="G4139" s="144" t="inlineStr">
        <is>
          <t>WHITE VOLVO</t>
        </is>
      </c>
      <c r="H4139" s="144" t="n">
        <v>1221</v>
      </c>
      <c r="I4139" s="144" t="inlineStr">
        <is>
          <t>COMMERCIAL</t>
        </is>
      </c>
    </row>
    <row r="4140" ht="18" customHeight="1" s="7">
      <c r="A4140" s="144" t="inlineStr">
        <is>
          <t>RICHARD MACIAS JR</t>
        </is>
      </c>
      <c r="B4140" s="144" t="inlineStr">
        <is>
          <t>C5600756 CA</t>
        </is>
      </c>
      <c r="C4140" s="144" t="inlineStr">
        <is>
          <t>GND</t>
        </is>
      </c>
      <c r="D4140" s="144" t="n">
        <v>6616369197</v>
      </c>
      <c r="E4140" s="144" t="inlineStr">
        <is>
          <t>BOX</t>
        </is>
      </c>
      <c r="F4140" s="144" t="inlineStr">
        <is>
          <t>YP31202 CA</t>
        </is>
      </c>
      <c r="G4140" s="144" t="inlineStr">
        <is>
          <t>WHITE VOLVO</t>
        </is>
      </c>
      <c r="H4140" s="144" t="n">
        <v>1221</v>
      </c>
      <c r="I4140" s="144" t="inlineStr">
        <is>
          <t>COMMERCIAL</t>
        </is>
      </c>
    </row>
    <row r="4141" ht="18" customHeight="1" s="7">
      <c r="A4141" s="144" t="inlineStr">
        <is>
          <t>JOHN SIMILIEN</t>
        </is>
      </c>
      <c r="B4141" s="144" t="inlineStr">
        <is>
          <t>*071926815 GA</t>
        </is>
      </c>
      <c r="C4141" s="144" t="inlineStr">
        <is>
          <t>ALBANY ELEVATOR</t>
        </is>
      </c>
      <c r="D4141" s="144" t="n">
        <v>9549910220</v>
      </c>
      <c r="E4141" s="144" t="inlineStr">
        <is>
          <t>PU</t>
        </is>
      </c>
      <c r="F4141" s="144" t="inlineStr">
        <is>
          <t>SAU4771 GA</t>
        </is>
      </c>
      <c r="G4141" s="144" t="inlineStr">
        <is>
          <t>WHITE FORD</t>
        </is>
      </c>
      <c r="H4141" s="144" t="n">
        <v>2200</v>
      </c>
      <c r="I4141" s="144" t="inlineStr">
        <is>
          <t>CONTRACTOR</t>
        </is>
      </c>
    </row>
    <row r="4142" ht="18" customHeight="1" s="7">
      <c r="A4142" s="144" t="inlineStr">
        <is>
          <t>SCOTT GRIFFIN</t>
        </is>
      </c>
      <c r="B4142" s="144" t="inlineStr">
        <is>
          <t>052414707 GA</t>
        </is>
      </c>
      <c r="C4142" s="144" t="inlineStr">
        <is>
          <t>AMERICAN TRACK</t>
        </is>
      </c>
      <c r="D4142" s="144" t="n">
        <v>7708371792</v>
      </c>
      <c r="E4142" s="144" t="inlineStr">
        <is>
          <t>PU</t>
        </is>
      </c>
      <c r="F4142" s="144" t="inlineStr">
        <is>
          <t>CPY5435 GA</t>
        </is>
      </c>
      <c r="G4142" s="144" t="inlineStr">
        <is>
          <t>WHITE FORD</t>
        </is>
      </c>
      <c r="H4142" s="144" t="inlineStr">
        <is>
          <t>BASEWIDE</t>
        </is>
      </c>
      <c r="I4142" s="144" t="inlineStr">
        <is>
          <t>CONTRACTOR</t>
        </is>
      </c>
    </row>
    <row r="4143" ht="18" customHeight="1" s="7">
      <c r="A4143" s="144" t="inlineStr">
        <is>
          <t>RONALD GIVENS</t>
        </is>
      </c>
      <c r="B4143" s="144" t="inlineStr">
        <is>
          <t>08389764 TX</t>
        </is>
      </c>
      <c r="C4143" s="144" t="inlineStr">
        <is>
          <t>FEDEX</t>
        </is>
      </c>
      <c r="D4143" s="144" t="n">
        <v>5128761762</v>
      </c>
      <c r="E4143" s="144" t="inlineStr">
        <is>
          <t>BOX</t>
        </is>
      </c>
      <c r="F4143" s="144" t="inlineStr">
        <is>
          <t>PWW2052 OH</t>
        </is>
      </c>
      <c r="G4143" s="144" t="inlineStr">
        <is>
          <t>WHITE FREIGHTLINER</t>
        </is>
      </c>
      <c r="H4143" s="144" t="n">
        <v>1221</v>
      </c>
      <c r="I4143" s="144" t="inlineStr">
        <is>
          <t>COMMERCIAL</t>
        </is>
      </c>
    </row>
    <row r="4144" ht="18" customHeight="1" s="7">
      <c r="A4144" s="144" t="inlineStr">
        <is>
          <t>CHARLES DROBNECK</t>
        </is>
      </c>
      <c r="B4144" s="144" t="inlineStr">
        <is>
          <t>D234493050000 FL</t>
        </is>
      </c>
      <c r="C4144" s="144" t="inlineStr">
        <is>
          <t>FEDEX</t>
        </is>
      </c>
      <c r="D4144" s="144" t="n">
        <v>3528014222</v>
      </c>
      <c r="E4144" s="144" t="inlineStr">
        <is>
          <t>BOX</t>
        </is>
      </c>
      <c r="F4144" s="144" t="inlineStr">
        <is>
          <t>DD68IB FL</t>
        </is>
      </c>
      <c r="G4144" s="144" t="inlineStr">
        <is>
          <t>WHITE FREIGHTLINER</t>
        </is>
      </c>
      <c r="H4144" s="144" t="n">
        <v>1221</v>
      </c>
      <c r="I4144" s="144" t="inlineStr">
        <is>
          <t>COMMERCIAL</t>
        </is>
      </c>
    </row>
    <row r="4145" ht="18" customHeight="1" s="7">
      <c r="A4145" s="144" t="inlineStr">
        <is>
          <t>DANNY KEENER</t>
        </is>
      </c>
      <c r="B4145" s="144" t="inlineStr">
        <is>
          <t>054104020 GA</t>
        </is>
      </c>
      <c r="C4145" s="144" t="inlineStr">
        <is>
          <t>CITY OF ALBANY</t>
        </is>
      </c>
      <c r="D4145" s="144" t="n">
        <v>2295188407</v>
      </c>
      <c r="E4145" s="144" t="inlineStr">
        <is>
          <t>PU</t>
        </is>
      </c>
      <c r="F4145" s="144" t="inlineStr">
        <is>
          <t>GV9750Q GA</t>
        </is>
      </c>
      <c r="G4145" s="144" t="inlineStr">
        <is>
          <t>WHITE FORD</t>
        </is>
      </c>
      <c r="H4145" s="144" t="inlineStr">
        <is>
          <t>BASEWIDE</t>
        </is>
      </c>
      <c r="I4145" s="144" t="inlineStr">
        <is>
          <t>CONTRACTOR</t>
        </is>
      </c>
    </row>
    <row r="4146" ht="18" customHeight="1" s="7">
      <c r="A4146" s="144" t="inlineStr">
        <is>
          <t>SERGEY KASYANCHIK</t>
        </is>
      </c>
      <c r="B4146" s="144" t="inlineStr">
        <is>
          <t>106214845 SC</t>
        </is>
      </c>
      <c r="C4146" s="144" t="inlineStr">
        <is>
          <t>US FREIGHT</t>
        </is>
      </c>
      <c r="D4146" s="144" t="n">
        <v>8647618030</v>
      </c>
      <c r="E4146" s="144" t="inlineStr">
        <is>
          <t>FLAT</t>
        </is>
      </c>
      <c r="F4146" s="144" t="inlineStr">
        <is>
          <t>VT4939 NC</t>
        </is>
      </c>
      <c r="G4146" s="144" t="inlineStr">
        <is>
          <t>GRAY KENWORTH</t>
        </is>
      </c>
      <c r="H4146" s="144" t="n">
        <v>1221</v>
      </c>
      <c r="I4146" s="144" t="inlineStr">
        <is>
          <t>COMMERICAL</t>
        </is>
      </c>
    </row>
    <row r="4147" ht="18" customHeight="1" s="7">
      <c r="A4147" s="144" t="inlineStr">
        <is>
          <t>ANTHONY KOFI</t>
        </is>
      </c>
      <c r="B4147" s="144" t="inlineStr">
        <is>
          <t>011468378 SC</t>
        </is>
      </c>
      <c r="C4147" s="144" t="inlineStr">
        <is>
          <t>BIG BLACK TRANS</t>
        </is>
      </c>
      <c r="D4147" s="144" t="n">
        <v>8032467663</v>
      </c>
      <c r="E4147" s="144" t="inlineStr">
        <is>
          <t>FLAT</t>
        </is>
      </c>
      <c r="F4147" s="144" t="inlineStr">
        <is>
          <t>A012185 SC</t>
        </is>
      </c>
      <c r="G4147" s="144" t="inlineStr">
        <is>
          <t>BLUE FREIGHTLINER</t>
        </is>
      </c>
      <c r="H4147" s="144" t="n">
        <v>1221</v>
      </c>
      <c r="I4147" s="144" t="inlineStr">
        <is>
          <t>COMMERICAL</t>
        </is>
      </c>
    </row>
    <row r="4148" ht="18" customHeight="1" s="7">
      <c r="A4148" s="144" t="inlineStr">
        <is>
          <t>REGGIE WARREN</t>
        </is>
      </c>
      <c r="B4148" s="144" t="inlineStr">
        <is>
          <t>054306030 GA</t>
        </is>
      </c>
      <c r="C4148" s="144" t="inlineStr">
        <is>
          <t>GOV PLANT</t>
        </is>
      </c>
      <c r="D4148" s="144" t="n">
        <v>2296030290</v>
      </c>
      <c r="E4148" s="144" t="inlineStr">
        <is>
          <t>FLAT</t>
        </is>
      </c>
      <c r="F4148" s="144" t="inlineStr">
        <is>
          <t>3603306 IN</t>
        </is>
      </c>
      <c r="G4148" s="144" t="inlineStr">
        <is>
          <t>WHITE FREIGHTGLINER</t>
        </is>
      </c>
      <c r="H4148" s="144" t="n">
        <v>1221</v>
      </c>
      <c r="I4148" s="144" t="inlineStr">
        <is>
          <t>COMMERICAL</t>
        </is>
      </c>
    </row>
    <row r="4149" ht="18" customHeight="1" s="7">
      <c r="A4149" s="144" t="inlineStr">
        <is>
          <t>MITCHELL POWERS</t>
        </is>
      </c>
      <c r="B4149" s="144" t="inlineStr">
        <is>
          <t>16851087 TX</t>
        </is>
      </c>
      <c r="C4149" s="144" t="inlineStr">
        <is>
          <t>BLUE LINE LOGISTICS</t>
        </is>
      </c>
      <c r="D4149" s="144" t="n">
        <v>8162844595</v>
      </c>
      <c r="E4149" s="144" t="inlineStr">
        <is>
          <t>PU</t>
        </is>
      </c>
      <c r="F4149" s="144" t="inlineStr">
        <is>
          <t>TFH6336 TX</t>
        </is>
      </c>
      <c r="G4149" s="144" t="inlineStr">
        <is>
          <t>GREY DODGE</t>
        </is>
      </c>
      <c r="H4149" s="144" t="n">
        <v>5400</v>
      </c>
      <c r="I4149" s="144" t="inlineStr">
        <is>
          <t>CONTRACTOR</t>
        </is>
      </c>
    </row>
    <row r="4150" ht="18" customHeight="1" s="7">
      <c r="A4150" s="144" t="inlineStr">
        <is>
          <t xml:space="preserve">TREANTHONY POWERS </t>
        </is>
      </c>
      <c r="B4150" s="144" t="inlineStr">
        <is>
          <t>46336722 TX</t>
        </is>
      </c>
      <c r="C4150" s="144" t="inlineStr">
        <is>
          <t>BLUE LINE LOGISTICS</t>
        </is>
      </c>
      <c r="D4150" s="144" t="n">
        <v>2545478715</v>
      </c>
      <c r="E4150" s="144" t="inlineStr">
        <is>
          <t>PU</t>
        </is>
      </c>
      <c r="F4150" s="144" t="inlineStr">
        <is>
          <t>WST0483 TX</t>
        </is>
      </c>
      <c r="G4150" s="144" t="inlineStr">
        <is>
          <t>BLACK DODGE</t>
        </is>
      </c>
      <c r="H4150" s="144" t="n">
        <v>5400</v>
      </c>
      <c r="I4150" s="144" t="inlineStr">
        <is>
          <t>CONTRACTOR</t>
        </is>
      </c>
    </row>
    <row r="4151" ht="18" customHeight="1" s="7">
      <c r="A4151" s="144" t="inlineStr">
        <is>
          <t>KATHO WHITLOCK</t>
        </is>
      </c>
      <c r="B4151" s="144" t="inlineStr">
        <is>
          <t>040288435 GA</t>
        </is>
      </c>
      <c r="C4151" s="144" t="inlineStr">
        <is>
          <t>SOUTHWEST BUS</t>
        </is>
      </c>
      <c r="D4151" s="144" t="n">
        <v>2294494394</v>
      </c>
      <c r="E4151" s="144" t="inlineStr">
        <is>
          <t>BUS</t>
        </is>
      </c>
      <c r="F4151" s="144" t="inlineStr">
        <is>
          <t>GV4603T GA</t>
        </is>
      </c>
      <c r="G4151" s="144" t="inlineStr">
        <is>
          <t>WHITE FORD</t>
        </is>
      </c>
      <c r="H4151" s="144" t="inlineStr">
        <is>
          <t>BASEWIDE</t>
        </is>
      </c>
      <c r="I4151" s="144" t="inlineStr">
        <is>
          <t>COMMERCIAL</t>
        </is>
      </c>
    </row>
    <row r="4152" ht="18" customHeight="1" s="7">
      <c r="A4152" s="144" t="inlineStr">
        <is>
          <t>DANIEL BOSTON</t>
        </is>
      </c>
      <c r="B4152" s="144" t="inlineStr">
        <is>
          <t>VD792248 OH</t>
        </is>
      </c>
      <c r="C4152" s="144" t="inlineStr">
        <is>
          <t>ROUTEONE</t>
        </is>
      </c>
      <c r="D4152" s="144" t="n">
        <v>2163083083</v>
      </c>
      <c r="E4152" s="144" t="inlineStr">
        <is>
          <t>FLAT</t>
        </is>
      </c>
      <c r="F4152" s="144" t="inlineStr">
        <is>
          <t>P1136021 IL</t>
        </is>
      </c>
      <c r="G4152" s="144" t="inlineStr">
        <is>
          <t>WHITE FREIGHTLINER</t>
        </is>
      </c>
      <c r="H4152" s="144" t="n">
        <v>1221</v>
      </c>
      <c r="I4152" s="144" t="inlineStr">
        <is>
          <t>COMMERICAL</t>
        </is>
      </c>
    </row>
    <row r="4153" ht="18" customHeight="1" s="7">
      <c r="A4153" s="144" t="inlineStr">
        <is>
          <t>TYRE J CARNELL</t>
        </is>
      </c>
      <c r="B4153" s="144" t="inlineStr">
        <is>
          <t>055687212 GA</t>
        </is>
      </c>
      <c r="C4153" s="144" t="inlineStr">
        <is>
          <t>CICERO</t>
        </is>
      </c>
      <c r="D4153" s="144" t="n">
        <v>4787881328</v>
      </c>
      <c r="E4153" s="144" t="inlineStr">
        <is>
          <t>BOX</t>
        </is>
      </c>
      <c r="F4153" s="144" t="inlineStr">
        <is>
          <t>WXG230 GA</t>
        </is>
      </c>
      <c r="G4153" s="144" t="inlineStr">
        <is>
          <t>WHITE INTERNATIONAL</t>
        </is>
      </c>
      <c r="H4153" s="144" t="inlineStr">
        <is>
          <t>HOUSING</t>
        </is>
      </c>
      <c r="I4153" s="144" t="inlineStr">
        <is>
          <t>COMMERCIAL</t>
        </is>
      </c>
    </row>
    <row r="4154" ht="18" customHeight="1" s="7">
      <c r="A4154" s="144" t="inlineStr">
        <is>
          <t>JERMAINE WOODFORD</t>
        </is>
      </c>
      <c r="B4154" s="144" t="inlineStr">
        <is>
          <t>057426113 GA</t>
        </is>
      </c>
      <c r="C4154" s="144" t="inlineStr">
        <is>
          <t>CICERO</t>
        </is>
      </c>
      <c r="D4154" s="144" t="n">
        <v>4787881328</v>
      </c>
      <c r="E4154" s="144" t="inlineStr">
        <is>
          <t>BOX</t>
        </is>
      </c>
      <c r="F4154" s="144" t="inlineStr">
        <is>
          <t>EFJ160 GA</t>
        </is>
      </c>
      <c r="G4154" s="144" t="inlineStr">
        <is>
          <t>WHITE INTERNATIONAL</t>
        </is>
      </c>
      <c r="H4154" s="144" t="inlineStr">
        <is>
          <t>HOUSING</t>
        </is>
      </c>
      <c r="I4154" s="144" t="inlineStr">
        <is>
          <t>COMMERCIAL</t>
        </is>
      </c>
    </row>
    <row r="4155" ht="18" customHeight="1" s="7">
      <c r="A4155" s="144" t="inlineStr">
        <is>
          <t>CAMERON JERI ROSE</t>
        </is>
      </c>
      <c r="B4155" s="144" t="inlineStr">
        <is>
          <t>R2333740160000 FL</t>
        </is>
      </c>
      <c r="C4155" s="144" t="inlineStr">
        <is>
          <t>PROSTAR</t>
        </is>
      </c>
      <c r="D4155" s="144" t="n">
        <v>3522827930</v>
      </c>
      <c r="E4155" s="144" t="inlineStr">
        <is>
          <t>FLAT</t>
        </is>
      </c>
      <c r="F4155" s="144" t="inlineStr">
        <is>
          <t>P1331341 IL</t>
        </is>
      </c>
      <c r="G4155" s="144" t="inlineStr">
        <is>
          <t>WHITE KENWORTH</t>
        </is>
      </c>
      <c r="H4155" s="144" t="n">
        <v>1221</v>
      </c>
      <c r="I4155" s="144" t="inlineStr">
        <is>
          <t>COMMERCIAL</t>
        </is>
      </c>
    </row>
    <row r="4156" ht="18" customHeight="1" s="7">
      <c r="A4156" s="144" t="inlineStr">
        <is>
          <t>MICHAEL TRIPLETT ELVESTER</t>
        </is>
      </c>
      <c r="B4156" s="144" t="inlineStr">
        <is>
          <t>033643835 GA</t>
        </is>
      </c>
      <c r="C4156" s="144" t="inlineStr">
        <is>
          <t>MPEX</t>
        </is>
      </c>
      <c r="D4156" s="144" t="n">
        <v>4044238571</v>
      </c>
      <c r="E4156" s="144" t="inlineStr">
        <is>
          <t>FLAT</t>
        </is>
      </c>
      <c r="F4156" s="144" t="inlineStr">
        <is>
          <t>C888DE GA</t>
        </is>
      </c>
      <c r="G4156" s="144" t="inlineStr">
        <is>
          <t>WHITE VOLVO</t>
        </is>
      </c>
      <c r="H4156" s="144" t="n">
        <v>1221</v>
      </c>
      <c r="I4156" s="144" t="inlineStr">
        <is>
          <t>COMMERCIAL</t>
        </is>
      </c>
    </row>
    <row r="4157" ht="18" customHeight="1" s="7">
      <c r="A4157" s="144" t="inlineStr">
        <is>
          <t>ACOSTA JOSE</t>
        </is>
      </c>
      <c r="B4157" s="144" t="inlineStr">
        <is>
          <t>*000008443387 NC</t>
        </is>
      </c>
      <c r="C4157" s="144" t="inlineStr">
        <is>
          <t>ELE</t>
        </is>
      </c>
      <c r="D4157" s="144" t="n">
        <v>7047562306</v>
      </c>
      <c r="E4157" s="144" t="inlineStr">
        <is>
          <t>BOX</t>
        </is>
      </c>
      <c r="F4157" s="144" t="inlineStr">
        <is>
          <t>NP5534 NC</t>
        </is>
      </c>
      <c r="G4157" s="144" t="inlineStr">
        <is>
          <t>WHITE FREIGHTLINER</t>
        </is>
      </c>
      <c r="H4157" s="144" t="n">
        <v>1221</v>
      </c>
      <c r="I4157" s="144" t="inlineStr">
        <is>
          <t>COMMERCIAL</t>
        </is>
      </c>
    </row>
    <row r="4158" ht="18" customHeight="1" s="7">
      <c r="A4158" s="144" t="inlineStr">
        <is>
          <t>BRIAN JANZEN</t>
        </is>
      </c>
      <c r="B4158" s="144" t="inlineStr">
        <is>
          <t>WDL3B381183B WA</t>
        </is>
      </c>
      <c r="C4158" s="144" t="inlineStr">
        <is>
          <t>UNTIED CARRIERS</t>
        </is>
      </c>
      <c r="D4158" s="144" t="n">
        <v>2533040902</v>
      </c>
      <c r="E4158" s="144" t="inlineStr">
        <is>
          <t>FLAT</t>
        </is>
      </c>
      <c r="F4158" s="144" t="inlineStr">
        <is>
          <t>71721RP WA</t>
        </is>
      </c>
      <c r="G4158" s="144" t="inlineStr">
        <is>
          <t>WHITE VOLVO</t>
        </is>
      </c>
      <c r="H4158" s="144" t="n">
        <v>1221</v>
      </c>
      <c r="I4158" s="144" t="inlineStr">
        <is>
          <t>COMMERCIAL</t>
        </is>
      </c>
    </row>
    <row r="4159" ht="18" customHeight="1" s="7">
      <c r="A4159" s="144" t="inlineStr">
        <is>
          <t>HUSSEIN IBRAHIN</t>
        </is>
      </c>
      <c r="B4159" s="144" t="inlineStr">
        <is>
          <t>801AK6703 IA</t>
        </is>
      </c>
      <c r="C4159" s="144" t="inlineStr">
        <is>
          <t>SALMA TRUCKING</t>
        </is>
      </c>
      <c r="D4159" s="144" t="n">
        <v>5153146754</v>
      </c>
      <c r="E4159" s="144" t="inlineStr">
        <is>
          <t>BOX</t>
        </is>
      </c>
      <c r="F4159" s="144" t="inlineStr">
        <is>
          <t>MX2623 IA</t>
        </is>
      </c>
      <c r="G4159" s="144" t="inlineStr">
        <is>
          <t>RED FREIGHTLINER</t>
        </is>
      </c>
      <c r="H4159" s="144" t="n">
        <v>1221</v>
      </c>
      <c r="I4159" s="144" t="inlineStr">
        <is>
          <t>COMMERCIAL</t>
        </is>
      </c>
    </row>
    <row r="4160" ht="18" customHeight="1" s="7">
      <c r="A4160" s="144" t="inlineStr">
        <is>
          <t>CLAYTON JEFFERY</t>
        </is>
      </c>
      <c r="B4160" s="144" t="inlineStr">
        <is>
          <t>*008529651 SC</t>
        </is>
      </c>
      <c r="C4160" s="144" t="inlineStr">
        <is>
          <t>CHAT 5</t>
        </is>
      </c>
      <c r="D4160" s="144" t="n">
        <v>8644908784</v>
      </c>
      <c r="E4160" s="144" t="inlineStr">
        <is>
          <t>BOX</t>
        </is>
      </c>
      <c r="F4160" s="144" t="inlineStr">
        <is>
          <t>P768535 SC</t>
        </is>
      </c>
      <c r="G4160" s="144" t="inlineStr">
        <is>
          <t>BLUE KENWORTH</t>
        </is>
      </c>
      <c r="H4160" s="144" t="n">
        <v>1221</v>
      </c>
      <c r="I4160" s="144" t="inlineStr">
        <is>
          <t>COMMERCIAL</t>
        </is>
      </c>
    </row>
    <row r="4161" ht="18" customHeight="1" s="7">
      <c r="A4161" s="144" t="inlineStr">
        <is>
          <t>ANGEL SCOTT</t>
        </is>
      </c>
      <c r="B4161" s="144" t="inlineStr">
        <is>
          <t>*049240468 GA</t>
        </is>
      </c>
      <c r="C4161" s="144" t="inlineStr">
        <is>
          <t>SAIA</t>
        </is>
      </c>
      <c r="D4161" s="144" t="n">
        <v>4049887909</v>
      </c>
      <c r="E4161" s="144" t="inlineStr">
        <is>
          <t>BOX</t>
        </is>
      </c>
      <c r="F4161" s="144" t="inlineStr">
        <is>
          <t>P289323 LA</t>
        </is>
      </c>
      <c r="G4161" s="144" t="inlineStr">
        <is>
          <t>RED FREIGHTLINER</t>
        </is>
      </c>
      <c r="H4161" s="144" t="n">
        <v>1221</v>
      </c>
      <c r="I4161" s="144" t="inlineStr">
        <is>
          <t>COMMERCIAL</t>
        </is>
      </c>
    </row>
    <row r="4162" ht="18" customHeight="1" s="7">
      <c r="A4162" s="144" t="inlineStr">
        <is>
          <t>GEORGE MARLOWE</t>
        </is>
      </c>
      <c r="B4162" s="144" t="inlineStr">
        <is>
          <t>049494746 GA</t>
        </is>
      </c>
      <c r="C4162" s="144" t="inlineStr">
        <is>
          <t>SAFELITE</t>
        </is>
      </c>
      <c r="D4162" s="144" t="n">
        <v>2293642478</v>
      </c>
      <c r="E4162" s="144" t="inlineStr">
        <is>
          <t>VAN</t>
        </is>
      </c>
      <c r="F4162" s="144" t="inlineStr">
        <is>
          <t>47ELRE FL</t>
        </is>
      </c>
      <c r="G4162" s="144" t="inlineStr">
        <is>
          <t>RED FORD</t>
        </is>
      </c>
      <c r="H4162" s="144" t="inlineStr">
        <is>
          <t>HOUSING</t>
        </is>
      </c>
      <c r="I4162" s="144" t="inlineStr">
        <is>
          <t>CONTRACTOR</t>
        </is>
      </c>
    </row>
    <row r="4163" ht="18" customHeight="1" s="7">
      <c r="A4163" s="144" t="inlineStr">
        <is>
          <t>PETER FREEMAN</t>
        </is>
      </c>
      <c r="B4163" s="144" t="inlineStr">
        <is>
          <t>NHL17872303 NH</t>
        </is>
      </c>
      <c r="C4163" s="144" t="inlineStr">
        <is>
          <t>BOYD</t>
        </is>
      </c>
      <c r="D4163" s="144" t="n">
        <v>8003432004</v>
      </c>
      <c r="E4163" s="144" t="inlineStr">
        <is>
          <t>BOX</t>
        </is>
      </c>
      <c r="F4163" s="144" t="inlineStr">
        <is>
          <t>3366389 IN</t>
        </is>
      </c>
      <c r="G4163" s="144" t="inlineStr">
        <is>
          <t>BLUE FREIGHTLINER</t>
        </is>
      </c>
      <c r="H4163" s="144" t="n">
        <v>1221</v>
      </c>
      <c r="I4163" s="144" t="inlineStr">
        <is>
          <t>COMMERICAL</t>
        </is>
      </c>
    </row>
    <row r="4164" ht="18" customHeight="1" s="7">
      <c r="A4164" s="144" t="inlineStr">
        <is>
          <t>JUSTIN MCLEOD</t>
        </is>
      </c>
      <c r="B4164" s="144" t="inlineStr">
        <is>
          <t>057452660 GA</t>
        </is>
      </c>
      <c r="C4164" s="144" t="inlineStr">
        <is>
          <t>GEORGIA POWER</t>
        </is>
      </c>
      <c r="D4164" s="144" t="n">
        <v>2297330556</v>
      </c>
      <c r="E4164" s="144" t="inlineStr">
        <is>
          <t>PU</t>
        </is>
      </c>
      <c r="F4164" s="144" t="inlineStr">
        <is>
          <t>DDJ1154 GA</t>
        </is>
      </c>
      <c r="G4164" s="144" t="inlineStr">
        <is>
          <t>WHITE FORD</t>
        </is>
      </c>
      <c r="H4164" s="144" t="n">
        <v>5300</v>
      </c>
      <c r="I4164" s="144" t="inlineStr">
        <is>
          <t>CONTRACTOR</t>
        </is>
      </c>
    </row>
    <row r="4165" ht="18" customHeight="1" s="7">
      <c r="A4165" s="144" t="inlineStr">
        <is>
          <t>GAGE HOOKS</t>
        </is>
      </c>
      <c r="B4165" s="144" t="inlineStr">
        <is>
          <t>060735983 GA</t>
        </is>
      </c>
      <c r="C4165" s="144" t="inlineStr">
        <is>
          <t>GEORGIA POWER</t>
        </is>
      </c>
      <c r="D4165" s="144" t="n">
        <v>2294498939</v>
      </c>
      <c r="E4165" s="144" t="inlineStr">
        <is>
          <t>PU</t>
        </is>
      </c>
      <c r="F4165" s="144" t="inlineStr">
        <is>
          <t>CZV7609 GA</t>
        </is>
      </c>
      <c r="G4165" s="144" t="inlineStr">
        <is>
          <t>WHITE FORD</t>
        </is>
      </c>
      <c r="H4165" s="144" t="n">
        <v>5300</v>
      </c>
      <c r="I4165" s="144" t="inlineStr">
        <is>
          <t>CONTRACTOR</t>
        </is>
      </c>
    </row>
    <row r="4166" ht="18" customHeight="1" s="7">
      <c r="A4166" s="144" t="inlineStr">
        <is>
          <t>GREGORY LANG</t>
        </is>
      </c>
      <c r="B4166" s="144" t="inlineStr">
        <is>
          <t>8910699616 IN</t>
        </is>
      </c>
      <c r="C4166" s="144" t="inlineStr">
        <is>
          <t>WR TRANS</t>
        </is>
      </c>
      <c r="D4166" s="144" t="n">
        <v>3176792633</v>
      </c>
      <c r="E4166" s="144" t="inlineStr">
        <is>
          <t>BOX</t>
        </is>
      </c>
      <c r="F4166" s="144" t="inlineStr">
        <is>
          <t>3657189 IN</t>
        </is>
      </c>
      <c r="G4166" s="144" t="inlineStr">
        <is>
          <t>RED INTERNATIONAL</t>
        </is>
      </c>
      <c r="H4166" s="144" t="n">
        <v>1221</v>
      </c>
      <c r="I4166" s="144" t="inlineStr">
        <is>
          <t>COMMERICAL</t>
        </is>
      </c>
    </row>
    <row r="4167" ht="18" customHeight="1" s="7">
      <c r="A4167" s="144" t="inlineStr">
        <is>
          <t>ERIC REEHAL</t>
        </is>
      </c>
      <c r="B4167" s="144" t="inlineStr">
        <is>
          <t>050246447 GA</t>
        </is>
      </c>
      <c r="C4167" s="144" t="inlineStr">
        <is>
          <t>BUFFALO ROC</t>
        </is>
      </c>
      <c r="D4167" s="144" t="n">
        <v>2293193670</v>
      </c>
      <c r="E4167" s="144" t="inlineStr">
        <is>
          <t>BOX</t>
        </is>
      </c>
      <c r="F4167" s="144" t="inlineStr">
        <is>
          <t>3542144 IN</t>
        </is>
      </c>
      <c r="G4167" s="144" t="inlineStr">
        <is>
          <t>WHITE FREIGHTLINER</t>
        </is>
      </c>
      <c r="H4167" s="144" t="n">
        <v>7501</v>
      </c>
      <c r="I4167" s="144" t="inlineStr">
        <is>
          <t>COMMERICAL</t>
        </is>
      </c>
    </row>
    <row r="4168" ht="18" customHeight="1" s="7">
      <c r="A4168" s="144" t="inlineStr">
        <is>
          <t>RAFAEL DAVIS</t>
        </is>
      </c>
      <c r="B4168" s="144" t="inlineStr">
        <is>
          <t>7416078 AL</t>
        </is>
      </c>
      <c r="C4168" s="144" t="inlineStr">
        <is>
          <t>MONDELEZ GLOBAL</t>
        </is>
      </c>
      <c r="D4168" s="144" t="n">
        <v>3347181271</v>
      </c>
      <c r="E4168" s="144" t="inlineStr">
        <is>
          <t>FLAT</t>
        </is>
      </c>
      <c r="F4168" s="144" t="inlineStr">
        <is>
          <t>3715799 IN</t>
        </is>
      </c>
      <c r="G4168" s="144" t="inlineStr">
        <is>
          <t>WHITE FREIGHTLINER</t>
        </is>
      </c>
      <c r="H4168" s="144" t="inlineStr">
        <is>
          <t>COMMISSARY</t>
        </is>
      </c>
      <c r="I4168" s="144" t="inlineStr">
        <is>
          <t>COMMERCIAL</t>
        </is>
      </c>
    </row>
    <row r="4169" ht="18" customHeight="1" s="7">
      <c r="A4169" s="144" t="inlineStr">
        <is>
          <t>REGINALD RIGGINS</t>
        </is>
      </c>
      <c r="B4169" s="144" t="inlineStr">
        <is>
          <t>030384126 GA</t>
        </is>
      </c>
      <c r="C4169" s="144" t="inlineStr">
        <is>
          <t>RIGGINS TRUCK</t>
        </is>
      </c>
      <c r="D4169" s="144" t="n">
        <v>4045459380</v>
      </c>
      <c r="E4169" s="144" t="inlineStr">
        <is>
          <t>FLAT</t>
        </is>
      </c>
      <c r="F4169" s="144" t="inlineStr">
        <is>
          <t>C3577B GA</t>
        </is>
      </c>
      <c r="G4169" s="144" t="inlineStr">
        <is>
          <t>BLUE KENWORTH</t>
        </is>
      </c>
      <c r="H4169" s="144" t="n">
        <v>1221</v>
      </c>
      <c r="I4169" s="144" t="inlineStr">
        <is>
          <t>COMMERICAL</t>
        </is>
      </c>
    </row>
    <row r="4170" ht="18" customHeight="1" s="7">
      <c r="A4170" s="144" t="inlineStr">
        <is>
          <t>ALFONSO ERLY</t>
        </is>
      </c>
      <c r="B4170" s="144" t="inlineStr">
        <is>
          <t>A415200804190 FL</t>
        </is>
      </c>
      <c r="C4170" s="144" t="inlineStr">
        <is>
          <t>FREIGHLIN</t>
        </is>
      </c>
      <c r="D4170" s="144" t="n">
        <v>4322025646</v>
      </c>
      <c r="E4170" s="144" t="inlineStr">
        <is>
          <t>PU</t>
        </is>
      </c>
      <c r="F4170" s="144" t="inlineStr">
        <is>
          <t>90ADIX FL</t>
        </is>
      </c>
      <c r="G4170" s="144" t="inlineStr">
        <is>
          <t>BLACK RAM</t>
        </is>
      </c>
      <c r="H4170" s="144" t="n">
        <v>1360</v>
      </c>
      <c r="I4170" s="144" t="inlineStr">
        <is>
          <t>CONTRACTOR</t>
        </is>
      </c>
    </row>
    <row r="4171" ht="18" customHeight="1" s="7">
      <c r="A4171" s="144" t="inlineStr">
        <is>
          <t>CHRISTOPHER LESLIE</t>
        </is>
      </c>
      <c r="B4171" s="144" t="inlineStr">
        <is>
          <t>*050322430 GA</t>
        </is>
      </c>
      <c r="C4171" s="144" t="inlineStr">
        <is>
          <t>TAVUS</t>
        </is>
      </c>
      <c r="D4171" s="144" t="n">
        <v>4705579345</v>
      </c>
      <c r="E4171" s="144" t="inlineStr">
        <is>
          <t>FLAT</t>
        </is>
      </c>
      <c r="F4171" s="144" t="inlineStr">
        <is>
          <t>C456DH GA</t>
        </is>
      </c>
      <c r="G4171" s="144" t="inlineStr">
        <is>
          <t>BLUE PETERBILT</t>
        </is>
      </c>
      <c r="H4171" s="144" t="n">
        <v>1221</v>
      </c>
      <c r="I4171" s="144" t="inlineStr">
        <is>
          <t>COMMERCIAL</t>
        </is>
      </c>
    </row>
    <row r="4172" ht="18" customHeight="1" s="7">
      <c r="A4172" s="144" t="inlineStr">
        <is>
          <t>LEOVIGILDO MENDOZA</t>
        </is>
      </c>
      <c r="B4172" s="144" t="inlineStr">
        <is>
          <t>053124196 GA</t>
        </is>
      </c>
      <c r="C4172" s="144" t="inlineStr">
        <is>
          <t>REDBIRD</t>
        </is>
      </c>
      <c r="D4172" s="144" t="n">
        <v>6179051889</v>
      </c>
      <c r="E4172" s="144" t="inlineStr">
        <is>
          <t>FLAT</t>
        </is>
      </c>
      <c r="F4172" s="144" t="inlineStr">
        <is>
          <t>IC87J5 GA</t>
        </is>
      </c>
      <c r="G4172" s="144" t="inlineStr">
        <is>
          <t>RED FREIGHTLINER</t>
        </is>
      </c>
      <c r="H4172" s="144" t="n">
        <v>1221</v>
      </c>
      <c r="I4172" s="144" t="inlineStr">
        <is>
          <t>COMMERICAL</t>
        </is>
      </c>
    </row>
    <row r="4173" ht="18" customHeight="1" s="7">
      <c r="A4173" s="144" t="inlineStr">
        <is>
          <t>DUSTEN MASON</t>
        </is>
      </c>
      <c r="B4173" s="144" t="inlineStr">
        <is>
          <t>*050865693 GA</t>
        </is>
      </c>
      <c r="C4173" s="144" t="inlineStr">
        <is>
          <t>BANKSBOILER</t>
        </is>
      </c>
      <c r="D4173" s="144" t="n">
        <v>2292885410</v>
      </c>
      <c r="E4173" s="144" t="inlineStr">
        <is>
          <t>PU</t>
        </is>
      </c>
      <c r="F4173" s="144" t="inlineStr">
        <is>
          <t>YDE355 GA</t>
        </is>
      </c>
      <c r="G4173" s="144" t="inlineStr">
        <is>
          <t>WHITE CHEVY</t>
        </is>
      </c>
      <c r="H4173" s="144" t="n">
        <v>5500</v>
      </c>
      <c r="I4173" s="144" t="inlineStr">
        <is>
          <t>CONTRACTOR</t>
        </is>
      </c>
    </row>
    <row r="4174" ht="18" customHeight="1" s="7">
      <c r="A4174" s="144" t="inlineStr">
        <is>
          <t>JOHN HALL</t>
        </is>
      </c>
      <c r="B4174" s="144" t="inlineStr">
        <is>
          <t>*013331097 GA</t>
        </is>
      </c>
      <c r="C4174" s="144" t="inlineStr">
        <is>
          <t>AMERICAN RAILROAD</t>
        </is>
      </c>
      <c r="D4174" s="144" t="n">
        <v>4049153124</v>
      </c>
      <c r="E4174" s="144" t="inlineStr">
        <is>
          <t>SUV</t>
        </is>
      </c>
      <c r="F4174" s="144" t="inlineStr">
        <is>
          <t>CSV2043 GA</t>
        </is>
      </c>
      <c r="G4174" s="144" t="inlineStr">
        <is>
          <t>GRAY AURA</t>
        </is>
      </c>
      <c r="H4174" s="144" t="inlineStr">
        <is>
          <t>RAILROADS</t>
        </is>
      </c>
      <c r="I4174" s="144" t="inlineStr">
        <is>
          <t>CONTRACTOR</t>
        </is>
      </c>
    </row>
    <row r="4175" ht="18" customHeight="1" s="7">
      <c r="A4175" s="144" t="inlineStr">
        <is>
          <t>ANTHONY DOYLE</t>
        </is>
      </c>
      <c r="B4175" s="144" t="inlineStr">
        <is>
          <t>T61223639 VA</t>
        </is>
      </c>
      <c r="C4175" s="144" t="inlineStr">
        <is>
          <t xml:space="preserve">AATCO </t>
        </is>
      </c>
      <c r="D4175" s="144" t="n">
        <v>5406617666</v>
      </c>
      <c r="E4175" s="144" t="inlineStr">
        <is>
          <t>FLAT</t>
        </is>
      </c>
      <c r="F4175" s="144" t="inlineStr">
        <is>
          <t>AM56729 AZ</t>
        </is>
      </c>
      <c r="G4175" s="144" t="inlineStr">
        <is>
          <t>GRAY VOLVO</t>
        </is>
      </c>
      <c r="H4175" s="144" t="n">
        <v>1221</v>
      </c>
      <c r="I4175" s="144" t="inlineStr">
        <is>
          <t>COMMERICAL</t>
        </is>
      </c>
    </row>
    <row r="4176" ht="18" customHeight="1" s="7">
      <c r="A4176" s="144" t="inlineStr">
        <is>
          <t>DUSTIN SANDERS</t>
        </is>
      </c>
      <c r="B4176" s="144" t="inlineStr">
        <is>
          <t>051285175 GA</t>
        </is>
      </c>
      <c r="C4176" s="144" t="inlineStr">
        <is>
          <t xml:space="preserve">S&amp;S </t>
        </is>
      </c>
      <c r="D4176" s="144" t="n">
        <v>229300515</v>
      </c>
      <c r="E4176" s="144" t="inlineStr">
        <is>
          <t>PU</t>
        </is>
      </c>
      <c r="F4176" s="144" t="inlineStr">
        <is>
          <t>FL498AGG IN</t>
        </is>
      </c>
      <c r="G4176" s="144" t="inlineStr">
        <is>
          <t>WHITE CHEV</t>
        </is>
      </c>
      <c r="H4176" s="144" t="inlineStr">
        <is>
          <t>BASEWIDE</t>
        </is>
      </c>
      <c r="I4176" s="144" t="inlineStr">
        <is>
          <t>CONTRACTOR</t>
        </is>
      </c>
    </row>
    <row r="4177" ht="18" customHeight="1" s="7">
      <c r="A4177" s="144" t="inlineStr">
        <is>
          <t>DYAL WILLIS</t>
        </is>
      </c>
      <c r="B4177" s="144" t="inlineStr">
        <is>
          <t>060122990 GA</t>
        </is>
      </c>
      <c r="C4177" s="144" t="inlineStr">
        <is>
          <t xml:space="preserve">S&amp;S </t>
        </is>
      </c>
      <c r="D4177" s="144" t="n">
        <v>2294129618</v>
      </c>
      <c r="E4177" s="144" t="inlineStr">
        <is>
          <t>VAN</t>
        </is>
      </c>
      <c r="F4177" s="144" t="inlineStr">
        <is>
          <t>FL645AGG IN</t>
        </is>
      </c>
      <c r="G4177" s="144" t="inlineStr">
        <is>
          <t>WHITE CHEV</t>
        </is>
      </c>
      <c r="H4177" s="144" t="inlineStr">
        <is>
          <t>BASEWIDE</t>
        </is>
      </c>
      <c r="I4177" s="144" t="inlineStr">
        <is>
          <t>CONTRACTOR</t>
        </is>
      </c>
    </row>
    <row r="4178" ht="18" customHeight="1" s="7">
      <c r="A4178" s="144" t="inlineStr">
        <is>
          <t>MAURICE WOODFORD</t>
        </is>
      </c>
      <c r="B4178" s="144" t="inlineStr">
        <is>
          <t>*054181959 GA</t>
        </is>
      </c>
      <c r="C4178" s="144" t="inlineStr">
        <is>
          <t>CICEROS</t>
        </is>
      </c>
      <c r="D4178" s="144" t="n">
        <v>4787881328</v>
      </c>
      <c r="E4178" s="144" t="inlineStr">
        <is>
          <t>BOX</t>
        </is>
      </c>
      <c r="F4178" s="144" t="inlineStr">
        <is>
          <t>SKZ9773 GA</t>
        </is>
      </c>
      <c r="G4178" s="144" t="inlineStr">
        <is>
          <t>WHITE ISUZU</t>
        </is>
      </c>
      <c r="H4178" s="144" t="inlineStr">
        <is>
          <t>HOUSING</t>
        </is>
      </c>
      <c r="I4178" s="144" t="inlineStr">
        <is>
          <t>COMMERCIAL</t>
        </is>
      </c>
    </row>
    <row r="4179" ht="18" customHeight="1" s="7">
      <c r="A4179" s="144" t="inlineStr">
        <is>
          <t>TIMMY KEMP</t>
        </is>
      </c>
      <c r="B4179" s="144" t="inlineStr">
        <is>
          <t>*049319523 GA</t>
        </is>
      </c>
      <c r="C4179" s="144" t="inlineStr">
        <is>
          <t>CICEROS</t>
        </is>
      </c>
      <c r="D4179" s="144" t="n">
        <v>4789846169</v>
      </c>
      <c r="E4179" s="144" t="inlineStr">
        <is>
          <t>BOX</t>
        </is>
      </c>
      <c r="F4179" s="144" t="inlineStr">
        <is>
          <t>C933DK GA</t>
        </is>
      </c>
      <c r="G4179" s="144" t="inlineStr">
        <is>
          <t>GRAY KENWORTH</t>
        </is>
      </c>
      <c r="H4179" s="144" t="inlineStr">
        <is>
          <t>HOUSING</t>
        </is>
      </c>
      <c r="I4179" s="144" t="inlineStr">
        <is>
          <t>COMMERCIAL</t>
        </is>
      </c>
    </row>
    <row r="4180" ht="18" customHeight="1" s="7">
      <c r="A4180" s="144" t="inlineStr">
        <is>
          <t>KELVIN THOMAS</t>
        </is>
      </c>
      <c r="B4180" s="144" t="inlineStr">
        <is>
          <t>F000100419500 MN</t>
        </is>
      </c>
      <c r="C4180" s="144" t="inlineStr">
        <is>
          <t>ARBOR</t>
        </is>
      </c>
      <c r="D4180" s="144" t="n">
        <v>9843104326</v>
      </c>
      <c r="E4180" s="144" t="inlineStr">
        <is>
          <t>PU</t>
        </is>
      </c>
      <c r="F4180" s="144" t="inlineStr">
        <is>
          <t>2947465 IN</t>
        </is>
      </c>
      <c r="G4180" s="144" t="inlineStr">
        <is>
          <t>WHITE NISSAN</t>
        </is>
      </c>
      <c r="H4180" s="144" t="inlineStr">
        <is>
          <t>BASEWIDE</t>
        </is>
      </c>
      <c r="I4180" s="144" t="inlineStr">
        <is>
          <t>CONTRACTOR</t>
        </is>
      </c>
    </row>
    <row r="4181" ht="18" customHeight="1" s="7">
      <c r="A4181" s="144" t="inlineStr">
        <is>
          <t>ZACHARY HODSON</t>
        </is>
      </c>
      <c r="B4181" s="144" t="inlineStr">
        <is>
          <t>H203079287000 FL</t>
        </is>
      </c>
      <c r="C4181" s="144" t="inlineStr">
        <is>
          <t>YK EXPRESS</t>
        </is>
      </c>
      <c r="D4181" s="144" t="n">
        <v>2392041664</v>
      </c>
      <c r="E4181" s="144" t="inlineStr">
        <is>
          <t>BOX</t>
        </is>
      </c>
      <c r="F4181" s="144" t="inlineStr">
        <is>
          <t>XE821S FL</t>
        </is>
      </c>
      <c r="G4181" s="144" t="inlineStr">
        <is>
          <t>BLACK PETERBILT</t>
        </is>
      </c>
      <c r="H4181" s="144" t="n">
        <v>1221</v>
      </c>
      <c r="I4181" s="144" t="inlineStr">
        <is>
          <t>COMMERCIAL</t>
        </is>
      </c>
    </row>
    <row r="4182" ht="18" customHeight="1" s="7">
      <c r="A4182" s="144" t="inlineStr">
        <is>
          <t>MICHAEL WOODS</t>
        </is>
      </c>
      <c r="B4182" s="144" t="inlineStr">
        <is>
          <t>033386414 GA</t>
        </is>
      </c>
      <c r="C4182" s="144" t="inlineStr">
        <is>
          <t>SAIA</t>
        </is>
      </c>
      <c r="D4182" s="144" t="n">
        <v>2293758427</v>
      </c>
      <c r="E4182" s="144" t="inlineStr">
        <is>
          <t>BOX</t>
        </is>
      </c>
      <c r="F4182" s="144" t="inlineStr">
        <is>
          <t>P271554 LA</t>
        </is>
      </c>
      <c r="G4182" s="144" t="inlineStr">
        <is>
          <t>RED FREIGHTLINER</t>
        </is>
      </c>
      <c r="H4182" s="144" t="n">
        <v>1221</v>
      </c>
      <c r="I4182" s="144" t="inlineStr">
        <is>
          <t>COMMERCIAL</t>
        </is>
      </c>
    </row>
    <row r="4183" ht="18" customHeight="1" s="7">
      <c r="A4183" s="144" t="inlineStr">
        <is>
          <t>JOHN MATHEWS</t>
        </is>
      </c>
      <c r="B4183" s="144" t="inlineStr">
        <is>
          <t>C0422199 CA</t>
        </is>
      </c>
      <c r="C4183" s="144" t="inlineStr">
        <is>
          <t>IMT TRANSPORT</t>
        </is>
      </c>
      <c r="D4183" s="144" t="n">
        <v>3107394831</v>
      </c>
      <c r="E4183" s="144" t="inlineStr">
        <is>
          <t>FLAT</t>
        </is>
      </c>
      <c r="F4183" s="144" t="inlineStr">
        <is>
          <t>FV8528</t>
        </is>
      </c>
      <c r="G4183" s="144" t="inlineStr">
        <is>
          <t>BLACK PETERBILT</t>
        </is>
      </c>
      <c r="H4183" s="144" t="n">
        <v>1221</v>
      </c>
      <c r="I4183" s="144" t="inlineStr">
        <is>
          <t>CONTRACTOR</t>
        </is>
      </c>
    </row>
    <row r="4184" ht="18" customHeight="1" s="7">
      <c r="A4184" s="144" t="inlineStr">
        <is>
          <t>MATTHEW WISE</t>
        </is>
      </c>
      <c r="B4184" s="144" t="inlineStr">
        <is>
          <t>2104233571 NV</t>
        </is>
      </c>
      <c r="C4184" s="144" t="inlineStr">
        <is>
          <t>AAT CARRIERS</t>
        </is>
      </c>
      <c r="D4184" s="144" t="n">
        <v>7736337656</v>
      </c>
      <c r="E4184" s="144" t="inlineStr">
        <is>
          <t>BOX</t>
        </is>
      </c>
      <c r="F4184" s="144" t="inlineStr">
        <is>
          <t>3808761 IN</t>
        </is>
      </c>
      <c r="G4184" s="144" t="inlineStr">
        <is>
          <t>WHITE FREIGHTLINER</t>
        </is>
      </c>
      <c r="H4184" s="144" t="n">
        <v>1221</v>
      </c>
      <c r="I4184" s="144" t="inlineStr">
        <is>
          <t>COMMERICAL</t>
        </is>
      </c>
    </row>
    <row r="4185" ht="18" customHeight="1" s="7">
      <c r="A4185" s="144" t="inlineStr">
        <is>
          <t>BRANDON BETTENCOURTT</t>
        </is>
      </c>
      <c r="B4185" s="144" t="inlineStr">
        <is>
          <t>054035909 GA</t>
        </is>
      </c>
      <c r="C4185" s="144" t="inlineStr">
        <is>
          <t>R&amp;M</t>
        </is>
      </c>
      <c r="D4185" s="144" t="n">
        <v>2293052045</v>
      </c>
      <c r="E4185" s="144" t="inlineStr">
        <is>
          <t>PU</t>
        </is>
      </c>
      <c r="F4185" s="144" t="inlineStr">
        <is>
          <t>SGC8166 GA</t>
        </is>
      </c>
      <c r="G4185" s="144" t="inlineStr">
        <is>
          <t>WHITE FORD</t>
        </is>
      </c>
      <c r="H4185" s="144" t="n">
        <v>7130</v>
      </c>
      <c r="I4185" s="144" t="inlineStr">
        <is>
          <t>CONTRACTOR</t>
        </is>
      </c>
    </row>
    <row r="4186" ht="18" customHeight="1" s="7">
      <c r="A4186" s="144" t="inlineStr">
        <is>
          <t>JOSE HERNANDEZ</t>
        </is>
      </c>
      <c r="B4186" s="144" t="inlineStr">
        <is>
          <t>49907696 TX</t>
        </is>
      </c>
      <c r="C4186" s="144" t="inlineStr">
        <is>
          <t>GREEN VALLEY TRAN</t>
        </is>
      </c>
      <c r="D4186" s="144" t="n">
        <v>4084101408</v>
      </c>
      <c r="E4186" s="144" t="inlineStr">
        <is>
          <t>BOX</t>
        </is>
      </c>
      <c r="F4186" s="144" t="inlineStr">
        <is>
          <t>T888HY TN</t>
        </is>
      </c>
      <c r="G4186" s="144" t="inlineStr">
        <is>
          <t>WHITE FREIGHTLINER</t>
        </is>
      </c>
      <c r="H4186" s="144" t="n">
        <v>1221</v>
      </c>
      <c r="I4186" s="144" t="inlineStr">
        <is>
          <t>COMMERICAL</t>
        </is>
      </c>
    </row>
    <row r="4187" ht="18" customHeight="1" s="7">
      <c r="A4187" s="144" t="inlineStr">
        <is>
          <t>CRUZ CRUZ</t>
        </is>
      </c>
      <c r="B4187" s="144" t="inlineStr">
        <is>
          <t>C626720863050 FL</t>
        </is>
      </c>
      <c r="C4187" s="144" t="inlineStr">
        <is>
          <t>MCP</t>
        </is>
      </c>
      <c r="D4187" s="144" t="n">
        <v>7864982441</v>
      </c>
      <c r="E4187" s="144" t="inlineStr">
        <is>
          <t>BOX</t>
        </is>
      </c>
      <c r="F4187" s="144" t="inlineStr">
        <is>
          <t>29ZDJJ FL</t>
        </is>
      </c>
      <c r="G4187" s="144" t="inlineStr">
        <is>
          <t>WHITE FREIGHTLINER</t>
        </is>
      </c>
      <c r="H4187" s="144" t="n">
        <v>1221</v>
      </c>
      <c r="I4187" s="144" t="inlineStr">
        <is>
          <t>CONTRACTOR</t>
        </is>
      </c>
    </row>
    <row r="4188" ht="18" customHeight="1" s="7">
      <c r="A4188" s="144" t="inlineStr">
        <is>
          <t>SERGHEI PARIPA</t>
        </is>
      </c>
      <c r="B4188" s="144" t="inlineStr">
        <is>
          <t>062107013 GA</t>
        </is>
      </c>
      <c r="C4188" s="144" t="inlineStr">
        <is>
          <t>VOZL</t>
        </is>
      </c>
      <c r="D4188" s="144" t="n">
        <v>4703134231</v>
      </c>
      <c r="E4188" s="144" t="inlineStr">
        <is>
          <t>FLAT</t>
        </is>
      </c>
      <c r="F4188" s="144" t="inlineStr">
        <is>
          <t>P1322738 IL</t>
        </is>
      </c>
      <c r="G4188" s="144" t="inlineStr">
        <is>
          <t>ORANGE FREIGHTLINER</t>
        </is>
      </c>
      <c r="H4188" s="144" t="n">
        <v>1221</v>
      </c>
      <c r="I4188" s="144" t="inlineStr">
        <is>
          <t>COMMERICAL</t>
        </is>
      </c>
    </row>
    <row r="4189" ht="18" customHeight="1" s="7">
      <c r="A4189" s="144" t="inlineStr">
        <is>
          <t>JIMMY NEWBERRY</t>
        </is>
      </c>
      <c r="B4189" s="144" t="inlineStr">
        <is>
          <t>056022481 GA</t>
        </is>
      </c>
      <c r="C4189" s="144" t="inlineStr">
        <is>
          <t>A&amp;G</t>
        </is>
      </c>
      <c r="D4189" s="144" t="n">
        <v>2295630203</v>
      </c>
      <c r="E4189" s="144" t="inlineStr">
        <is>
          <t>FLAT</t>
        </is>
      </c>
      <c r="F4189" s="144" t="inlineStr">
        <is>
          <t>N356HV TN</t>
        </is>
      </c>
      <c r="G4189" s="144" t="inlineStr">
        <is>
          <t>RED KENWORTH</t>
        </is>
      </c>
      <c r="H4189" s="144" t="n">
        <v>1221</v>
      </c>
      <c r="I4189" s="144" t="inlineStr">
        <is>
          <t>COMMERICAL</t>
        </is>
      </c>
    </row>
    <row r="4190" ht="18" customHeight="1" s="7">
      <c r="A4190" s="144" t="inlineStr">
        <is>
          <t>BRANDON PEACE</t>
        </is>
      </c>
      <c r="B4190" s="144" t="inlineStr">
        <is>
          <t>057514549 GA</t>
        </is>
      </c>
      <c r="C4190" s="144" t="inlineStr">
        <is>
          <t>ESS</t>
        </is>
      </c>
      <c r="D4190" s="144" t="n">
        <v>2293760587</v>
      </c>
      <c r="E4190" s="144" t="inlineStr">
        <is>
          <t>VAN</t>
        </is>
      </c>
      <c r="F4190" s="144" t="inlineStr">
        <is>
          <t>RSF2370 GA</t>
        </is>
      </c>
      <c r="G4190" s="144" t="inlineStr">
        <is>
          <t>WHITE CHEV</t>
        </is>
      </c>
      <c r="H4190" s="144" t="n">
        <v>7450</v>
      </c>
      <c r="I4190" s="144" t="inlineStr">
        <is>
          <t>CONTRACTOR</t>
        </is>
      </c>
    </row>
    <row r="4191" ht="18" customHeight="1" s="7">
      <c r="A4191" s="144" t="inlineStr">
        <is>
          <t>ROBERTO CLAROS</t>
        </is>
      </c>
      <c r="B4191" s="144" t="inlineStr">
        <is>
          <t>052925356 GA</t>
        </is>
      </c>
      <c r="C4191" s="144" t="inlineStr">
        <is>
          <t>SHERWIN WILLIAMS</t>
        </is>
      </c>
      <c r="D4191" s="144" t="n">
        <v>6782310994</v>
      </c>
      <c r="E4191" s="144" t="inlineStr">
        <is>
          <t>VAN</t>
        </is>
      </c>
      <c r="F4191" s="144" t="inlineStr">
        <is>
          <t>RQS7943 GA</t>
        </is>
      </c>
      <c r="G4191" s="144" t="inlineStr">
        <is>
          <t>WHITE CHEV</t>
        </is>
      </c>
      <c r="H4191" s="144" t="inlineStr">
        <is>
          <t>HOUSING</t>
        </is>
      </c>
      <c r="I4191" s="144" t="inlineStr">
        <is>
          <t>CONTRACTOR</t>
        </is>
      </c>
    </row>
    <row r="4192" ht="18" customHeight="1" s="7">
      <c r="A4192" s="144" t="inlineStr">
        <is>
          <t>THOMAS WALLER</t>
        </is>
      </c>
      <c r="B4192" s="144" t="inlineStr">
        <is>
          <t>060379556 GA</t>
        </is>
      </c>
      <c r="C4192" s="144" t="inlineStr">
        <is>
          <t>ESS</t>
        </is>
      </c>
      <c r="D4192" s="144" t="n">
        <v>2298545639</v>
      </c>
      <c r="E4192" s="144" t="inlineStr">
        <is>
          <t>PU</t>
        </is>
      </c>
      <c r="F4192" s="144" t="inlineStr">
        <is>
          <t>SMG9640 GA</t>
        </is>
      </c>
      <c r="G4192" s="144" t="inlineStr">
        <is>
          <t>WHITE DODGE</t>
        </is>
      </c>
      <c r="H4192" s="144" t="n">
        <v>7450</v>
      </c>
      <c r="I4192" s="144" t="inlineStr">
        <is>
          <t>CONTRACTOR</t>
        </is>
      </c>
    </row>
    <row r="4193" ht="18" customHeight="1" s="7">
      <c r="A4193" s="144" t="inlineStr">
        <is>
          <t>THIM CHHENG</t>
        </is>
      </c>
      <c r="B4193" s="144" t="inlineStr">
        <is>
          <t>C328496140000 FL</t>
        </is>
      </c>
      <c r="C4193" s="144" t="inlineStr">
        <is>
          <t>EMPIRE NATIONAL</t>
        </is>
      </c>
      <c r="D4193" s="144" t="n">
        <v>3865662087</v>
      </c>
      <c r="E4193" s="144" t="inlineStr">
        <is>
          <t>VAN</t>
        </is>
      </c>
      <c r="F4193" s="144" t="inlineStr">
        <is>
          <t>FGUM06 FL</t>
        </is>
      </c>
      <c r="G4193" s="144" t="inlineStr">
        <is>
          <t>BLACK MERCEDES</t>
        </is>
      </c>
      <c r="H4193" s="144" t="n">
        <v>1351</v>
      </c>
      <c r="I4193" s="144" t="inlineStr">
        <is>
          <t>CONTRACTOR</t>
        </is>
      </c>
    </row>
    <row r="4194" ht="18" customHeight="1" s="7">
      <c r="A4194" s="144" t="inlineStr">
        <is>
          <t>GRAYSON SMITH</t>
        </is>
      </c>
      <c r="B4194" s="144" t="inlineStr">
        <is>
          <t>802386775 MS</t>
        </is>
      </c>
      <c r="C4194" s="144" t="inlineStr">
        <is>
          <t>TBONE HAULING</t>
        </is>
      </c>
      <c r="D4194" s="144" t="n">
        <v>7692187613</v>
      </c>
      <c r="E4194" s="144" t="inlineStr">
        <is>
          <t>PU</t>
        </is>
      </c>
      <c r="F4194" s="144" t="inlineStr">
        <is>
          <t>4783AE MS</t>
        </is>
      </c>
      <c r="G4194" s="144" t="inlineStr">
        <is>
          <t>BLACK DODGE</t>
        </is>
      </c>
      <c r="H4194" s="144" t="n">
        <v>1221</v>
      </c>
      <c r="I4194" s="144" t="inlineStr">
        <is>
          <t>CONTRACTOR</t>
        </is>
      </c>
    </row>
    <row r="4195" ht="18" customHeight="1" s="7">
      <c r="A4195" s="144" t="inlineStr">
        <is>
          <t>ANDRU GHIUTA</t>
        </is>
      </c>
      <c r="B4195" s="144" t="inlineStr">
        <is>
          <t>058723258 GA</t>
        </is>
      </c>
      <c r="C4195" s="144" t="inlineStr">
        <is>
          <t>EASE LOGISITIC</t>
        </is>
      </c>
      <c r="D4195" s="144" t="n">
        <v>6786020559</v>
      </c>
      <c r="E4195" s="144" t="inlineStr">
        <is>
          <t>VAN</t>
        </is>
      </c>
      <c r="F4195" s="144" t="inlineStr">
        <is>
          <t>RAP3337 GA</t>
        </is>
      </c>
      <c r="G4195" s="144" t="inlineStr">
        <is>
          <t>WHITE MERCEDES</t>
        </is>
      </c>
      <c r="H4195" s="144" t="n">
        <v>1221</v>
      </c>
      <c r="I4195" s="144" t="inlineStr">
        <is>
          <t>CONTRACTOR</t>
        </is>
      </c>
    </row>
    <row r="4196" ht="18" customHeight="1" s="7">
      <c r="A4196" s="144" t="inlineStr">
        <is>
          <t>DENIS DUTCA</t>
        </is>
      </c>
      <c r="B4196" s="144" t="inlineStr">
        <is>
          <t>060795566 GA</t>
        </is>
      </c>
      <c r="C4196" s="144" t="inlineStr">
        <is>
          <t>D&amp;A EXPRESS</t>
        </is>
      </c>
      <c r="D4196" s="144" t="n">
        <v>7705602393</v>
      </c>
      <c r="E4196" s="144" t="inlineStr">
        <is>
          <t>PU</t>
        </is>
      </c>
      <c r="F4196" s="144" t="inlineStr">
        <is>
          <t>ZBE925 GA</t>
        </is>
      </c>
      <c r="G4196" s="144" t="inlineStr">
        <is>
          <t>WHITE DODGE</t>
        </is>
      </c>
      <c r="H4196" s="144" t="n">
        <v>1221</v>
      </c>
      <c r="I4196" s="144" t="inlineStr">
        <is>
          <t>CONTRACTOR</t>
        </is>
      </c>
    </row>
    <row r="4197" ht="18" customHeight="1" s="7">
      <c r="A4197" s="144" t="inlineStr">
        <is>
          <t>BENITEZ ELUID</t>
        </is>
      </c>
      <c r="B4197" s="144" t="inlineStr">
        <is>
          <t>071672516 GA</t>
        </is>
      </c>
      <c r="C4197" s="144" t="inlineStr">
        <is>
          <t>GRACEFUL ROUTE</t>
        </is>
      </c>
      <c r="D4197" s="144" t="n">
        <v>4044938319</v>
      </c>
      <c r="E4197" s="144" t="inlineStr">
        <is>
          <t>VAN</t>
        </is>
      </c>
      <c r="F4197" s="144" t="inlineStr">
        <is>
          <t>DCP2766 GA</t>
        </is>
      </c>
      <c r="G4197" s="144" t="inlineStr">
        <is>
          <t>BLUE MERCDES</t>
        </is>
      </c>
      <c r="H4197" s="144" t="n">
        <v>1221</v>
      </c>
      <c r="I4197" s="144" t="inlineStr">
        <is>
          <t>CONTRACTOR</t>
        </is>
      </c>
    </row>
    <row r="4198" ht="18" customHeight="1" s="7">
      <c r="A4198" s="144" t="inlineStr">
        <is>
          <t>ANDREY KOROTEYEV</t>
        </is>
      </c>
      <c r="B4198" s="144" t="inlineStr">
        <is>
          <t>K631019761360</t>
        </is>
      </c>
      <c r="C4198" s="144" t="inlineStr">
        <is>
          <t>INTEGRITY EXPRESS</t>
        </is>
      </c>
      <c r="D4198" s="144" t="n">
        <v>9714136509</v>
      </c>
      <c r="E4198" s="144" t="inlineStr">
        <is>
          <t>BOX</t>
        </is>
      </c>
      <c r="F4198" s="144" t="inlineStr">
        <is>
          <t>XE895Q FL</t>
        </is>
      </c>
      <c r="G4198" s="144" t="inlineStr">
        <is>
          <t>WHITE FREIGHTLINER</t>
        </is>
      </c>
      <c r="H4198" s="144" t="n">
        <v>1221</v>
      </c>
      <c r="I4198" s="144" t="inlineStr">
        <is>
          <t>CONTRACTOR</t>
        </is>
      </c>
    </row>
    <row r="4199" ht="18" customHeight="1" s="7">
      <c r="A4199" s="144" t="inlineStr">
        <is>
          <t>ENRIQUE VASQUEZ</t>
        </is>
      </c>
      <c r="B4199" s="144" t="inlineStr">
        <is>
          <t>198736597 CN</t>
        </is>
      </c>
      <c r="C4199" s="144" t="inlineStr">
        <is>
          <t>WEST COAST</t>
        </is>
      </c>
      <c r="D4199" s="144" t="n">
        <v>2034606738</v>
      </c>
      <c r="E4199" s="144" t="inlineStr">
        <is>
          <t>FLAT</t>
        </is>
      </c>
      <c r="F4199" s="144" t="inlineStr">
        <is>
          <t>P1272552 IL</t>
        </is>
      </c>
      <c r="G4199" s="144" t="inlineStr">
        <is>
          <t>GRAY FREIGHTLINER</t>
        </is>
      </c>
      <c r="H4199" s="144" t="n">
        <v>1221</v>
      </c>
      <c r="I4199" s="144" t="inlineStr">
        <is>
          <t>COMMERICAL</t>
        </is>
      </c>
    </row>
    <row r="4200" ht="18" customHeight="1" s="7">
      <c r="A4200" s="144" t="inlineStr">
        <is>
          <t>LONNIE GRAY</t>
        </is>
      </c>
      <c r="B4200" s="144" t="inlineStr">
        <is>
          <t>0108144917 SC</t>
        </is>
      </c>
      <c r="C4200" s="144" t="inlineStr">
        <is>
          <t>MERCER TRANS</t>
        </is>
      </c>
      <c r="D4200" s="144" t="n">
        <v>8656790934</v>
      </c>
      <c r="E4200" s="144" t="inlineStr">
        <is>
          <t>FLAT</t>
        </is>
      </c>
      <c r="F4200" s="144" t="inlineStr">
        <is>
          <t>3009891 IN</t>
        </is>
      </c>
      <c r="G4200" s="144" t="inlineStr">
        <is>
          <t>WHITE FREIGHTLINER</t>
        </is>
      </c>
      <c r="H4200" s="144" t="n">
        <v>1221</v>
      </c>
      <c r="I4200" s="144" t="inlineStr">
        <is>
          <t>COMMERICAL</t>
        </is>
      </c>
    </row>
    <row r="4201" ht="18" customHeight="1" s="7">
      <c r="A4201" s="144" t="inlineStr">
        <is>
          <t>TYLER HAGAN</t>
        </is>
      </c>
      <c r="B4201" s="144" t="inlineStr">
        <is>
          <t>057591257 GA</t>
        </is>
      </c>
      <c r="C4201" s="144" t="inlineStr">
        <is>
          <t>ARMSTRONG</t>
        </is>
      </c>
      <c r="D4201" s="144" t="n">
        <v>9045082540</v>
      </c>
      <c r="E4201" s="144" t="inlineStr">
        <is>
          <t>PU</t>
        </is>
      </c>
      <c r="F4201" s="144" t="inlineStr">
        <is>
          <t>33EWMG GA</t>
        </is>
      </c>
      <c r="G4201" s="144" t="inlineStr">
        <is>
          <t>WHITE FORD</t>
        </is>
      </c>
      <c r="H4201" s="144" t="inlineStr">
        <is>
          <t>GATE 5</t>
        </is>
      </c>
      <c r="I4201" s="144" t="inlineStr">
        <is>
          <t xml:space="preserve"> CONTRACTOR</t>
        </is>
      </c>
    </row>
    <row r="4202" ht="18" customHeight="1" s="7">
      <c r="A4202" s="144" t="inlineStr">
        <is>
          <t>YUNIESKY SANTANA</t>
        </is>
      </c>
      <c r="B4202" s="144" t="inlineStr">
        <is>
          <t>S201176325000 FL</t>
        </is>
      </c>
      <c r="C4202" s="144" t="inlineStr">
        <is>
          <t>RHINO FF</t>
        </is>
      </c>
      <c r="D4202" s="144" t="n">
        <v>3057962986</v>
      </c>
      <c r="E4202" s="144" t="inlineStr">
        <is>
          <t>FLAT</t>
        </is>
      </c>
      <c r="F4202" s="144" t="inlineStr">
        <is>
          <t>XD41X FL</t>
        </is>
      </c>
      <c r="G4202" s="144" t="inlineStr">
        <is>
          <t>YELLOW PETERBILT</t>
        </is>
      </c>
      <c r="H4202" s="144" t="n">
        <v>1221</v>
      </c>
      <c r="I4202" s="144" t="inlineStr">
        <is>
          <t>COMMERICAL</t>
        </is>
      </c>
    </row>
    <row r="4203" ht="18" customHeight="1" s="7">
      <c r="A4203" s="144" t="inlineStr">
        <is>
          <t>VERNON THOMAS</t>
        </is>
      </c>
      <c r="B4203" s="144" t="inlineStr">
        <is>
          <t>841265929 NY ST</t>
        </is>
      </c>
      <c r="C4203" s="144" t="inlineStr">
        <is>
          <t>ATS TRANS</t>
        </is>
      </c>
      <c r="D4203" s="144" t="n">
        <v>5182538129</v>
      </c>
      <c r="E4203" s="144" t="inlineStr">
        <is>
          <t>FLAT</t>
        </is>
      </c>
      <c r="F4203" s="144" t="inlineStr">
        <is>
          <t>3483675 IN</t>
        </is>
      </c>
      <c r="G4203" s="144" t="inlineStr">
        <is>
          <t>RED FREIGHTLINER</t>
        </is>
      </c>
      <c r="H4203" s="144" t="n">
        <v>1221</v>
      </c>
      <c r="I4203" s="144" t="inlineStr">
        <is>
          <t>COMMERICAL</t>
        </is>
      </c>
    </row>
    <row r="4204" ht="18" customHeight="1" s="7">
      <c r="A4204" s="144" t="inlineStr">
        <is>
          <t>ALTYNBEK ZHAMSPAOV</t>
        </is>
      </c>
      <c r="B4204" s="144" t="inlineStr">
        <is>
          <t>252567196 NY ST</t>
        </is>
      </c>
      <c r="C4204" s="144" t="inlineStr">
        <is>
          <t>MKG EXPRESS</t>
        </is>
      </c>
      <c r="D4204" s="144" t="n">
        <v>9147079114</v>
      </c>
      <c r="E4204" s="144" t="inlineStr">
        <is>
          <t>FLAT</t>
        </is>
      </c>
      <c r="F4204" s="144" t="inlineStr">
        <is>
          <t>28472 NY</t>
        </is>
      </c>
      <c r="G4204" s="144" t="inlineStr">
        <is>
          <t>WHITE VOLVO</t>
        </is>
      </c>
      <c r="H4204" s="144" t="n">
        <v>1221</v>
      </c>
      <c r="I4204" s="144" t="inlineStr">
        <is>
          <t>COMMERICAL</t>
        </is>
      </c>
    </row>
    <row r="4205" ht="18" customHeight="1" s="7">
      <c r="A4205" s="144" t="inlineStr">
        <is>
          <t>WILLIAMS AARON</t>
        </is>
      </c>
      <c r="B4205" s="144" t="inlineStr">
        <is>
          <t>055944423 GA</t>
        </is>
      </c>
      <c r="C4205" s="144" t="inlineStr">
        <is>
          <t>OXFORD</t>
        </is>
      </c>
      <c r="D4205" s="144" t="n">
        <v>2294073239</v>
      </c>
      <c r="E4205" s="144" t="inlineStr">
        <is>
          <t>PU</t>
        </is>
      </c>
      <c r="F4205" s="144" t="inlineStr">
        <is>
          <t>SDL8511 GA</t>
        </is>
      </c>
      <c r="G4205" s="144" t="inlineStr">
        <is>
          <t>GREEN FORD</t>
        </is>
      </c>
      <c r="H4205" s="144" t="inlineStr">
        <is>
          <t>GATE 5</t>
        </is>
      </c>
      <c r="I4205" s="144" t="inlineStr">
        <is>
          <t>CONTRACTOR</t>
        </is>
      </c>
    </row>
    <row r="4206" ht="18" customHeight="1" s="7">
      <c r="A4206" s="144" t="inlineStr">
        <is>
          <t>JOSUHA AMMOS</t>
        </is>
      </c>
      <c r="B4206" s="144" t="inlineStr">
        <is>
          <t>070519264 GA</t>
        </is>
      </c>
      <c r="C4206" s="144" t="inlineStr">
        <is>
          <t>OXFORD</t>
        </is>
      </c>
      <c r="D4206" s="144" t="n">
        <v>2294073239</v>
      </c>
      <c r="E4206" s="144" t="inlineStr">
        <is>
          <t>DUMP</t>
        </is>
      </c>
      <c r="F4206" s="144" t="inlineStr">
        <is>
          <t>JN2Y98 GA</t>
        </is>
      </c>
      <c r="G4206" s="144" t="inlineStr">
        <is>
          <t>WHITE INTERNATIONAL</t>
        </is>
      </c>
      <c r="H4206" s="144" t="inlineStr">
        <is>
          <t>GATE 5</t>
        </is>
      </c>
      <c r="I4206" s="144" t="inlineStr">
        <is>
          <t>CONTRACTOR</t>
        </is>
      </c>
    </row>
    <row r="4207" ht="18" customHeight="1" s="7">
      <c r="A4207" s="144" t="inlineStr">
        <is>
          <t>MICHEAL BROOKS</t>
        </is>
      </c>
      <c r="B4207" s="144" t="inlineStr">
        <is>
          <t>000027881690 NC</t>
        </is>
      </c>
      <c r="C4207" s="144" t="inlineStr">
        <is>
          <t>REDFOX TRANS</t>
        </is>
      </c>
      <c r="D4207" s="144" t="n">
        <v>9197252641</v>
      </c>
      <c r="E4207" s="144" t="inlineStr">
        <is>
          <t>PU</t>
        </is>
      </c>
      <c r="F4207" s="144" t="inlineStr">
        <is>
          <t>VX9227 NC</t>
        </is>
      </c>
      <c r="G4207" s="144" t="inlineStr">
        <is>
          <t>WHITE FORD</t>
        </is>
      </c>
      <c r="H4207" s="144" t="inlineStr">
        <is>
          <t>GATE 5</t>
        </is>
      </c>
      <c r="I4207" s="144" t="inlineStr">
        <is>
          <t>CONTRACTOR</t>
        </is>
      </c>
    </row>
    <row r="4208" ht="18" customHeight="1" s="7">
      <c r="A4208" s="144" t="inlineStr">
        <is>
          <t>EMINOV MUKHLIS</t>
        </is>
      </c>
      <c r="B4208" s="144" t="inlineStr">
        <is>
          <t>053514692 GA</t>
        </is>
      </c>
      <c r="C4208" s="144" t="inlineStr">
        <is>
          <t>TITAN EXPRESS</t>
        </is>
      </c>
      <c r="D4208" s="144" t="n">
        <v>4044328258</v>
      </c>
      <c r="E4208" s="144" t="inlineStr">
        <is>
          <t>FLAT</t>
        </is>
      </c>
      <c r="F4208" s="144" t="inlineStr">
        <is>
          <t>PWY4693 OH</t>
        </is>
      </c>
      <c r="G4208" s="144" t="inlineStr">
        <is>
          <t>WHITE VOLVO</t>
        </is>
      </c>
      <c r="H4208" s="144" t="n">
        <v>1221</v>
      </c>
      <c r="I4208" s="144" t="inlineStr">
        <is>
          <t>COMMERICAL</t>
        </is>
      </c>
    </row>
    <row r="4209" ht="18" customHeight="1" s="7">
      <c r="A4209" s="144" t="inlineStr">
        <is>
          <t>ROGER EVANS</t>
        </is>
      </c>
      <c r="B4209" s="144" t="inlineStr">
        <is>
          <t>*08783437 SC</t>
        </is>
      </c>
      <c r="C4209" s="144" t="inlineStr">
        <is>
          <t>C&amp;S WHOLESALE</t>
        </is>
      </c>
      <c r="D4209" s="144" t="n">
        <v>8643602026</v>
      </c>
      <c r="E4209" s="144" t="inlineStr">
        <is>
          <t>BOX</t>
        </is>
      </c>
      <c r="F4209" s="144" t="inlineStr">
        <is>
          <t>XE921T FL</t>
        </is>
      </c>
      <c r="G4209" s="144" t="inlineStr">
        <is>
          <t>WHITE VOLVO</t>
        </is>
      </c>
      <c r="H4209" s="144" t="n">
        <v>1221</v>
      </c>
      <c r="I4209" s="144" t="inlineStr">
        <is>
          <t>COMMERICAL</t>
        </is>
      </c>
    </row>
    <row r="4210" ht="18" customHeight="1" s="7">
      <c r="A4210" s="144" t="inlineStr">
        <is>
          <t>RAYMOND ADKINS</t>
        </is>
      </c>
      <c r="B4210" s="144" t="inlineStr">
        <is>
          <t>*051906721 TN</t>
        </is>
      </c>
      <c r="C4210" s="144" t="inlineStr">
        <is>
          <t>E TRANSPORT</t>
        </is>
      </c>
      <c r="D4210" s="144" t="n">
        <v>7316951818</v>
      </c>
      <c r="E4210" s="144" t="inlineStr">
        <is>
          <t>BOX</t>
        </is>
      </c>
      <c r="F4210" s="144" t="inlineStr">
        <is>
          <t>N1616HY TN</t>
        </is>
      </c>
      <c r="G4210" s="144" t="inlineStr">
        <is>
          <t>GRAY WESTERNSTAR</t>
        </is>
      </c>
      <c r="H4210" s="144" t="n">
        <v>1221</v>
      </c>
      <c r="I4210" s="144" t="inlineStr">
        <is>
          <t>COMMERICAL</t>
        </is>
      </c>
    </row>
    <row r="4211" ht="18" customHeight="1" s="7">
      <c r="A4211" s="144" t="inlineStr">
        <is>
          <t>BRASWELL TIMOTHY</t>
        </is>
      </c>
      <c r="B4211" s="144" t="inlineStr">
        <is>
          <t>*039950450 GA</t>
        </is>
      </c>
      <c r="C4211" s="144" t="inlineStr">
        <is>
          <t>ACE</t>
        </is>
      </c>
      <c r="D4211" s="144" t="n">
        <v>9123996626</v>
      </c>
      <c r="E4211" s="144" t="inlineStr">
        <is>
          <t>PU</t>
        </is>
      </c>
      <c r="F4211" s="144" t="inlineStr">
        <is>
          <t>CLU3408 GA</t>
        </is>
      </c>
      <c r="G4211" s="144" t="inlineStr">
        <is>
          <t>RED FORD</t>
        </is>
      </c>
      <c r="H4211" s="144" t="n">
        <v>3500</v>
      </c>
      <c r="I4211" s="144" t="inlineStr">
        <is>
          <t>CONTRACTOR</t>
        </is>
      </c>
    </row>
    <row r="4212" ht="18" customHeight="1" s="7">
      <c r="A4212" s="144" t="inlineStr">
        <is>
          <t>KATIE CHAMBLESS</t>
        </is>
      </c>
      <c r="B4212" s="144" t="inlineStr">
        <is>
          <t>*070288697 GA</t>
        </is>
      </c>
      <c r="C4212" s="144" t="inlineStr">
        <is>
          <t>GREENSIDE</t>
        </is>
      </c>
      <c r="D4212" s="144" t="n">
        <v>5408406432</v>
      </c>
      <c r="E4212" s="144" t="inlineStr">
        <is>
          <t>PU</t>
        </is>
      </c>
      <c r="F4212" s="144" t="inlineStr">
        <is>
          <t>EPQ895 GA</t>
        </is>
      </c>
      <c r="G4212" s="144" t="inlineStr">
        <is>
          <t>WHITE CHEVY</t>
        </is>
      </c>
      <c r="H4212" s="144" t="inlineStr">
        <is>
          <t>HOUSING</t>
        </is>
      </c>
      <c r="I4212" s="144" t="inlineStr">
        <is>
          <t>CONTRACTOR</t>
        </is>
      </c>
    </row>
    <row r="4213" ht="18" customHeight="1" s="7">
      <c r="A4213" s="144" t="inlineStr">
        <is>
          <t>WHITNEY NUMERO</t>
        </is>
      </c>
      <c r="B4213" s="144" t="inlineStr">
        <is>
          <t>S67981348</t>
        </is>
      </c>
      <c r="C4213" s="144" t="inlineStr">
        <is>
          <t>PARADISE CARGO</t>
        </is>
      </c>
      <c r="D4213" s="144" t="n">
        <v>7815701207</v>
      </c>
      <c r="E4213" s="144" t="inlineStr">
        <is>
          <t>PU</t>
        </is>
      </c>
      <c r="F4213" s="144" t="inlineStr">
        <is>
          <t>Y37805 MA</t>
        </is>
      </c>
      <c r="G4213" s="144" t="inlineStr">
        <is>
          <t>WHITE RAM</t>
        </is>
      </c>
      <c r="H4213" s="144" t="n">
        <v>1221</v>
      </c>
      <c r="I4213" s="144" t="inlineStr">
        <is>
          <t>CONTRACTOR</t>
        </is>
      </c>
    </row>
    <row r="4214" ht="18" customHeight="1" s="7">
      <c r="A4214" s="144" t="inlineStr">
        <is>
          <t>PAUL DURR</t>
        </is>
      </c>
      <c r="B4214" s="144" t="inlineStr">
        <is>
          <t>D60068478089 IL</t>
        </is>
      </c>
      <c r="C4214" s="144" t="inlineStr">
        <is>
          <t>NATIONWIDE FREIGHT</t>
        </is>
      </c>
      <c r="D4214" s="144" t="n">
        <v>7739643066</v>
      </c>
      <c r="E4214" s="144" t="inlineStr">
        <is>
          <t>BOX</t>
        </is>
      </c>
      <c r="F4214" s="144" t="inlineStr">
        <is>
          <t>P1152702 IL</t>
        </is>
      </c>
      <c r="G4214" s="144" t="inlineStr">
        <is>
          <t>WHITE FREIGHTLINER</t>
        </is>
      </c>
      <c r="H4214" s="144" t="n">
        <v>1221</v>
      </c>
      <c r="I4214" s="144" t="inlineStr">
        <is>
          <t>COMMERCIAL</t>
        </is>
      </c>
    </row>
    <row r="4215" ht="18" customHeight="1" s="7">
      <c r="A4215" s="144" t="inlineStr">
        <is>
          <t>ARIA BERHE</t>
        </is>
      </c>
      <c r="B4215" s="144" t="inlineStr">
        <is>
          <t>32636786 PA</t>
        </is>
      </c>
      <c r="C4215" s="144" t="inlineStr">
        <is>
          <t>MGB TRANS</t>
        </is>
      </c>
      <c r="D4215" s="144" t="n">
        <v>4846497039</v>
      </c>
      <c r="E4215" s="144" t="inlineStr">
        <is>
          <t>BOX</t>
        </is>
      </c>
      <c r="F4215" s="144" t="inlineStr">
        <is>
          <t>AH67965 PA</t>
        </is>
      </c>
      <c r="G4215" s="144" t="inlineStr">
        <is>
          <t>GRAY FREIGHTLINER</t>
        </is>
      </c>
      <c r="H4215" s="144" t="n">
        <v>1221</v>
      </c>
      <c r="I4215" s="144" t="inlineStr">
        <is>
          <t>COMMERICAL</t>
        </is>
      </c>
    </row>
    <row r="4216" ht="18" customHeight="1" s="7">
      <c r="A4216" s="144" t="inlineStr">
        <is>
          <t>KARI MHIJAR</t>
        </is>
      </c>
      <c r="B4216" s="144" t="inlineStr">
        <is>
          <t>M260513720130 FL</t>
        </is>
      </c>
      <c r="C4216" s="144" t="inlineStr">
        <is>
          <t>TRIPLE EXPRESS</t>
        </is>
      </c>
      <c r="D4216" s="144" t="n">
        <v>4077151848</v>
      </c>
      <c r="E4216" s="144" t="inlineStr">
        <is>
          <t>BOX</t>
        </is>
      </c>
      <c r="F4216" s="144" t="inlineStr">
        <is>
          <t>P1330198 IL</t>
        </is>
      </c>
      <c r="G4216" s="144" t="inlineStr">
        <is>
          <t>WHITE INTERNATIONAL</t>
        </is>
      </c>
      <c r="H4216" s="144" t="n">
        <v>1221</v>
      </c>
      <c r="I4216" s="144" t="inlineStr">
        <is>
          <t>COMMERICAL</t>
        </is>
      </c>
    </row>
    <row r="4217" ht="18" customHeight="1" s="7">
      <c r="A4217" s="144" t="inlineStr">
        <is>
          <t>RYAN HAYES</t>
        </is>
      </c>
      <c r="B4217" s="144" t="inlineStr">
        <is>
          <t>054670840 GA</t>
        </is>
      </c>
      <c r="C4217" s="144" t="inlineStr">
        <is>
          <t>EQUIPMENT SHARES</t>
        </is>
      </c>
      <c r="D4217" s="144" t="n">
        <v>7705005198</v>
      </c>
      <c r="E4217" s="144" t="inlineStr">
        <is>
          <t>PU</t>
        </is>
      </c>
      <c r="F4217" s="144" t="inlineStr">
        <is>
          <t>FL414AHM IN</t>
        </is>
      </c>
      <c r="G4217" s="144" t="inlineStr">
        <is>
          <t>WHITE FORD</t>
        </is>
      </c>
      <c r="H4217" s="144" t="inlineStr">
        <is>
          <t>BASEWIDE</t>
        </is>
      </c>
      <c r="I4217" s="144" t="inlineStr">
        <is>
          <t>CONTRACTOR</t>
        </is>
      </c>
    </row>
    <row r="4218" ht="18" customHeight="1" s="7">
      <c r="A4218" s="144" t="inlineStr">
        <is>
          <t>TINA THOMPSON</t>
        </is>
      </c>
      <c r="B4218" s="144" t="inlineStr">
        <is>
          <t>E898993 WV</t>
        </is>
      </c>
      <c r="C4218" s="144" t="inlineStr">
        <is>
          <t>HFC TRANS</t>
        </is>
      </c>
      <c r="D4218" s="144" t="n">
        <v>3048869293</v>
      </c>
      <c r="E4218" s="144" t="inlineStr">
        <is>
          <t>BOX</t>
        </is>
      </c>
      <c r="F4218" s="144" t="inlineStr">
        <is>
          <t>DX3985 IA</t>
        </is>
      </c>
      <c r="G4218" s="144" t="inlineStr">
        <is>
          <t>SILVER FREIGHTLINER</t>
        </is>
      </c>
      <c r="H4218" s="144" t="n">
        <v>1221</v>
      </c>
      <c r="I4218" s="144" t="inlineStr">
        <is>
          <t>COMMERICAL</t>
        </is>
      </c>
    </row>
    <row r="4219" ht="18" customHeight="1" s="7">
      <c r="A4219" s="144" t="inlineStr">
        <is>
          <t>TINA THOMPSON</t>
        </is>
      </c>
      <c r="B4219" s="144" t="inlineStr">
        <is>
          <t>049111802 GA</t>
        </is>
      </c>
      <c r="C4219" s="144" t="inlineStr">
        <is>
          <t>HOMEDEPOT</t>
        </is>
      </c>
      <c r="D4219" s="144" t="n">
        <v>4784075204</v>
      </c>
      <c r="E4219" s="144" t="inlineStr">
        <is>
          <t>BOX</t>
        </is>
      </c>
      <c r="F4219" s="144" t="inlineStr">
        <is>
          <t>YUH443 GA</t>
        </is>
      </c>
      <c r="G4219" s="144" t="inlineStr">
        <is>
          <t>WHITE HINO</t>
        </is>
      </c>
      <c r="H4219" s="144" t="inlineStr">
        <is>
          <t>HOUSING</t>
        </is>
      </c>
      <c r="I4219" s="144" t="inlineStr">
        <is>
          <t>CONTRACTOR</t>
        </is>
      </c>
    </row>
    <row r="4220" ht="18" customHeight="1" s="7">
      <c r="A4220" s="144" t="inlineStr">
        <is>
          <t>CLAY CRITES</t>
        </is>
      </c>
      <c r="B4220" s="144" t="inlineStr">
        <is>
          <t>*051622544 GA</t>
        </is>
      </c>
      <c r="C4220" s="144" t="inlineStr">
        <is>
          <t>R.W.</t>
        </is>
      </c>
      <c r="D4220" s="144" t="n">
        <v>2298947115</v>
      </c>
      <c r="E4220" s="144" t="inlineStr">
        <is>
          <t>BOX</t>
        </is>
      </c>
      <c r="F4220" s="144" t="inlineStr">
        <is>
          <t>EKS242 GA</t>
        </is>
      </c>
      <c r="G4220" s="144" t="inlineStr">
        <is>
          <t>SILVER KENWORTH</t>
        </is>
      </c>
      <c r="H4220" s="144" t="n">
        <v>1221</v>
      </c>
      <c r="I4220" s="144" t="inlineStr">
        <is>
          <t>COMMERCIAL</t>
        </is>
      </c>
    </row>
    <row r="4221" ht="18" customHeight="1" s="7">
      <c r="A4221" s="144" t="inlineStr">
        <is>
          <t>JEFFREY SACRE</t>
        </is>
      </c>
      <c r="B4221" s="144" t="inlineStr">
        <is>
          <t>S95644179 KY</t>
        </is>
      </c>
      <c r="C4221" s="144" t="inlineStr">
        <is>
          <t>LANDSTAR</t>
        </is>
      </c>
      <c r="D4221" s="144" t="n">
        <v>5025452368</v>
      </c>
      <c r="E4221" s="144" t="inlineStr">
        <is>
          <t>BOX</t>
        </is>
      </c>
      <c r="F4221" s="144" t="inlineStr">
        <is>
          <t>2537918 IN</t>
        </is>
      </c>
      <c r="G4221" s="144" t="inlineStr">
        <is>
          <t>ORANGE KENWORTH</t>
        </is>
      </c>
      <c r="H4221" s="144" t="n">
        <v>1360</v>
      </c>
      <c r="I4221" s="144" t="inlineStr">
        <is>
          <t>COMMERICAL</t>
        </is>
      </c>
    </row>
    <row r="4222" ht="18" customHeight="1" s="7">
      <c r="A4222" s="144" t="inlineStr">
        <is>
          <t>TIMOTHY RAY</t>
        </is>
      </c>
      <c r="B4222" s="144" t="inlineStr">
        <is>
          <t>28760226 PA</t>
        </is>
      </c>
      <c r="C4222" s="144" t="inlineStr">
        <is>
          <t>WRIGHT EXPRESS</t>
        </is>
      </c>
      <c r="D4222" s="144" t="n">
        <v>7178250673</v>
      </c>
      <c r="E4222" s="144" t="inlineStr">
        <is>
          <t>BOX</t>
        </is>
      </c>
      <c r="F4222" s="144" t="inlineStr">
        <is>
          <t>AH25973 PA</t>
        </is>
      </c>
      <c r="G4222" s="144" t="inlineStr">
        <is>
          <t>SILVER VOLVO</t>
        </is>
      </c>
      <c r="H4222" s="144" t="n">
        <v>1221</v>
      </c>
      <c r="I4222" s="144" t="inlineStr">
        <is>
          <t>COMMERICAL</t>
        </is>
      </c>
    </row>
    <row r="4223" ht="18" customHeight="1" s="7">
      <c r="A4223" s="144" t="inlineStr">
        <is>
          <t>CHRISTOPHER MORSE IV</t>
        </is>
      </c>
      <c r="B4223" s="144" t="inlineStr">
        <is>
          <t>027062498 GA</t>
        </is>
      </c>
      <c r="C4223" s="144" t="inlineStr">
        <is>
          <t>TYLER ALL POINTS</t>
        </is>
      </c>
      <c r="D4223" s="144" t="n">
        <v>9123136901</v>
      </c>
      <c r="E4223" s="144" t="inlineStr">
        <is>
          <t>FLAT</t>
        </is>
      </c>
      <c r="F4223" s="144" t="inlineStr">
        <is>
          <t>C532CX GA</t>
        </is>
      </c>
      <c r="G4223" s="144" t="inlineStr">
        <is>
          <t>GREEN PETERBILT</t>
        </is>
      </c>
      <c r="H4223" s="144" t="n">
        <v>1221</v>
      </c>
      <c r="I4223" s="144" t="inlineStr">
        <is>
          <t>COMMERICAL</t>
        </is>
      </c>
    </row>
    <row r="4224" ht="18" customHeight="1" s="7">
      <c r="A4224" s="144" t="inlineStr">
        <is>
          <t>MARK GIBSON</t>
        </is>
      </c>
      <c r="B4224" s="144" t="inlineStr">
        <is>
          <t>053970486 GA</t>
        </is>
      </c>
      <c r="C4224" s="144" t="inlineStr">
        <is>
          <t>XEROX</t>
        </is>
      </c>
      <c r="D4224" s="144" t="n">
        <v>4784061940</v>
      </c>
      <c r="E4224" s="144" t="inlineStr">
        <is>
          <t>VAN</t>
        </is>
      </c>
      <c r="F4224" s="144" t="inlineStr">
        <is>
          <t>CVY8590 GA</t>
        </is>
      </c>
      <c r="G4224" s="144" t="inlineStr">
        <is>
          <t>WHITE RAM</t>
        </is>
      </c>
      <c r="H4224" s="144" t="n">
        <v>3700</v>
      </c>
      <c r="I4224" s="144" t="inlineStr">
        <is>
          <t>CONTRACTOR</t>
        </is>
      </c>
    </row>
    <row r="4225" ht="18" customHeight="1" s="7">
      <c r="A4225" s="144" t="inlineStr">
        <is>
          <t>SCOTT BARGDILL</t>
        </is>
      </c>
      <c r="B4225" s="144" t="inlineStr">
        <is>
          <t>RS711183 OH</t>
        </is>
      </c>
      <c r="C4225" s="144" t="inlineStr">
        <is>
          <t xml:space="preserve">CCR </t>
        </is>
      </c>
      <c r="D4225" s="144" t="n">
        <v>7402727739</v>
      </c>
      <c r="E4225" s="144" t="inlineStr">
        <is>
          <t>FLAT</t>
        </is>
      </c>
      <c r="F4225" s="144" t="inlineStr">
        <is>
          <t>PXB4515 OH</t>
        </is>
      </c>
      <c r="G4225" s="144" t="inlineStr">
        <is>
          <t>BLACK PETERBILT</t>
        </is>
      </c>
      <c r="H4225" s="144" t="n">
        <v>1221</v>
      </c>
      <c r="I4225" s="144" t="inlineStr">
        <is>
          <t>COMMERICAL</t>
        </is>
      </c>
    </row>
    <row r="4226" ht="18" customHeight="1" s="7">
      <c r="A4226" s="144" t="inlineStr">
        <is>
          <t>JAMES WOODS</t>
        </is>
      </c>
      <c r="B4226" s="144" t="inlineStr">
        <is>
          <t>008242154 SC</t>
        </is>
      </c>
      <c r="C4226" s="144" t="inlineStr">
        <is>
          <t>LANDSTAR</t>
        </is>
      </c>
      <c r="D4226" s="144" t="n">
        <v>8433728109</v>
      </c>
      <c r="E4226" s="144" t="inlineStr">
        <is>
          <t>BOX</t>
        </is>
      </c>
      <c r="F4226" s="144" t="inlineStr">
        <is>
          <t>P781879 SC</t>
        </is>
      </c>
      <c r="G4226" s="144" t="inlineStr">
        <is>
          <t>BLACK KENWORTH</t>
        </is>
      </c>
      <c r="H4226" s="144" t="n">
        <v>1221</v>
      </c>
      <c r="I4226" s="144" t="inlineStr">
        <is>
          <t>COMMERICAL</t>
        </is>
      </c>
    </row>
    <row r="4227" ht="18" customHeight="1" s="7">
      <c r="A4227" s="144" t="inlineStr">
        <is>
          <t>CHRISTOPHER JEFFERSON</t>
        </is>
      </c>
      <c r="B4227" s="144" t="inlineStr">
        <is>
          <t>056499890 GA</t>
        </is>
      </c>
      <c r="C4227" s="144" t="inlineStr">
        <is>
          <t>COCA COLA</t>
        </is>
      </c>
      <c r="D4227" s="144" t="n">
        <v>2297335894</v>
      </c>
      <c r="E4227" s="144" t="inlineStr">
        <is>
          <t>BOX</t>
        </is>
      </c>
      <c r="F4227" s="144" t="inlineStr">
        <is>
          <t>P383CR GA</t>
        </is>
      </c>
      <c r="G4227" s="144" t="inlineStr">
        <is>
          <t>RED FRIEGHTERLINER</t>
        </is>
      </c>
      <c r="H4227" s="144" t="n">
        <v>7500</v>
      </c>
      <c r="I4227" s="144" t="inlineStr">
        <is>
          <t>COMMERCIAL</t>
        </is>
      </c>
    </row>
    <row r="4228" ht="18" customHeight="1" s="7">
      <c r="A4228" s="144" t="inlineStr">
        <is>
          <t>CAMERON ELIZABETH</t>
        </is>
      </c>
      <c r="B4228" s="144" t="inlineStr">
        <is>
          <t>15903996 TX</t>
        </is>
      </c>
      <c r="C4228" s="144" t="inlineStr">
        <is>
          <t>NATASWAYSTE</t>
        </is>
      </c>
      <c r="D4228" s="144" t="n">
        <v>9568054304</v>
      </c>
      <c r="E4228" s="144" t="inlineStr">
        <is>
          <t>VAN</t>
        </is>
      </c>
      <c r="F4228" s="144" t="inlineStr">
        <is>
          <t>WHX2527 TX</t>
        </is>
      </c>
      <c r="G4228" s="144" t="inlineStr">
        <is>
          <t>WHITE FORD</t>
        </is>
      </c>
      <c r="H4228" s="144" t="n">
        <v>5651</v>
      </c>
      <c r="I4228" s="144" t="inlineStr">
        <is>
          <t>CONTRACTOR</t>
        </is>
      </c>
    </row>
    <row r="4229" ht="18" customHeight="1" s="7">
      <c r="A4229" s="144" t="inlineStr">
        <is>
          <t>JEROME MATTHEWS</t>
        </is>
      </c>
      <c r="B4229" s="144" t="inlineStr">
        <is>
          <t>*056898837 GA</t>
        </is>
      </c>
      <c r="C4229" s="144" t="inlineStr">
        <is>
          <t>IMPERIAL DADE</t>
        </is>
      </c>
      <c r="D4229" s="144" t="n">
        <v>7067616051</v>
      </c>
      <c r="E4229" s="144" t="inlineStr">
        <is>
          <t>BOX</t>
        </is>
      </c>
      <c r="F4229" s="144" t="inlineStr">
        <is>
          <t>YUH437 GA</t>
        </is>
      </c>
      <c r="G4229" s="144" t="inlineStr">
        <is>
          <t>WHITE HINO</t>
        </is>
      </c>
      <c r="H4229" s="144" t="inlineStr">
        <is>
          <t>POWERWOKS</t>
        </is>
      </c>
      <c r="I4229" s="144" t="inlineStr">
        <is>
          <t>COMMERCIAL</t>
        </is>
      </c>
    </row>
    <row r="4230" ht="18" customHeight="1" s="7">
      <c r="A4230" s="144" t="inlineStr">
        <is>
          <t>KADUM ANDERSON</t>
        </is>
      </c>
      <c r="B4230" s="144" t="inlineStr">
        <is>
          <t>061916468 GA</t>
        </is>
      </c>
      <c r="C4230" s="144" t="inlineStr">
        <is>
          <t>RYLAND</t>
        </is>
      </c>
      <c r="D4230" s="144" t="n">
        <v>2293640791</v>
      </c>
      <c r="E4230" s="144" t="inlineStr">
        <is>
          <t>DUMP</t>
        </is>
      </c>
      <c r="F4230" s="144" t="inlineStr">
        <is>
          <t>GQC762 GA</t>
        </is>
      </c>
      <c r="G4230" s="144" t="inlineStr">
        <is>
          <t>WHITE AUTOCAR</t>
        </is>
      </c>
      <c r="H4230" s="144" t="n">
        <v>1221</v>
      </c>
      <c r="I4230" s="144" t="inlineStr">
        <is>
          <t>CONTRACTOR</t>
        </is>
      </c>
    </row>
    <row r="4231" ht="18" customHeight="1" s="7">
      <c r="A4231" s="144" t="inlineStr">
        <is>
          <t>DON WILLIAMS</t>
        </is>
      </c>
      <c r="B4231" s="144" t="inlineStr">
        <is>
          <t>070415259 GA</t>
        </is>
      </c>
      <c r="C4231" s="144" t="inlineStr">
        <is>
          <t>SPECIAL SERVICE</t>
        </is>
      </c>
      <c r="D4231" s="144" t="n">
        <v>6142020498</v>
      </c>
      <c r="E4231" s="144" t="inlineStr">
        <is>
          <t>BOX</t>
        </is>
      </c>
      <c r="F4231" s="144" t="inlineStr">
        <is>
          <t>ZS9750 NC</t>
        </is>
      </c>
      <c r="G4231" s="144" t="inlineStr">
        <is>
          <t>WHITE INTERNATIONAL</t>
        </is>
      </c>
      <c r="H4231" s="144" t="n">
        <v>7600</v>
      </c>
      <c r="I4231" s="144" t="inlineStr">
        <is>
          <t>CONTRACTOR</t>
        </is>
      </c>
    </row>
    <row r="4232" ht="18" customHeight="1" s="7">
      <c r="A4232" s="144" t="inlineStr">
        <is>
          <t>ACUNA HELMER</t>
        </is>
      </c>
      <c r="B4232" s="144" t="inlineStr">
        <is>
          <t>A1767 32361 05942 NJ</t>
        </is>
      </c>
      <c r="C4232" s="144" t="inlineStr">
        <is>
          <t>EEA</t>
        </is>
      </c>
      <c r="D4232" s="144" t="n">
        <v>9087687596</v>
      </c>
      <c r="E4232" s="144" t="inlineStr">
        <is>
          <t>FLAT</t>
        </is>
      </c>
      <c r="F4232" s="144" t="inlineStr">
        <is>
          <t>AZ894T NJ</t>
        </is>
      </c>
      <c r="G4232" s="144" t="inlineStr">
        <is>
          <t>WHITE PETERBILT</t>
        </is>
      </c>
      <c r="H4232" s="144" t="n">
        <v>1221</v>
      </c>
      <c r="I4232" s="144" t="inlineStr">
        <is>
          <t>COMMERICAL</t>
        </is>
      </c>
    </row>
    <row r="4233" ht="18" customHeight="1" s="7">
      <c r="A4233" s="144" t="inlineStr">
        <is>
          <t>JARVIS WHITE</t>
        </is>
      </c>
      <c r="B4233" s="144" t="inlineStr">
        <is>
          <t>052194989 GA</t>
        </is>
      </c>
      <c r="C4233" s="144" t="inlineStr">
        <is>
          <t>UNITED FLEET</t>
        </is>
      </c>
      <c r="D4233" s="144" t="n">
        <v>9125925891</v>
      </c>
      <c r="E4233" s="144" t="inlineStr">
        <is>
          <t>VAN</t>
        </is>
      </c>
      <c r="F4233" s="144" t="inlineStr">
        <is>
          <t>SMP8472 GA</t>
        </is>
      </c>
      <c r="G4233" s="144" t="inlineStr">
        <is>
          <t>WHITE DODGE</t>
        </is>
      </c>
      <c r="H4233" s="144" t="n">
        <v>1221</v>
      </c>
      <c r="I4233" s="144" t="inlineStr">
        <is>
          <t>CONTRACTOR</t>
        </is>
      </c>
    </row>
    <row r="4234" ht="18" customHeight="1" s="7">
      <c r="A4234" s="144" t="inlineStr">
        <is>
          <t>SAYRA RAMIREZ</t>
        </is>
      </c>
      <c r="B4234" s="144" t="inlineStr">
        <is>
          <t>27691716 TX</t>
        </is>
      </c>
      <c r="C4234" s="144" t="inlineStr">
        <is>
          <t>ERIVES ENTER[RISE</t>
        </is>
      </c>
      <c r="D4234" s="144" t="n">
        <v>9153309175</v>
      </c>
      <c r="E4234" s="144" t="inlineStr">
        <is>
          <t>BOX</t>
        </is>
      </c>
      <c r="F4234" s="144" t="inlineStr">
        <is>
          <t>R753498 TX</t>
        </is>
      </c>
      <c r="G4234" s="144" t="inlineStr">
        <is>
          <t>WHITE INTERNATIONAL</t>
        </is>
      </c>
      <c r="H4234" s="144" t="n">
        <v>1221</v>
      </c>
      <c r="I4234" s="144" t="inlineStr">
        <is>
          <t>COMMERICAL</t>
        </is>
      </c>
    </row>
    <row r="4235" ht="18" customHeight="1" s="7">
      <c r="A4235" s="144" t="inlineStr">
        <is>
          <t>DZHUMANOV BOZULAN</t>
        </is>
      </c>
      <c r="B4235" s="144" t="inlineStr">
        <is>
          <t>Y7912677 CA</t>
        </is>
      </c>
      <c r="C4235" s="144" t="inlineStr">
        <is>
          <t>NEW TRANS</t>
        </is>
      </c>
      <c r="D4235" s="144" t="n">
        <v>6699462830</v>
      </c>
      <c r="E4235" s="144" t="inlineStr">
        <is>
          <t>FLAT</t>
        </is>
      </c>
      <c r="F4235" s="144" t="inlineStr">
        <is>
          <t>P1302270 IL</t>
        </is>
      </c>
      <c r="G4235" s="144" t="inlineStr">
        <is>
          <t>BLUE VOLVO</t>
        </is>
      </c>
      <c r="H4235" s="144" t="n">
        <v>1221</v>
      </c>
      <c r="I4235" s="144" t="inlineStr">
        <is>
          <t>COMMERCIAL</t>
        </is>
      </c>
    </row>
    <row r="4236" ht="18" customHeight="1" s="7">
      <c r="A4236" s="144" t="inlineStr">
        <is>
          <t>CALEB CROSBY</t>
        </is>
      </c>
      <c r="B4236" s="144" t="inlineStr">
        <is>
          <t>9426017 AL</t>
        </is>
      </c>
      <c r="C4236" s="144" t="inlineStr">
        <is>
          <t>RYDER</t>
        </is>
      </c>
      <c r="D4236" s="144" t="n">
        <v>3342968917</v>
      </c>
      <c r="E4236" s="144" t="inlineStr">
        <is>
          <t>BOX</t>
        </is>
      </c>
      <c r="F4236" s="144" t="inlineStr">
        <is>
          <t>2833418 IN</t>
        </is>
      </c>
      <c r="G4236" s="144" t="inlineStr">
        <is>
          <t>WHITE INTERNATIONAL</t>
        </is>
      </c>
      <c r="H4236" s="144" t="n">
        <v>1260</v>
      </c>
      <c r="I4236" s="144" t="inlineStr">
        <is>
          <t>COMMERCIAL</t>
        </is>
      </c>
    </row>
    <row r="4237" ht="18" customHeight="1" s="7">
      <c r="A4237" s="144" t="inlineStr">
        <is>
          <t>SHANE BOYER</t>
        </is>
      </c>
      <c r="B4237" s="144" t="inlineStr">
        <is>
          <t>B238849634000 FL</t>
        </is>
      </c>
      <c r="C4237" s="144" t="inlineStr">
        <is>
          <t>PEPI</t>
        </is>
      </c>
      <c r="D4237" s="144" t="n">
        <v>4077171860</v>
      </c>
      <c r="E4237" s="144" t="inlineStr">
        <is>
          <t>CAR</t>
        </is>
      </c>
      <c r="F4237" s="144" t="inlineStr">
        <is>
          <t>38A4RB3 AL</t>
        </is>
      </c>
      <c r="G4237" s="144" t="inlineStr">
        <is>
          <t>WHITE FORD</t>
        </is>
      </c>
      <c r="H4237" s="144" t="n">
        <v>2200</v>
      </c>
      <c r="I4237" s="144" t="inlineStr">
        <is>
          <t>CONTRACTOR</t>
        </is>
      </c>
    </row>
    <row r="4238" ht="18" customHeight="1" s="7">
      <c r="A4238" s="144" t="inlineStr">
        <is>
          <t>COURTNEY MICHEAL</t>
        </is>
      </c>
      <c r="B4238" s="144" t="inlineStr">
        <is>
          <t>C635557674060 FL</t>
        </is>
      </c>
      <c r="C4238" s="144" t="inlineStr">
        <is>
          <t>LIMELIGHT</t>
        </is>
      </c>
      <c r="D4238" s="144" t="n">
        <v>8505454516</v>
      </c>
      <c r="E4238" s="144" t="inlineStr">
        <is>
          <t>PU</t>
        </is>
      </c>
      <c r="F4238" s="144" t="inlineStr">
        <is>
          <t>JWLS41 FL</t>
        </is>
      </c>
      <c r="G4238" s="144" t="inlineStr">
        <is>
          <t>WHITE FORD</t>
        </is>
      </c>
      <c r="H4238" s="144" t="inlineStr">
        <is>
          <t>GYM</t>
        </is>
      </c>
      <c r="I4238" s="144" t="inlineStr">
        <is>
          <t>CONTRACTOR</t>
        </is>
      </c>
    </row>
    <row r="4239" ht="18" customHeight="1" s="7">
      <c r="A4239" s="144" t="inlineStr">
        <is>
          <t>MASSEY GERALD</t>
        </is>
      </c>
      <c r="B4239" s="144" t="inlineStr">
        <is>
          <t>C4267445 CA</t>
        </is>
      </c>
      <c r="C4239" s="144" t="inlineStr">
        <is>
          <t>SAUTI</t>
        </is>
      </c>
      <c r="D4239" s="144" t="n">
        <v>9515073238</v>
      </c>
      <c r="E4239" s="144" t="inlineStr">
        <is>
          <t>BOX</t>
        </is>
      </c>
      <c r="F4239" s="144" t="inlineStr">
        <is>
          <t>ZP75243 CA</t>
        </is>
      </c>
      <c r="G4239" s="144" t="inlineStr">
        <is>
          <t>RED KENWORTH</t>
        </is>
      </c>
      <c r="H4239" s="144" t="n">
        <v>1221</v>
      </c>
      <c r="I4239" s="144" t="inlineStr">
        <is>
          <t>COMMERCIAL</t>
        </is>
      </c>
    </row>
    <row r="4240" ht="18" customHeight="1" s="7">
      <c r="A4240" s="144" t="inlineStr">
        <is>
          <t>RODNEY MILES</t>
        </is>
      </c>
      <c r="B4240" s="144" t="inlineStr">
        <is>
          <t>*054562360 GA</t>
        </is>
      </c>
      <c r="C4240" s="144" t="inlineStr">
        <is>
          <t>SIAI</t>
        </is>
      </c>
      <c r="D4240" s="144" t="n">
        <v>4043540539</v>
      </c>
      <c r="E4240" s="144" t="inlineStr">
        <is>
          <t>BOX</t>
        </is>
      </c>
      <c r="F4240" s="144" t="inlineStr">
        <is>
          <t>P236823 LA</t>
        </is>
      </c>
      <c r="G4240" s="144" t="inlineStr">
        <is>
          <t>RED VOLVO</t>
        </is>
      </c>
      <c r="H4240" s="144" t="n">
        <v>1221</v>
      </c>
      <c r="I4240" s="144" t="inlineStr">
        <is>
          <t>COMMERCIAL</t>
        </is>
      </c>
    </row>
    <row r="4241" ht="18" customHeight="1" s="7">
      <c r="A4241" s="144" t="inlineStr">
        <is>
          <t>COMPTON ERIK</t>
        </is>
      </c>
      <c r="B4241" s="144" t="inlineStr">
        <is>
          <t>GC210924I ID</t>
        </is>
      </c>
      <c r="C4241" s="144" t="inlineStr">
        <is>
          <t>FEDEX</t>
        </is>
      </c>
      <c r="D4241" s="144" t="n">
        <v>2084994232</v>
      </c>
      <c r="E4241" s="144" t="inlineStr">
        <is>
          <t>BOX</t>
        </is>
      </c>
      <c r="F4241" s="144" t="inlineStr">
        <is>
          <t>PWZ5406 OH</t>
        </is>
      </c>
      <c r="G4241" s="144" t="inlineStr">
        <is>
          <t>WHITE FREIGHTLINER</t>
        </is>
      </c>
      <c r="H4241" s="144" t="n">
        <v>1221</v>
      </c>
      <c r="I4241" s="144" t="inlineStr">
        <is>
          <t>COMMERCIAL</t>
        </is>
      </c>
    </row>
    <row r="4242" ht="18" customHeight="1" s="7">
      <c r="A4242" s="144" t="inlineStr">
        <is>
          <t>ZION PARKS</t>
        </is>
      </c>
      <c r="B4242" s="144" t="inlineStr">
        <is>
          <t>*060467450 GA</t>
        </is>
      </c>
      <c r="C4242" s="144" t="inlineStr">
        <is>
          <t>STANLEY STEAMERS</t>
        </is>
      </c>
      <c r="D4242" s="144" t="n">
        <v>2298094352</v>
      </c>
      <c r="E4242" s="144" t="inlineStr">
        <is>
          <t>VAN</t>
        </is>
      </c>
      <c r="F4242" s="144" t="inlineStr">
        <is>
          <t>SFE3959 GA</t>
        </is>
      </c>
      <c r="G4242" s="144" t="inlineStr">
        <is>
          <t>YELLOW FORD</t>
        </is>
      </c>
      <c r="H4242" s="144" t="inlineStr">
        <is>
          <t>HOUSING</t>
        </is>
      </c>
      <c r="I4242" s="144" t="inlineStr">
        <is>
          <t>CONTRACTOR</t>
        </is>
      </c>
    </row>
    <row r="4243" ht="18" customHeight="1" s="7">
      <c r="A4243" s="144" t="inlineStr">
        <is>
          <t>KARIE AWIL</t>
        </is>
      </c>
      <c r="B4243" s="144" t="inlineStr">
        <is>
          <t>*090764837 TN</t>
        </is>
      </c>
      <c r="C4243" s="144" t="inlineStr">
        <is>
          <t>ELEVATED LOGIS</t>
        </is>
      </c>
      <c r="D4243" s="144" t="n">
        <v>7202243333</v>
      </c>
      <c r="E4243" s="144" t="inlineStr">
        <is>
          <t>BOX</t>
        </is>
      </c>
      <c r="F4243" s="144" t="inlineStr">
        <is>
          <t>R792512 TX</t>
        </is>
      </c>
      <c r="G4243" s="144" t="inlineStr">
        <is>
          <t>WHITE VOLVO</t>
        </is>
      </c>
      <c r="H4243" s="144" t="n">
        <v>1221</v>
      </c>
      <c r="I4243" s="144" t="inlineStr">
        <is>
          <t>COMMERCIAL</t>
        </is>
      </c>
    </row>
    <row r="4244" ht="18" customHeight="1" s="7">
      <c r="A4244" s="144" t="inlineStr">
        <is>
          <t>GUERRERO VICTRO MANUEL</t>
        </is>
      </c>
      <c r="B4244" s="144" t="inlineStr">
        <is>
          <t>G360574500000 FL</t>
        </is>
      </c>
      <c r="C4244" s="144" t="inlineStr">
        <is>
          <t>VMG</t>
        </is>
      </c>
      <c r="D4244" s="144" t="n">
        <v>8135351372</v>
      </c>
      <c r="E4244" s="144" t="inlineStr">
        <is>
          <t>BOX</t>
        </is>
      </c>
      <c r="F4244" s="144" t="inlineStr">
        <is>
          <t>XD271X</t>
        </is>
      </c>
      <c r="G4244" s="144" t="inlineStr">
        <is>
          <t>BLACK FREIGHTLINER</t>
        </is>
      </c>
      <c r="H4244" s="144" t="n">
        <v>1221</v>
      </c>
      <c r="I4244" s="144" t="inlineStr">
        <is>
          <t>COMMERCIAL</t>
        </is>
      </c>
    </row>
    <row r="4245" ht="18" customHeight="1" s="7">
      <c r="A4245" s="144" t="inlineStr">
        <is>
          <t>OSBORNE T PARIS</t>
        </is>
      </c>
      <c r="B4245" s="144" t="inlineStr">
        <is>
          <t>F429924 WV</t>
        </is>
      </c>
      <c r="C4245" s="144" t="inlineStr">
        <is>
          <t xml:space="preserve">IMS </t>
        </is>
      </c>
      <c r="D4245" s="144" t="n">
        <v>3045820042</v>
      </c>
      <c r="E4245" s="144" t="inlineStr">
        <is>
          <t>FLAT</t>
        </is>
      </c>
      <c r="F4245" s="144" t="inlineStr">
        <is>
          <t>BA552167 WV</t>
        </is>
      </c>
      <c r="G4245" s="144" t="inlineStr">
        <is>
          <t>BROWN KENWORTH</t>
        </is>
      </c>
      <c r="H4245" s="144" t="n">
        <v>1221</v>
      </c>
      <c r="I4245" s="144" t="inlineStr">
        <is>
          <t>COMMERCIAL</t>
        </is>
      </c>
    </row>
    <row r="4246" ht="18" customHeight="1" s="7">
      <c r="A4246" s="144" t="inlineStr">
        <is>
          <t>GARY DALE</t>
        </is>
      </c>
      <c r="B4246" s="144" t="inlineStr">
        <is>
          <t>D400284660570</t>
        </is>
      </c>
      <c r="C4246" s="144" t="inlineStr">
        <is>
          <t>WRIGHT TRANSPO</t>
        </is>
      </c>
      <c r="D4246" s="144" t="n">
        <v>8505860874</v>
      </c>
      <c r="E4246" s="144" t="inlineStr">
        <is>
          <t>BOX</t>
        </is>
      </c>
      <c r="F4246" s="144" t="inlineStr">
        <is>
          <t>A550604 MS</t>
        </is>
      </c>
      <c r="G4246" s="144" t="inlineStr">
        <is>
          <t>WHITE KENWORTH</t>
        </is>
      </c>
      <c r="H4246" s="144" t="n">
        <v>1221</v>
      </c>
      <c r="I4246" s="144" t="inlineStr">
        <is>
          <t>COMMERCIAL</t>
        </is>
      </c>
    </row>
  </sheetData>
  <dataValidations count="1">
    <dataValidation sqref="B491:D491 B1143:B1144 C1143:D1143 C1144:F1144" showDropDown="0" showInputMessage="1" showErrorMessage="0" allowBlank="0" type="list">
      <formula1>IF(,,O491)</formula1>
    </dataValidation>
  </dataValidations>
  <hyperlinks>
    <hyperlink xmlns:r="http://schemas.openxmlformats.org/officeDocument/2006/relationships" ref="C823" r:id="rId1"/>
  </hyperlinks>
  <pageMargins left="0.7" right="0.7" top="0.75" bottom="0.75" header="0.3" footer="0.3"/>
  <pageSetup orientation="portrait"/>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N26"/>
  <sheetViews>
    <sheetView view="pageBreakPreview" topLeftCell="A14" zoomScale="109" zoomScaleNormal="100" zoomScaleSheetLayoutView="109" workbookViewId="0">
      <selection activeCell="G24" sqref="G24:J24"/>
    </sheetView>
  </sheetViews>
  <sheetFormatPr baseColWidth="8" defaultColWidth="9.1796875" defaultRowHeight="12.5"/>
  <cols>
    <col width="9.1796875" customWidth="1" style="39" min="1" max="1"/>
    <col width="7" customWidth="1" style="39" min="2" max="2"/>
    <col width="7.7265625" customWidth="1" style="39" min="3" max="3"/>
    <col width="9.1796875" customWidth="1" style="39" min="4" max="4"/>
    <col width="19.26953125" customWidth="1" style="39" min="5" max="5"/>
    <col width="10.81640625" customWidth="1" style="39" min="6" max="6"/>
    <col width="9.1796875" customWidth="1" style="39" min="7" max="7"/>
    <col width="9.1796875" customWidth="1" style="39" min="8" max="9"/>
    <col width="10.1796875" bestFit="1" customWidth="1" style="39" min="10" max="10"/>
    <col width="8" customWidth="1" style="39" min="11" max="11"/>
    <col width="9.1796875" customWidth="1" style="39" min="12" max="16384"/>
  </cols>
  <sheetData>
    <row r="1" ht="30" customHeight="1" s="7" thickBot="1">
      <c r="A1" s="202" t="inlineStr">
        <is>
          <t>Commercial Vehicle Entrance (Gate 5/15) Daily Stat Report</t>
        </is>
      </c>
      <c r="B1" s="245" t="n"/>
      <c r="C1" s="245" t="n"/>
      <c r="D1" s="245" t="n"/>
      <c r="E1" s="245" t="n"/>
      <c r="F1" s="245" t="n"/>
      <c r="G1" s="245" t="n"/>
      <c r="H1" s="245" t="n"/>
      <c r="I1" s="245" t="n"/>
      <c r="J1" s="245" t="n"/>
      <c r="K1" s="245" t="n"/>
    </row>
    <row r="2" ht="16.5" customHeight="1" s="7" thickBot="1">
      <c r="A2" s="26" t="n"/>
      <c r="B2" s="26" t="n"/>
      <c r="C2" s="26" t="n"/>
      <c r="D2" s="26" t="n"/>
      <c r="E2" s="26" t="n"/>
      <c r="F2" s="26" t="n"/>
      <c r="G2" s="26" t="n"/>
      <c r="H2" s="26" t="n"/>
      <c r="I2" s="26" t="n"/>
      <c r="J2" s="26" t="n"/>
      <c r="K2" s="26" t="n"/>
    </row>
    <row r="3" ht="18" customHeight="1" s="7" thickBot="1">
      <c r="B3" s="27" t="inlineStr">
        <is>
          <t>Line</t>
        </is>
      </c>
      <c r="C3" s="246" t="inlineStr">
        <is>
          <t>Log</t>
        </is>
      </c>
      <c r="D3" s="245" t="n"/>
      <c r="E3" s="247" t="n"/>
      <c r="F3" s="28" t="inlineStr">
        <is>
          <t># of vehicles</t>
        </is>
      </c>
      <c r="G3" s="29" t="n"/>
      <c r="I3" s="30" t="inlineStr">
        <is>
          <t>Date:</t>
        </is>
      </c>
      <c r="J3" s="31" t="n">
        <v>46080</v>
      </c>
      <c r="K3" s="32" t="n"/>
    </row>
    <row r="4" ht="13" customHeight="1" s="7" thickBot="1">
      <c r="B4" s="33" t="n"/>
    </row>
    <row r="5" ht="18" customHeight="1" s="7" thickBot="1">
      <c r="B5" s="34" t="inlineStr">
        <is>
          <t>Line 1</t>
        </is>
      </c>
      <c r="C5" s="248" t="inlineStr">
        <is>
          <t>Large Trucks (Semi, Dump Trucks)</t>
        </is>
      </c>
      <c r="D5" s="228" t="n"/>
      <c r="E5" s="228" t="n"/>
      <c r="F5" s="236" t="n"/>
      <c r="G5" s="23">
        <f t="array" ref="G5">COUNTIF('Normal Ops (Comm Veh.) (2)'!D9:D410,"LG") + SUMPRODUCT(('Normal Ops (Comm Veh.) (2)'!D9:D410="LG")*IFERROR('Normal Ops (Comm Veh.) (2)'!W9:W410,0))</f>
        <v/>
      </c>
      <c r="I5" s="35" t="inlineStr">
        <is>
          <t>1408's</t>
        </is>
      </c>
      <c r="J5" s="36" t="n">
        <v>0</v>
      </c>
    </row>
    <row r="6" ht="13.5" customHeight="1" s="7" thickBot="1">
      <c r="B6" s="33" t="n"/>
      <c r="C6" s="211" t="n"/>
      <c r="D6" s="211" t="n"/>
      <c r="E6" s="211" t="n"/>
      <c r="H6" s="37" t="n"/>
      <c r="I6" s="38" t="n"/>
    </row>
    <row r="7" ht="18" customHeight="1" s="7" thickBot="1">
      <c r="B7" s="34" t="inlineStr">
        <is>
          <t>Line 2</t>
        </is>
      </c>
      <c r="C7" s="248" t="inlineStr">
        <is>
          <t>Small Veh. (Contr.)</t>
        </is>
      </c>
      <c r="D7" s="228" t="n"/>
      <c r="E7" s="228" t="n"/>
      <c r="F7" s="236" t="n"/>
      <c r="G7" s="23">
        <f t="array" ref="G7">COUNTIF('Normal Ops (Comm Veh.) (2)'!D9:D410,"SM") + SUMPRODUCT(('Normal Ops (Comm Veh.) (2)'!D9:D410="SM")*IFERROR('Normal Ops (Comm Veh.) (2)'!W9:W410,0))</f>
        <v/>
      </c>
      <c r="I7" s="35" t="inlineStr">
        <is>
          <t>CCN's</t>
        </is>
      </c>
      <c r="J7" s="36" t="n">
        <v>0</v>
      </c>
    </row>
    <row r="8" ht="13" customHeight="1" s="7" thickBot="1">
      <c r="B8" s="33" t="n"/>
      <c r="C8" s="211" t="n"/>
      <c r="D8" s="211" t="n"/>
      <c r="E8" s="211" t="n"/>
    </row>
    <row r="9" ht="18" customHeight="1" s="7" thickBot="1">
      <c r="B9" s="34" t="inlineStr">
        <is>
          <t>Line 4</t>
        </is>
      </c>
      <c r="C9" s="249" t="inlineStr">
        <is>
          <t>G Inspections</t>
        </is>
      </c>
      <c r="D9" s="228" t="n"/>
      <c r="E9" s="228" t="n"/>
      <c r="F9" s="236" t="n"/>
      <c r="G9" s="24">
        <f>COUNTIF('Normal Ops (Comm Veh.) (2)'!B9:B410,"G")</f>
        <v/>
      </c>
      <c r="I9" s="39" t="n"/>
    </row>
    <row r="10" ht="13" customHeight="1" s="7" thickBot="1">
      <c r="G10" s="39" t="n"/>
    </row>
    <row r="11" ht="18.75" customHeight="1" s="7">
      <c r="B11" s="40" t="inlineStr">
        <is>
          <t>Line 5</t>
        </is>
      </c>
      <c r="C11" s="249" t="inlineStr">
        <is>
          <t>F Inspections</t>
        </is>
      </c>
      <c r="D11" s="228" t="n"/>
      <c r="E11" s="228" t="n"/>
      <c r="F11" s="236" t="n"/>
      <c r="G11" s="24">
        <f>COUNTIF('Normal Ops (Comm Veh.) (2)'!B9:B410,"F")</f>
        <v/>
      </c>
    </row>
    <row r="12" ht="13.5" customHeight="1" s="7" thickBot="1">
      <c r="B12" s="41" t="n"/>
      <c r="C12" s="42" t="n"/>
      <c r="D12" s="42" t="n"/>
      <c r="E12" s="42" t="n"/>
      <c r="F12" s="41" t="n"/>
      <c r="I12" s="39" t="n"/>
      <c r="J12" s="39" t="n"/>
    </row>
    <row r="13" ht="18.75" customHeight="1" s="7">
      <c r="B13" s="40" t="inlineStr">
        <is>
          <t>Line 6</t>
        </is>
      </c>
      <c r="C13" s="249" t="inlineStr">
        <is>
          <t>R Inspections</t>
        </is>
      </c>
      <c r="D13" s="228" t="n"/>
      <c r="E13" s="228" t="n"/>
      <c r="F13" s="236" t="n"/>
      <c r="G13" s="24">
        <f>COUNTIF('Normal Ops (Comm Veh.) (2)'!B9:B410,"R")</f>
        <v/>
      </c>
    </row>
    <row r="14" ht="13.5" customHeight="1" s="7" thickBot="1">
      <c r="B14" s="41" t="n"/>
      <c r="C14" s="42" t="n"/>
      <c r="D14" s="42" t="n"/>
      <c r="E14" s="42" t="n"/>
      <c r="F14" s="41" t="n"/>
    </row>
    <row r="15" ht="18.75" customHeight="1" s="7">
      <c r="B15" s="43" t="inlineStr">
        <is>
          <t>Line 7</t>
        </is>
      </c>
      <c r="C15" s="249" t="inlineStr">
        <is>
          <t>Individual processed threw the Gate</t>
        </is>
      </c>
      <c r="D15" s="228" t="n"/>
      <c r="E15" s="228" t="n"/>
      <c r="F15" s="236" t="n"/>
      <c r="G15" s="24">
        <f>SUM('Normal Ops (Comm Veh.) (2)'!C9:C410,'Normal Ops (Comm Veh.) (2)'!X9:X410)</f>
        <v/>
      </c>
    </row>
    <row r="16" ht="12.75" customHeight="1" s="7" thickBot="1">
      <c r="B16" s="44" t="n"/>
      <c r="C16" s="45" t="n"/>
      <c r="D16" s="45" t="n"/>
      <c r="E16" s="45" t="n"/>
      <c r="F16" s="45" t="n"/>
      <c r="G16" s="46" t="n"/>
    </row>
    <row r="17" ht="18.75" customHeight="1" s="7">
      <c r="B17" s="43" t="inlineStr">
        <is>
          <t>Line 8</t>
        </is>
      </c>
      <c r="C17" s="249" t="inlineStr">
        <is>
          <t>Number of returns</t>
        </is>
      </c>
      <c r="D17" s="228" t="n"/>
      <c r="E17" s="228" t="n"/>
      <c r="F17" s="236" t="n"/>
      <c r="G17" s="24">
        <f>SUM('Normal Ops (Comm Veh.) (2)'!W9:W410)</f>
        <v/>
      </c>
    </row>
    <row r="18" ht="18.75" customFormat="1" customHeight="1" s="48" thickBot="1">
      <c r="B18" s="44" t="n"/>
      <c r="C18" s="45" t="n"/>
      <c r="D18" s="45" t="n"/>
      <c r="E18" s="45" t="n"/>
      <c r="F18" s="45" t="n"/>
      <c r="G18" s="47" t="n"/>
    </row>
    <row r="19" ht="18" customHeight="1" s="7" thickBot="1">
      <c r="B19" s="207" t="n">
        <v>2200</v>
      </c>
      <c r="C19" s="79" t="n"/>
      <c r="G19" s="250" t="inlineStr">
        <is>
          <t>Total CVs Inspected</t>
        </is>
      </c>
      <c r="H19" s="251" t="n"/>
      <c r="I19" s="252" t="n"/>
      <c r="J19" s="52">
        <f>SUM(G5,G7)</f>
        <v/>
      </c>
    </row>
    <row r="20">
      <c r="B20" s="211" t="n"/>
      <c r="C20" s="79" t="n"/>
      <c r="G20" s="211" t="inlineStr">
        <is>
          <t>(Total of lines 1+2+8)</t>
        </is>
      </c>
      <c r="H20" s="79" t="n"/>
      <c r="I20" s="79" t="n"/>
    </row>
    <row r="21" ht="15.5" customHeight="1" s="7">
      <c r="B21" s="199" t="inlineStr">
        <is>
          <t xml:space="preserve">Officers on Duty :  </t>
        </is>
      </c>
      <c r="C21" s="79" t="n"/>
      <c r="D21" s="79" t="n"/>
      <c r="E21" s="150" t="n"/>
      <c r="F21" s="201" t="n"/>
      <c r="G21" s="86" t="n"/>
      <c r="H21" s="150" t="n"/>
      <c r="I21" s="86" t="n"/>
      <c r="J21" s="49" t="n"/>
      <c r="K21" s="144" t="n"/>
      <c r="L21" s="79" t="n"/>
      <c r="M21" s="144" t="n"/>
      <c r="N21" s="79" t="n"/>
    </row>
    <row r="22" ht="15.5" customHeight="1" s="7">
      <c r="E22" s="150" t="inlineStr">
        <is>
          <t>Lt Qualls</t>
        </is>
      </c>
      <c r="F22" s="143" t="inlineStr">
        <is>
          <t>LCPL BIERY</t>
        </is>
      </c>
      <c r="G22" s="228" t="n"/>
      <c r="H22" s="200" t="inlineStr">
        <is>
          <t>CPL JOHNSON</t>
        </is>
      </c>
      <c r="I22" s="253" t="n"/>
      <c r="J22" s="50" t="n"/>
      <c r="K22" s="144" t="n"/>
      <c r="L22" s="79" t="n"/>
      <c r="M22" s="144" t="n"/>
      <c r="N22" s="79" t="n"/>
    </row>
    <row r="23" ht="15.5" customHeight="1" s="7">
      <c r="E23" s="50" t="inlineStr">
        <is>
          <t>Ofc Hall</t>
        </is>
      </c>
      <c r="F23" s="50" t="inlineStr">
        <is>
          <t>Ofc James</t>
        </is>
      </c>
      <c r="G23" s="200" t="n"/>
      <c r="H23" s="200" t="n"/>
      <c r="I23" s="200" t="n"/>
      <c r="J23" s="200" t="n"/>
      <c r="K23" s="144" t="n"/>
      <c r="L23" s="144" t="n"/>
      <c r="M23" s="144" t="n"/>
      <c r="N23" s="144" t="n"/>
    </row>
    <row r="24" ht="15.5" customHeight="1" s="7">
      <c r="B24" s="51" t="inlineStr">
        <is>
          <t>Desk Sgt on duty who received CVI totals:</t>
        </is>
      </c>
      <c r="G24" s="198" t="inlineStr">
        <is>
          <t>Sgt Lyons</t>
        </is>
      </c>
      <c r="H24" s="86" t="n"/>
      <c r="I24" s="86" t="n"/>
      <c r="J24" s="86" t="n"/>
    </row>
    <row r="26" ht="15.5" customHeight="1" s="7">
      <c r="C26" s="196" t="inlineStr">
        <is>
          <t>** Turn in this daily stat sheet with the daily logs **</t>
        </is>
      </c>
      <c r="D26" s="79" t="n"/>
      <c r="E26" s="79" t="n"/>
      <c r="F26" s="79" t="n"/>
      <c r="G26" s="79" t="n"/>
      <c r="H26" s="79" t="n"/>
    </row>
  </sheetData>
  <sheetProtection selectLockedCells="0" selectUnlockedCells="0" sheet="1" objects="1" insertRows="1" insertHyperlinks="1" autoFilter="1" scenarios="1" formatColumns="1" deleteColumns="1" insertColumns="1" pivotTables="1" deleteRows="1" formatCells="1" formatRows="1" sort="1"/>
  <mergeCells count="24">
    <mergeCell ref="C17:F17"/>
    <mergeCell ref="G19:I19"/>
    <mergeCell ref="C7:F7"/>
    <mergeCell ref="A1:K1"/>
    <mergeCell ref="K21:L21"/>
    <mergeCell ref="C13:F13"/>
    <mergeCell ref="F21:G21"/>
    <mergeCell ref="H21:I21"/>
    <mergeCell ref="C15:F15"/>
    <mergeCell ref="G20:I20"/>
    <mergeCell ref="C5:F5"/>
    <mergeCell ref="K22:L22"/>
    <mergeCell ref="M22:N22"/>
    <mergeCell ref="M21:N21"/>
    <mergeCell ref="B19:C19"/>
    <mergeCell ref="C3:E3"/>
    <mergeCell ref="F22:G22"/>
    <mergeCell ref="H22:I22"/>
    <mergeCell ref="C9:F9"/>
    <mergeCell ref="B20:C20"/>
    <mergeCell ref="G24:J24"/>
    <mergeCell ref="B21:D21"/>
    <mergeCell ref="C11:F11"/>
    <mergeCell ref="C26:H26"/>
  </mergeCells>
  <dataValidations count="2">
    <dataValidation sqref="E21 E22:E23 F21:F23 H21:H22 J21:J22" showDropDown="0" showInputMessage="1" showErrorMessage="0" allowBlank="0" type="list">
      <formula1>"Lt Qualls,Ofc Hall,Ofc James,Ofc Jennings,Cpl Stephens,LCpl Adams,,"</formula1>
    </dataValidation>
    <dataValidation sqref="G24:J24" showDropDown="0" showInputMessage="1" showErrorMessage="0" allowBlank="0" type="list">
      <formula1>"Cpl Calhoun,Cpl Nelms,Cpl Newvine,Sgt Jones,Cpl Morris,Sgt Dunne, Sgt Lyons,Cpl Mack,--,"</formula1>
    </dataValidation>
  </dataValidations>
  <pageMargins left="0.25" right="0.25" top="0.75" bottom="0.75" header="0.3" footer="0.3"/>
  <pageSetup orientation="landscape" scale="11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LOG DATE</t>
        </is>
      </c>
      <c r="B1" t="inlineStr">
        <is>
          <t>2026-03-03</t>
        </is>
      </c>
    </row>
    <row r="3">
      <c r="A3" t="inlineStr">
        <is>
          <t>ENTRY TIME UTC</t>
        </is>
      </c>
      <c r="B3" t="inlineStr">
        <is>
          <t>ENTRY TIME</t>
        </is>
      </c>
      <c r="C3" t="inlineStr">
        <is>
          <t>DRIVER</t>
        </is>
      </c>
      <c r="D3" t="inlineStr">
        <is>
          <t>COMPANY</t>
        </is>
      </c>
      <c r="E3" t="inlineStr">
        <is>
          <t>VEHICLE</t>
        </is>
      </c>
      <c r="F3" t="inlineStr">
        <is>
          <t>INSPECTION TYPE</t>
        </is>
      </c>
      <c r="G3" t="inlineStr">
        <is>
          <t>SCAN TOKEN</t>
        </is>
      </c>
      <c r="H3"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perry.mixon</dc:creator>
  <dcterms:created xsi:type="dcterms:W3CDTF">2010-03-01T20:13:22Z</dcterms:created>
  <dcterms:modified xsi:type="dcterms:W3CDTF">2026-03-03T10:51:32Z</dcterms:modified>
  <cp:lastModifiedBy>Biery LCpl Peter 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0x0101007EB3F3D5369488459D844EFE72F0347C</vt:lpwstr>
  </property>
  <property name="MediaServiceImageTags" fmtid="{D5CDD505-2E9C-101B-9397-08002B2CF9AE}" pid="3">
    <vt:lpwstr/>
  </property>
</Properties>
</file>